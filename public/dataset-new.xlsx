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rashid\Documents\Mashfi Site\Logs\"/>
    </mc:Choice>
  </mc:AlternateContent>
  <xr:revisionPtr revIDLastSave="0" documentId="8_{FBAF5749-D6E8-4AC9-B2BF-86A657CEDAFF}" xr6:coauthVersionLast="47" xr6:coauthVersionMax="47" xr10:uidLastSave="{00000000-0000-0000-0000-000000000000}"/>
  <bookViews>
    <workbookView xWindow="-120" yWindow="-120" windowWidth="38640" windowHeight="21240" xr2:uid="{D681857C-2E5C-43F0-BAF1-5B0AD1A419C0}"/>
  </bookViews>
  <sheets>
    <sheet name="Cameroon" sheetId="1" r:id="rId1"/>
    <sheet name="Liberia" sheetId="2" r:id="rId2"/>
  </sheets>
  <definedNames>
    <definedName name="_xlnm._FilterDatabase" localSheetId="0" hidden="1">Cameroon!$A$1:$O$1268</definedName>
    <definedName name="_xlnm._FilterDatabase" localSheetId="1" hidden="1">Liberia!$A$1:$M$1273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73" i="2" l="1"/>
  <c r="L1272" i="2"/>
  <c r="M1272" i="2" s="1"/>
  <c r="L1271" i="2"/>
  <c r="M1271" i="2" s="1"/>
  <c r="L1270" i="2"/>
  <c r="M1270" i="2" s="1"/>
  <c r="L1269" i="2"/>
  <c r="M1269" i="2" s="1"/>
  <c r="L1268" i="2"/>
  <c r="M1268" i="2" s="1"/>
  <c r="L1267" i="2"/>
  <c r="M1267" i="2" s="1"/>
  <c r="L1266" i="2"/>
  <c r="M1266" i="2" s="1"/>
  <c r="L1265" i="2"/>
  <c r="M1265" i="2" s="1"/>
  <c r="L1264" i="2"/>
  <c r="M1264" i="2" s="1"/>
  <c r="L1263" i="2"/>
  <c r="M1263" i="2" s="1"/>
  <c r="L1262" i="2"/>
  <c r="M1262" i="2" s="1"/>
  <c r="L1261" i="2"/>
  <c r="M1261" i="2" s="1"/>
  <c r="L1260" i="2"/>
  <c r="M1260" i="2" s="1"/>
  <c r="L1259" i="2"/>
  <c r="M1259" i="2" s="1"/>
  <c r="L1258" i="2"/>
  <c r="M1258" i="2" s="1"/>
  <c r="L1257" i="2"/>
  <c r="M1257" i="2" s="1"/>
  <c r="L1256" i="2"/>
  <c r="M1256" i="2" s="1"/>
  <c r="L1255" i="2"/>
  <c r="M1255" i="2" s="1"/>
  <c r="L1254" i="2"/>
  <c r="M1254" i="2" s="1"/>
  <c r="L1253" i="2"/>
  <c r="M1253" i="2" s="1"/>
  <c r="L1252" i="2"/>
  <c r="M1252" i="2" s="1"/>
  <c r="L1251" i="2"/>
  <c r="M1251" i="2" s="1"/>
  <c r="L1250" i="2"/>
  <c r="M1250" i="2" s="1"/>
  <c r="L1249" i="2"/>
  <c r="M1249" i="2" s="1"/>
  <c r="L1248" i="2"/>
  <c r="M1248" i="2" s="1"/>
  <c r="L1247" i="2"/>
  <c r="M1247" i="2" s="1"/>
  <c r="L1246" i="2"/>
  <c r="M1246" i="2" s="1"/>
  <c r="L1245" i="2"/>
  <c r="M1245" i="2" s="1"/>
  <c r="L1244" i="2"/>
  <c r="M1244" i="2" s="1"/>
  <c r="L1243" i="2"/>
  <c r="M1243" i="2" s="1"/>
  <c r="L1242" i="2"/>
  <c r="M1242" i="2" s="1"/>
  <c r="L1241" i="2"/>
  <c r="M1241" i="2" s="1"/>
  <c r="L1240" i="2"/>
  <c r="M1240" i="2" s="1"/>
  <c r="L1239" i="2"/>
  <c r="M1239" i="2" s="1"/>
  <c r="L1238" i="2"/>
  <c r="M1238" i="2" s="1"/>
  <c r="L1237" i="2"/>
  <c r="M1237" i="2" s="1"/>
  <c r="L1236" i="2"/>
  <c r="M1236" i="2" s="1"/>
  <c r="L1235" i="2"/>
  <c r="M1235" i="2" s="1"/>
  <c r="L1234" i="2"/>
  <c r="M1234" i="2" s="1"/>
  <c r="L1233" i="2"/>
  <c r="M1233" i="2" s="1"/>
  <c r="L1232" i="2"/>
  <c r="M1232" i="2" s="1"/>
  <c r="L1231" i="2"/>
  <c r="M1231" i="2" s="1"/>
  <c r="L1230" i="2"/>
  <c r="M1230" i="2" s="1"/>
  <c r="L1229" i="2"/>
  <c r="M1229" i="2" s="1"/>
  <c r="L1228" i="2"/>
  <c r="M1228" i="2" s="1"/>
  <c r="L1227" i="2"/>
  <c r="M1227" i="2" s="1"/>
  <c r="L1226" i="2"/>
  <c r="M1226" i="2" s="1"/>
  <c r="L1225" i="2"/>
  <c r="M1225" i="2" s="1"/>
  <c r="L1224" i="2"/>
  <c r="M1224" i="2" s="1"/>
  <c r="L1223" i="2"/>
  <c r="M1223" i="2" s="1"/>
  <c r="L1222" i="2"/>
  <c r="M1222" i="2" s="1"/>
  <c r="L1221" i="2"/>
  <c r="M1221" i="2" s="1"/>
  <c r="L1220" i="2"/>
  <c r="M1220" i="2" s="1"/>
  <c r="L1219" i="2"/>
  <c r="M1219" i="2" s="1"/>
  <c r="L1218" i="2"/>
  <c r="M1218" i="2" s="1"/>
  <c r="L1217" i="2"/>
  <c r="M1217" i="2" s="1"/>
  <c r="L1216" i="2"/>
  <c r="M1216" i="2" s="1"/>
  <c r="L1215" i="2"/>
  <c r="M1215" i="2" s="1"/>
  <c r="L1214" i="2"/>
  <c r="M1214" i="2" s="1"/>
  <c r="L1213" i="2"/>
  <c r="M1213" i="2" s="1"/>
  <c r="L1212" i="2"/>
  <c r="M1212" i="2" s="1"/>
  <c r="L1211" i="2"/>
  <c r="M1211" i="2" s="1"/>
  <c r="L1210" i="2"/>
  <c r="M1210" i="2" s="1"/>
  <c r="L1209" i="2"/>
  <c r="M1209" i="2" s="1"/>
  <c r="L1208" i="2"/>
  <c r="M1208" i="2" s="1"/>
  <c r="L1207" i="2"/>
  <c r="M1207" i="2" s="1"/>
  <c r="L1206" i="2"/>
  <c r="M1206" i="2" s="1"/>
  <c r="L1205" i="2"/>
  <c r="M1205" i="2" s="1"/>
  <c r="L1204" i="2"/>
  <c r="M1204" i="2" s="1"/>
  <c r="L1203" i="2"/>
  <c r="M1203" i="2" s="1"/>
  <c r="L1202" i="2"/>
  <c r="M1202" i="2" s="1"/>
  <c r="L1201" i="2"/>
  <c r="M1201" i="2" s="1"/>
  <c r="L1200" i="2"/>
  <c r="M1200" i="2" s="1"/>
  <c r="L1199" i="2"/>
  <c r="M1199" i="2" s="1"/>
  <c r="L1198" i="2"/>
  <c r="M1198" i="2" s="1"/>
  <c r="L1197" i="2"/>
  <c r="M1197" i="2" s="1"/>
  <c r="L1196" i="2"/>
  <c r="M1196" i="2" s="1"/>
  <c r="L1195" i="2"/>
  <c r="M1195" i="2" s="1"/>
  <c r="L1194" i="2"/>
  <c r="M1194" i="2" s="1"/>
  <c r="L1193" i="2"/>
  <c r="M1193" i="2" s="1"/>
  <c r="L1192" i="2"/>
  <c r="M1192" i="2" s="1"/>
  <c r="L1191" i="2"/>
  <c r="M1191" i="2" s="1"/>
  <c r="L1190" i="2"/>
  <c r="M1190" i="2" s="1"/>
  <c r="L1189" i="2"/>
  <c r="M1189" i="2" s="1"/>
  <c r="L1188" i="2"/>
  <c r="M1188" i="2" s="1"/>
  <c r="L1187" i="2"/>
  <c r="M1187" i="2" s="1"/>
  <c r="L1186" i="2"/>
  <c r="M1186" i="2" s="1"/>
  <c r="L1185" i="2"/>
  <c r="M1185" i="2" s="1"/>
  <c r="L1184" i="2"/>
  <c r="M1184" i="2" s="1"/>
  <c r="L1183" i="2"/>
  <c r="M1183" i="2" s="1"/>
  <c r="L1182" i="2"/>
  <c r="M1182" i="2" s="1"/>
  <c r="L1181" i="2"/>
  <c r="M1181" i="2" s="1"/>
  <c r="L1180" i="2"/>
  <c r="M1180" i="2" s="1"/>
  <c r="L1179" i="2"/>
  <c r="M1179" i="2" s="1"/>
  <c r="L1178" i="2"/>
  <c r="M1178" i="2" s="1"/>
  <c r="L1177" i="2"/>
  <c r="M1177" i="2" s="1"/>
  <c r="L1176" i="2"/>
  <c r="M1176" i="2" s="1"/>
  <c r="L1175" i="2"/>
  <c r="M1175" i="2" s="1"/>
  <c r="L1174" i="2"/>
  <c r="M1174" i="2" s="1"/>
  <c r="L1173" i="2"/>
  <c r="M1173" i="2" s="1"/>
  <c r="L1172" i="2"/>
  <c r="M1172" i="2" s="1"/>
  <c r="L1171" i="2"/>
  <c r="M1171" i="2" s="1"/>
  <c r="L1170" i="2"/>
  <c r="M1170" i="2" s="1"/>
  <c r="L1169" i="2"/>
  <c r="M1169" i="2" s="1"/>
  <c r="L1168" i="2"/>
  <c r="M1168" i="2" s="1"/>
  <c r="L1167" i="2"/>
  <c r="M1167" i="2" s="1"/>
  <c r="L1166" i="2"/>
  <c r="M1166" i="2" s="1"/>
  <c r="L1165" i="2"/>
  <c r="M1165" i="2" s="1"/>
  <c r="L1164" i="2"/>
  <c r="M1164" i="2" s="1"/>
  <c r="L1163" i="2"/>
  <c r="M1163" i="2" s="1"/>
  <c r="L1162" i="2"/>
  <c r="M1162" i="2" s="1"/>
  <c r="L1161" i="2"/>
  <c r="M1161" i="2" s="1"/>
  <c r="L1160" i="2"/>
  <c r="M1160" i="2" s="1"/>
  <c r="L1159" i="2"/>
  <c r="M1159" i="2" s="1"/>
  <c r="L1158" i="2"/>
  <c r="M1158" i="2" s="1"/>
  <c r="L1157" i="2"/>
  <c r="M1157" i="2" s="1"/>
  <c r="L1156" i="2"/>
  <c r="M1156" i="2" s="1"/>
  <c r="L1155" i="2"/>
  <c r="M1155" i="2" s="1"/>
  <c r="L1154" i="2"/>
  <c r="M1154" i="2" s="1"/>
  <c r="L1153" i="2"/>
  <c r="M1153" i="2" s="1"/>
  <c r="L1152" i="2"/>
  <c r="M1152" i="2" s="1"/>
  <c r="L1151" i="2"/>
  <c r="M1151" i="2" s="1"/>
  <c r="L1150" i="2"/>
  <c r="M1150" i="2" s="1"/>
  <c r="L1149" i="2"/>
  <c r="M1149" i="2" s="1"/>
  <c r="L1148" i="2"/>
  <c r="M1148" i="2" s="1"/>
  <c r="L1147" i="2"/>
  <c r="M1147" i="2" s="1"/>
  <c r="L1146" i="2"/>
  <c r="M1146" i="2" s="1"/>
  <c r="L1145" i="2"/>
  <c r="M1145" i="2" s="1"/>
  <c r="L1144" i="2"/>
  <c r="M1144" i="2" s="1"/>
  <c r="L1143" i="2"/>
  <c r="M1143" i="2" s="1"/>
  <c r="L1142" i="2"/>
  <c r="M1142" i="2" s="1"/>
  <c r="L1141" i="2"/>
  <c r="M1141" i="2" s="1"/>
  <c r="L1140" i="2"/>
  <c r="M1140" i="2" s="1"/>
  <c r="L1139" i="2"/>
  <c r="M1139" i="2" s="1"/>
  <c r="L1138" i="2"/>
  <c r="M1138" i="2" s="1"/>
  <c r="L1137" i="2"/>
  <c r="M1137" i="2" s="1"/>
  <c r="L1136" i="2"/>
  <c r="M1136" i="2" s="1"/>
  <c r="L1135" i="2"/>
  <c r="M1135" i="2" s="1"/>
  <c r="L1134" i="2"/>
  <c r="M1134" i="2" s="1"/>
  <c r="L1133" i="2"/>
  <c r="M1133" i="2" s="1"/>
  <c r="L1132" i="2"/>
  <c r="M1132" i="2" s="1"/>
  <c r="L1131" i="2"/>
  <c r="M1131" i="2" s="1"/>
  <c r="L1130" i="2"/>
  <c r="M1130" i="2" s="1"/>
  <c r="L1129" i="2"/>
  <c r="M1129" i="2" s="1"/>
  <c r="L1128" i="2"/>
  <c r="M1128" i="2" s="1"/>
  <c r="L1127" i="2"/>
  <c r="M1127" i="2" s="1"/>
  <c r="L1126" i="2"/>
  <c r="M1126" i="2" s="1"/>
  <c r="L1125" i="2"/>
  <c r="M1125" i="2" s="1"/>
  <c r="L1124" i="2"/>
  <c r="M1124" i="2" s="1"/>
  <c r="L1123" i="2"/>
  <c r="M1123" i="2" s="1"/>
  <c r="L1122" i="2"/>
  <c r="M1122" i="2" s="1"/>
  <c r="L1121" i="2"/>
  <c r="M1121" i="2" s="1"/>
  <c r="L1120" i="2"/>
  <c r="M1120" i="2" s="1"/>
  <c r="L1119" i="2"/>
  <c r="M1119" i="2" s="1"/>
  <c r="L1118" i="2"/>
  <c r="M1118" i="2" s="1"/>
  <c r="L1117" i="2"/>
  <c r="M1117" i="2" s="1"/>
  <c r="L1116" i="2"/>
  <c r="M1116" i="2" s="1"/>
  <c r="L1115" i="2"/>
  <c r="M1115" i="2" s="1"/>
  <c r="L1114" i="2"/>
  <c r="M1114" i="2" s="1"/>
  <c r="L1113" i="2"/>
  <c r="M1113" i="2" s="1"/>
  <c r="L1112" i="2"/>
  <c r="M1112" i="2" s="1"/>
  <c r="L1111" i="2"/>
  <c r="M1111" i="2" s="1"/>
  <c r="L1110" i="2"/>
  <c r="M1110" i="2" s="1"/>
  <c r="L1109" i="2"/>
  <c r="M1109" i="2" s="1"/>
  <c r="L1108" i="2"/>
  <c r="M1108" i="2" s="1"/>
  <c r="L1107" i="2"/>
  <c r="M1107" i="2" s="1"/>
  <c r="L1106" i="2"/>
  <c r="M1106" i="2" s="1"/>
  <c r="L1105" i="2"/>
  <c r="M1105" i="2" s="1"/>
  <c r="L1104" i="2"/>
  <c r="M1104" i="2" s="1"/>
  <c r="L1103" i="2"/>
  <c r="M1103" i="2" s="1"/>
  <c r="L1102" i="2"/>
  <c r="M1102" i="2" s="1"/>
  <c r="L1101" i="2"/>
  <c r="M1101" i="2" s="1"/>
  <c r="L1100" i="2"/>
  <c r="M1100" i="2" s="1"/>
  <c r="L1099" i="2"/>
  <c r="M1099" i="2" s="1"/>
  <c r="L1098" i="2"/>
  <c r="M1098" i="2" s="1"/>
  <c r="L1097" i="2"/>
  <c r="M1097" i="2" s="1"/>
  <c r="L1096" i="2"/>
  <c r="M1096" i="2" s="1"/>
  <c r="L1095" i="2"/>
  <c r="M1095" i="2" s="1"/>
  <c r="L1094" i="2"/>
  <c r="M1094" i="2" s="1"/>
  <c r="L1093" i="2"/>
  <c r="M1093" i="2" s="1"/>
  <c r="L1092" i="2"/>
  <c r="M1092" i="2" s="1"/>
  <c r="L1091" i="2"/>
  <c r="M1091" i="2" s="1"/>
  <c r="L1090" i="2"/>
  <c r="M1090" i="2" s="1"/>
  <c r="L1089" i="2"/>
  <c r="M1089" i="2" s="1"/>
  <c r="L1088" i="2"/>
  <c r="M1088" i="2" s="1"/>
  <c r="L1087" i="2"/>
  <c r="M1087" i="2" s="1"/>
  <c r="L1086" i="2"/>
  <c r="M1086" i="2" s="1"/>
  <c r="L1085" i="2"/>
  <c r="M1085" i="2" s="1"/>
  <c r="L1084" i="2"/>
  <c r="M1084" i="2" s="1"/>
  <c r="L1083" i="2"/>
  <c r="M1083" i="2" s="1"/>
  <c r="L1082" i="2"/>
  <c r="M1082" i="2" s="1"/>
  <c r="L1081" i="2"/>
  <c r="M1081" i="2" s="1"/>
  <c r="L1080" i="2"/>
  <c r="M1080" i="2" s="1"/>
  <c r="L1079" i="2"/>
  <c r="M1079" i="2" s="1"/>
  <c r="L1078" i="2"/>
  <c r="M1078" i="2" s="1"/>
  <c r="L1077" i="2"/>
  <c r="M1077" i="2" s="1"/>
  <c r="L1076" i="2"/>
  <c r="M1076" i="2" s="1"/>
  <c r="L1075" i="2"/>
  <c r="M1075" i="2" s="1"/>
  <c r="L1074" i="2"/>
  <c r="M1074" i="2" s="1"/>
  <c r="L1073" i="2"/>
  <c r="M1073" i="2" s="1"/>
  <c r="L1072" i="2"/>
  <c r="M1072" i="2" s="1"/>
  <c r="L1071" i="2"/>
  <c r="M1071" i="2" s="1"/>
  <c r="L1070" i="2"/>
  <c r="M1070" i="2" s="1"/>
  <c r="L1069" i="2"/>
  <c r="M1069" i="2" s="1"/>
  <c r="L1068" i="2"/>
  <c r="M1068" i="2" s="1"/>
  <c r="L1067" i="2"/>
  <c r="M1067" i="2" s="1"/>
  <c r="L1066" i="2"/>
  <c r="M1066" i="2" s="1"/>
  <c r="L1065" i="2"/>
  <c r="M1065" i="2" s="1"/>
  <c r="L1064" i="2"/>
  <c r="M1064" i="2" s="1"/>
  <c r="L1063" i="2"/>
  <c r="M1063" i="2" s="1"/>
  <c r="L1062" i="2"/>
  <c r="M1062" i="2" s="1"/>
  <c r="L1061" i="2"/>
  <c r="M1061" i="2" s="1"/>
  <c r="L1060" i="2"/>
  <c r="M1060" i="2" s="1"/>
  <c r="L1059" i="2"/>
  <c r="M1059" i="2" s="1"/>
  <c r="L1058" i="2"/>
  <c r="M1058" i="2" s="1"/>
  <c r="L1057" i="2"/>
  <c r="M1057" i="2" s="1"/>
  <c r="L1056" i="2"/>
  <c r="M1056" i="2" s="1"/>
  <c r="L1055" i="2"/>
  <c r="M1055" i="2" s="1"/>
  <c r="L1054" i="2"/>
  <c r="M1054" i="2" s="1"/>
  <c r="L1053" i="2"/>
  <c r="M1053" i="2" s="1"/>
  <c r="L1052" i="2"/>
  <c r="M1052" i="2" s="1"/>
  <c r="L1051" i="2"/>
  <c r="M1051" i="2" s="1"/>
  <c r="L1050" i="2"/>
  <c r="M1050" i="2" s="1"/>
  <c r="L1049" i="2"/>
  <c r="M1049" i="2" s="1"/>
  <c r="L1048" i="2"/>
  <c r="M1048" i="2" s="1"/>
  <c r="L1047" i="2"/>
  <c r="M1047" i="2" s="1"/>
  <c r="L1046" i="2"/>
  <c r="M1046" i="2" s="1"/>
  <c r="L1045" i="2"/>
  <c r="M1045" i="2" s="1"/>
  <c r="L1044" i="2"/>
  <c r="M1044" i="2" s="1"/>
  <c r="L1043" i="2"/>
  <c r="M1043" i="2" s="1"/>
  <c r="L1042" i="2"/>
  <c r="M1042" i="2" s="1"/>
  <c r="L1041" i="2"/>
  <c r="M1041" i="2" s="1"/>
  <c r="L1040" i="2"/>
  <c r="M1040" i="2" s="1"/>
  <c r="L1039" i="2"/>
  <c r="M1039" i="2" s="1"/>
  <c r="L1038" i="2"/>
  <c r="M1038" i="2" s="1"/>
  <c r="L1037" i="2"/>
  <c r="M1037" i="2" s="1"/>
  <c r="L1036" i="2"/>
  <c r="M1036" i="2" s="1"/>
  <c r="L1035" i="2"/>
  <c r="M1035" i="2" s="1"/>
  <c r="L1034" i="2"/>
  <c r="M1034" i="2" s="1"/>
  <c r="L1033" i="2"/>
  <c r="M1033" i="2" s="1"/>
  <c r="L1032" i="2"/>
  <c r="M1032" i="2" s="1"/>
  <c r="L1031" i="2"/>
  <c r="M1031" i="2" s="1"/>
  <c r="L1030" i="2"/>
  <c r="M1030" i="2" s="1"/>
  <c r="L1029" i="2"/>
  <c r="M1029" i="2" s="1"/>
  <c r="L1028" i="2"/>
  <c r="M1028" i="2" s="1"/>
  <c r="L1027" i="2"/>
  <c r="M1027" i="2" s="1"/>
  <c r="L1026" i="2"/>
  <c r="M1026" i="2" s="1"/>
  <c r="L1025" i="2"/>
  <c r="M1025" i="2" s="1"/>
  <c r="L1024" i="2"/>
  <c r="M1024" i="2" s="1"/>
  <c r="L1023" i="2"/>
  <c r="M1023" i="2" s="1"/>
  <c r="L1022" i="2"/>
  <c r="M1022" i="2" s="1"/>
  <c r="L1021" i="2"/>
  <c r="M1021" i="2" s="1"/>
  <c r="L1020" i="2"/>
  <c r="M1020" i="2" s="1"/>
  <c r="L1019" i="2"/>
  <c r="M1019" i="2" s="1"/>
  <c r="L1018" i="2"/>
  <c r="M1018" i="2" s="1"/>
  <c r="L1017" i="2"/>
  <c r="M1017" i="2" s="1"/>
  <c r="L1016" i="2"/>
  <c r="M1016" i="2" s="1"/>
  <c r="L1015" i="2"/>
  <c r="M1015" i="2" s="1"/>
  <c r="L1014" i="2"/>
  <c r="M1014" i="2" s="1"/>
  <c r="L1013" i="2"/>
  <c r="M1013" i="2" s="1"/>
  <c r="L1012" i="2"/>
  <c r="M1012" i="2" s="1"/>
  <c r="L1011" i="2"/>
  <c r="M1011" i="2" s="1"/>
  <c r="L1010" i="2"/>
  <c r="M1010" i="2" s="1"/>
  <c r="L1009" i="2"/>
  <c r="M1009" i="2" s="1"/>
  <c r="L1008" i="2"/>
  <c r="M1008" i="2" s="1"/>
  <c r="L1007" i="2"/>
  <c r="M1007" i="2" s="1"/>
  <c r="L1006" i="2"/>
  <c r="M1006" i="2" s="1"/>
  <c r="L1005" i="2"/>
  <c r="M1005" i="2" s="1"/>
  <c r="L1004" i="2"/>
  <c r="M1004" i="2" s="1"/>
  <c r="L1003" i="2"/>
  <c r="M1003" i="2" s="1"/>
  <c r="L1002" i="2"/>
  <c r="M1002" i="2" s="1"/>
  <c r="L1001" i="2"/>
  <c r="M1001" i="2" s="1"/>
  <c r="L1000" i="2"/>
  <c r="M1000" i="2" s="1"/>
  <c r="L999" i="2"/>
  <c r="M999" i="2" s="1"/>
  <c r="L998" i="2"/>
  <c r="M998" i="2" s="1"/>
  <c r="L997" i="2"/>
  <c r="M997" i="2" s="1"/>
  <c r="L996" i="2"/>
  <c r="M996" i="2" s="1"/>
  <c r="L995" i="2"/>
  <c r="M995" i="2" s="1"/>
  <c r="L994" i="2"/>
  <c r="M994" i="2" s="1"/>
  <c r="L993" i="2"/>
  <c r="M993" i="2" s="1"/>
  <c r="L992" i="2"/>
  <c r="M992" i="2" s="1"/>
  <c r="L991" i="2"/>
  <c r="M991" i="2" s="1"/>
  <c r="L990" i="2"/>
  <c r="M990" i="2" s="1"/>
  <c r="L989" i="2"/>
  <c r="M989" i="2" s="1"/>
  <c r="L988" i="2"/>
  <c r="M988" i="2" s="1"/>
  <c r="L987" i="2"/>
  <c r="M987" i="2" s="1"/>
  <c r="L986" i="2"/>
  <c r="M986" i="2" s="1"/>
  <c r="L985" i="2"/>
  <c r="M985" i="2" s="1"/>
  <c r="L984" i="2"/>
  <c r="M984" i="2" s="1"/>
  <c r="L983" i="2"/>
  <c r="M983" i="2" s="1"/>
  <c r="L982" i="2"/>
  <c r="M982" i="2" s="1"/>
  <c r="L981" i="2"/>
  <c r="M981" i="2" s="1"/>
  <c r="L980" i="2"/>
  <c r="M980" i="2" s="1"/>
  <c r="L979" i="2"/>
  <c r="M979" i="2" s="1"/>
  <c r="L978" i="2"/>
  <c r="M978" i="2" s="1"/>
  <c r="L977" i="2"/>
  <c r="M977" i="2" s="1"/>
  <c r="L976" i="2"/>
  <c r="M976" i="2" s="1"/>
  <c r="L975" i="2"/>
  <c r="M975" i="2" s="1"/>
  <c r="L974" i="2"/>
  <c r="M974" i="2" s="1"/>
  <c r="L973" i="2"/>
  <c r="M973" i="2" s="1"/>
  <c r="L972" i="2"/>
  <c r="M972" i="2" s="1"/>
  <c r="L971" i="2"/>
  <c r="M971" i="2" s="1"/>
  <c r="L970" i="2"/>
  <c r="M970" i="2" s="1"/>
  <c r="L969" i="2"/>
  <c r="M969" i="2" s="1"/>
  <c r="L968" i="2"/>
  <c r="M968" i="2" s="1"/>
  <c r="L967" i="2"/>
  <c r="M967" i="2" s="1"/>
  <c r="L966" i="2"/>
  <c r="M966" i="2" s="1"/>
  <c r="L965" i="2"/>
  <c r="M965" i="2" s="1"/>
  <c r="L964" i="2"/>
  <c r="M964" i="2" s="1"/>
  <c r="L963" i="2"/>
  <c r="M963" i="2" s="1"/>
  <c r="L962" i="2"/>
  <c r="M962" i="2" s="1"/>
  <c r="L961" i="2"/>
  <c r="M961" i="2" s="1"/>
  <c r="L960" i="2"/>
  <c r="M960" i="2" s="1"/>
  <c r="L959" i="2"/>
  <c r="M959" i="2" s="1"/>
  <c r="L958" i="2"/>
  <c r="M958" i="2" s="1"/>
  <c r="L957" i="2"/>
  <c r="M957" i="2" s="1"/>
  <c r="L956" i="2"/>
  <c r="M956" i="2" s="1"/>
  <c r="L955" i="2"/>
  <c r="M955" i="2" s="1"/>
  <c r="L954" i="2"/>
  <c r="M954" i="2" s="1"/>
  <c r="L953" i="2"/>
  <c r="M953" i="2" s="1"/>
  <c r="L952" i="2"/>
  <c r="M952" i="2" s="1"/>
  <c r="L951" i="2"/>
  <c r="M951" i="2" s="1"/>
  <c r="L950" i="2"/>
  <c r="M950" i="2" s="1"/>
  <c r="L949" i="2"/>
  <c r="M949" i="2" s="1"/>
  <c r="L948" i="2"/>
  <c r="M948" i="2" s="1"/>
  <c r="L947" i="2"/>
  <c r="M947" i="2" s="1"/>
  <c r="L946" i="2"/>
  <c r="M946" i="2" s="1"/>
  <c r="L945" i="2"/>
  <c r="M945" i="2" s="1"/>
  <c r="L944" i="2"/>
  <c r="M944" i="2" s="1"/>
  <c r="L943" i="2"/>
  <c r="M943" i="2" s="1"/>
  <c r="L942" i="2"/>
  <c r="M942" i="2" s="1"/>
  <c r="L941" i="2"/>
  <c r="M941" i="2" s="1"/>
  <c r="L940" i="2"/>
  <c r="M940" i="2" s="1"/>
  <c r="L939" i="2"/>
  <c r="M939" i="2" s="1"/>
  <c r="L938" i="2"/>
  <c r="M938" i="2" s="1"/>
  <c r="L937" i="2"/>
  <c r="M937" i="2" s="1"/>
  <c r="L936" i="2"/>
  <c r="M936" i="2" s="1"/>
  <c r="L935" i="2"/>
  <c r="M935" i="2" s="1"/>
  <c r="L934" i="2"/>
  <c r="M934" i="2" s="1"/>
  <c r="L933" i="2"/>
  <c r="M933" i="2" s="1"/>
  <c r="L932" i="2"/>
  <c r="M932" i="2" s="1"/>
  <c r="L931" i="2"/>
  <c r="M931" i="2" s="1"/>
  <c r="L930" i="2"/>
  <c r="M930" i="2" s="1"/>
  <c r="L929" i="2"/>
  <c r="M929" i="2" s="1"/>
  <c r="L928" i="2"/>
  <c r="M928" i="2" s="1"/>
  <c r="L927" i="2"/>
  <c r="M927" i="2" s="1"/>
  <c r="L926" i="2"/>
  <c r="M926" i="2" s="1"/>
  <c r="L925" i="2"/>
  <c r="M925" i="2" s="1"/>
  <c r="L924" i="2"/>
  <c r="M924" i="2" s="1"/>
  <c r="L923" i="2"/>
  <c r="M923" i="2" s="1"/>
  <c r="L922" i="2"/>
  <c r="M922" i="2" s="1"/>
  <c r="L921" i="2"/>
  <c r="M921" i="2" s="1"/>
  <c r="L920" i="2"/>
  <c r="M920" i="2" s="1"/>
  <c r="L919" i="2"/>
  <c r="M919" i="2" s="1"/>
  <c r="L918" i="2"/>
  <c r="M918" i="2" s="1"/>
  <c r="L917" i="2"/>
  <c r="M917" i="2" s="1"/>
  <c r="L916" i="2"/>
  <c r="M916" i="2" s="1"/>
  <c r="L915" i="2"/>
  <c r="M915" i="2" s="1"/>
  <c r="L914" i="2"/>
  <c r="M914" i="2" s="1"/>
  <c r="L913" i="2"/>
  <c r="M913" i="2" s="1"/>
  <c r="L912" i="2"/>
  <c r="M912" i="2" s="1"/>
  <c r="L911" i="2"/>
  <c r="M911" i="2" s="1"/>
  <c r="L910" i="2"/>
  <c r="M910" i="2" s="1"/>
  <c r="L909" i="2"/>
  <c r="M909" i="2" s="1"/>
  <c r="L908" i="2"/>
  <c r="M908" i="2" s="1"/>
  <c r="L907" i="2"/>
  <c r="M907" i="2" s="1"/>
  <c r="L906" i="2"/>
  <c r="M906" i="2" s="1"/>
  <c r="L905" i="2"/>
  <c r="M905" i="2" s="1"/>
  <c r="L904" i="2"/>
  <c r="M904" i="2" s="1"/>
  <c r="L903" i="2"/>
  <c r="M903" i="2" s="1"/>
  <c r="L902" i="2"/>
  <c r="M902" i="2" s="1"/>
  <c r="L901" i="2"/>
  <c r="M901" i="2" s="1"/>
  <c r="L900" i="2"/>
  <c r="M900" i="2" s="1"/>
  <c r="L899" i="2"/>
  <c r="M899" i="2" s="1"/>
  <c r="L898" i="2"/>
  <c r="M898" i="2" s="1"/>
  <c r="L897" i="2"/>
  <c r="M897" i="2" s="1"/>
  <c r="L896" i="2"/>
  <c r="M896" i="2" s="1"/>
  <c r="L895" i="2"/>
  <c r="M895" i="2" s="1"/>
  <c r="L894" i="2"/>
  <c r="M894" i="2" s="1"/>
  <c r="L893" i="2"/>
  <c r="M893" i="2" s="1"/>
  <c r="L892" i="2"/>
  <c r="M892" i="2" s="1"/>
  <c r="L891" i="2"/>
  <c r="M891" i="2" s="1"/>
  <c r="L890" i="2"/>
  <c r="M890" i="2" s="1"/>
  <c r="L889" i="2"/>
  <c r="M889" i="2" s="1"/>
  <c r="L888" i="2"/>
  <c r="M888" i="2" s="1"/>
  <c r="L887" i="2"/>
  <c r="M887" i="2" s="1"/>
  <c r="L886" i="2"/>
  <c r="M886" i="2" s="1"/>
  <c r="L885" i="2"/>
  <c r="M885" i="2" s="1"/>
  <c r="L884" i="2"/>
  <c r="M884" i="2" s="1"/>
  <c r="L883" i="2"/>
  <c r="M883" i="2" s="1"/>
  <c r="L882" i="2"/>
  <c r="M882" i="2" s="1"/>
  <c r="L881" i="2"/>
  <c r="M881" i="2" s="1"/>
  <c r="L880" i="2"/>
  <c r="M880" i="2" s="1"/>
  <c r="L879" i="2"/>
  <c r="M879" i="2" s="1"/>
  <c r="L878" i="2"/>
  <c r="M878" i="2" s="1"/>
  <c r="L877" i="2"/>
  <c r="M877" i="2" s="1"/>
  <c r="L876" i="2"/>
  <c r="M876" i="2" s="1"/>
  <c r="L875" i="2"/>
  <c r="M875" i="2" s="1"/>
  <c r="L874" i="2"/>
  <c r="M874" i="2" s="1"/>
  <c r="L873" i="2"/>
  <c r="M873" i="2" s="1"/>
  <c r="L872" i="2"/>
  <c r="M872" i="2" s="1"/>
  <c r="L871" i="2"/>
  <c r="M871" i="2" s="1"/>
  <c r="L870" i="2"/>
  <c r="M870" i="2" s="1"/>
  <c r="L869" i="2"/>
  <c r="M869" i="2" s="1"/>
  <c r="L868" i="2"/>
  <c r="M868" i="2" s="1"/>
  <c r="L867" i="2"/>
  <c r="M867" i="2" s="1"/>
  <c r="L866" i="2"/>
  <c r="M866" i="2" s="1"/>
  <c r="L865" i="2"/>
  <c r="M865" i="2" s="1"/>
  <c r="L864" i="2"/>
  <c r="M864" i="2" s="1"/>
  <c r="L863" i="2"/>
  <c r="M863" i="2" s="1"/>
  <c r="L862" i="2"/>
  <c r="M862" i="2" s="1"/>
  <c r="L861" i="2"/>
  <c r="M861" i="2" s="1"/>
  <c r="L860" i="2"/>
  <c r="M860" i="2" s="1"/>
  <c r="L859" i="2"/>
  <c r="M859" i="2" s="1"/>
  <c r="L858" i="2"/>
  <c r="M858" i="2" s="1"/>
  <c r="L857" i="2"/>
  <c r="M857" i="2" s="1"/>
  <c r="L856" i="2"/>
  <c r="M856" i="2" s="1"/>
  <c r="L855" i="2"/>
  <c r="M855" i="2" s="1"/>
  <c r="L854" i="2"/>
  <c r="M854" i="2" s="1"/>
  <c r="L853" i="2"/>
  <c r="M853" i="2" s="1"/>
  <c r="L852" i="2"/>
  <c r="M852" i="2" s="1"/>
  <c r="L851" i="2"/>
  <c r="M851" i="2" s="1"/>
  <c r="L850" i="2"/>
  <c r="M850" i="2" s="1"/>
  <c r="L849" i="2"/>
  <c r="M849" i="2" s="1"/>
  <c r="L848" i="2"/>
  <c r="M848" i="2" s="1"/>
  <c r="L847" i="2"/>
  <c r="M847" i="2" s="1"/>
  <c r="L846" i="2"/>
  <c r="M846" i="2" s="1"/>
  <c r="L845" i="2"/>
  <c r="M845" i="2" s="1"/>
  <c r="L844" i="2"/>
  <c r="M844" i="2" s="1"/>
  <c r="L843" i="2"/>
  <c r="M843" i="2" s="1"/>
  <c r="L842" i="2"/>
  <c r="M842" i="2" s="1"/>
  <c r="L841" i="2"/>
  <c r="M841" i="2" s="1"/>
  <c r="L840" i="2"/>
  <c r="M840" i="2" s="1"/>
  <c r="L839" i="2"/>
  <c r="M839" i="2" s="1"/>
  <c r="L838" i="2"/>
  <c r="M838" i="2" s="1"/>
  <c r="L837" i="2"/>
  <c r="M837" i="2" s="1"/>
  <c r="L836" i="2"/>
  <c r="M836" i="2" s="1"/>
  <c r="L835" i="2"/>
  <c r="M835" i="2" s="1"/>
  <c r="L834" i="2"/>
  <c r="M834" i="2" s="1"/>
  <c r="L833" i="2"/>
  <c r="M833" i="2" s="1"/>
  <c r="L832" i="2"/>
  <c r="M832" i="2" s="1"/>
  <c r="L831" i="2"/>
  <c r="M831" i="2" s="1"/>
  <c r="L830" i="2"/>
  <c r="M830" i="2" s="1"/>
  <c r="L829" i="2"/>
  <c r="M829" i="2" s="1"/>
  <c r="L828" i="2"/>
  <c r="M828" i="2" s="1"/>
  <c r="L827" i="2"/>
  <c r="M827" i="2" s="1"/>
  <c r="L826" i="2"/>
  <c r="M826" i="2" s="1"/>
  <c r="L825" i="2"/>
  <c r="M825" i="2" s="1"/>
  <c r="L824" i="2"/>
  <c r="M824" i="2" s="1"/>
  <c r="L823" i="2"/>
  <c r="M823" i="2" s="1"/>
  <c r="L822" i="2"/>
  <c r="M822" i="2" s="1"/>
  <c r="L821" i="2"/>
  <c r="M821" i="2" s="1"/>
  <c r="L820" i="2"/>
  <c r="M820" i="2" s="1"/>
  <c r="L819" i="2"/>
  <c r="M819" i="2" s="1"/>
  <c r="L818" i="2"/>
  <c r="M818" i="2" s="1"/>
  <c r="L817" i="2"/>
  <c r="M817" i="2" s="1"/>
  <c r="L816" i="2"/>
  <c r="M816" i="2" s="1"/>
  <c r="L815" i="2"/>
  <c r="M815" i="2" s="1"/>
  <c r="L814" i="2"/>
  <c r="M814" i="2" s="1"/>
  <c r="L813" i="2"/>
  <c r="M813" i="2" s="1"/>
  <c r="L812" i="2"/>
  <c r="M812" i="2" s="1"/>
  <c r="L811" i="2"/>
  <c r="M811" i="2" s="1"/>
  <c r="L810" i="2"/>
  <c r="M810" i="2" s="1"/>
  <c r="L809" i="2"/>
  <c r="M809" i="2" s="1"/>
  <c r="L808" i="2"/>
  <c r="M808" i="2" s="1"/>
  <c r="L807" i="2"/>
  <c r="M807" i="2" s="1"/>
  <c r="L806" i="2"/>
  <c r="M806" i="2" s="1"/>
  <c r="L805" i="2"/>
  <c r="M805" i="2" s="1"/>
  <c r="L804" i="2"/>
  <c r="M804" i="2" s="1"/>
  <c r="L803" i="2"/>
  <c r="M803" i="2" s="1"/>
  <c r="L802" i="2"/>
  <c r="M802" i="2" s="1"/>
  <c r="L801" i="2"/>
  <c r="M801" i="2" s="1"/>
  <c r="L800" i="2"/>
  <c r="M800" i="2" s="1"/>
  <c r="L799" i="2"/>
  <c r="M799" i="2" s="1"/>
  <c r="L798" i="2"/>
  <c r="M798" i="2" s="1"/>
  <c r="L797" i="2"/>
  <c r="M797" i="2" s="1"/>
  <c r="L796" i="2"/>
  <c r="M796" i="2" s="1"/>
  <c r="L795" i="2"/>
  <c r="M795" i="2" s="1"/>
  <c r="L794" i="2"/>
  <c r="M794" i="2" s="1"/>
  <c r="L793" i="2"/>
  <c r="M793" i="2" s="1"/>
  <c r="L792" i="2"/>
  <c r="M792" i="2" s="1"/>
  <c r="L791" i="2"/>
  <c r="M791" i="2" s="1"/>
  <c r="L790" i="2"/>
  <c r="M790" i="2" s="1"/>
  <c r="L789" i="2"/>
  <c r="M789" i="2" s="1"/>
  <c r="L788" i="2"/>
  <c r="M788" i="2" s="1"/>
  <c r="L787" i="2"/>
  <c r="M787" i="2" s="1"/>
  <c r="L786" i="2"/>
  <c r="M786" i="2" s="1"/>
  <c r="L785" i="2"/>
  <c r="M785" i="2" s="1"/>
  <c r="L784" i="2"/>
  <c r="M784" i="2" s="1"/>
  <c r="L783" i="2"/>
  <c r="M783" i="2" s="1"/>
  <c r="L782" i="2"/>
  <c r="M782" i="2" s="1"/>
  <c r="L781" i="2"/>
  <c r="M781" i="2" s="1"/>
  <c r="L780" i="2"/>
  <c r="M780" i="2" s="1"/>
  <c r="L779" i="2"/>
  <c r="M779" i="2" s="1"/>
  <c r="L778" i="2"/>
  <c r="M778" i="2" s="1"/>
  <c r="L777" i="2"/>
  <c r="M777" i="2" s="1"/>
  <c r="L776" i="2"/>
  <c r="M776" i="2" s="1"/>
  <c r="L775" i="2"/>
  <c r="M775" i="2" s="1"/>
  <c r="L774" i="2"/>
  <c r="M774" i="2" s="1"/>
  <c r="L773" i="2"/>
  <c r="M773" i="2" s="1"/>
  <c r="L772" i="2"/>
  <c r="M772" i="2" s="1"/>
  <c r="L771" i="2"/>
  <c r="M771" i="2" s="1"/>
  <c r="L770" i="2"/>
  <c r="M770" i="2" s="1"/>
  <c r="L769" i="2"/>
  <c r="M769" i="2" s="1"/>
  <c r="L768" i="2"/>
  <c r="M768" i="2" s="1"/>
  <c r="L767" i="2"/>
  <c r="M767" i="2" s="1"/>
  <c r="L766" i="2"/>
  <c r="M766" i="2" s="1"/>
  <c r="L765" i="2"/>
  <c r="M765" i="2" s="1"/>
  <c r="L764" i="2"/>
  <c r="M764" i="2" s="1"/>
  <c r="L763" i="2"/>
  <c r="M763" i="2" s="1"/>
  <c r="L762" i="2"/>
  <c r="M762" i="2" s="1"/>
  <c r="L761" i="2"/>
  <c r="M761" i="2" s="1"/>
  <c r="L760" i="2"/>
  <c r="M760" i="2" s="1"/>
  <c r="L759" i="2"/>
  <c r="M759" i="2" s="1"/>
  <c r="L758" i="2"/>
  <c r="M758" i="2" s="1"/>
  <c r="L757" i="2"/>
  <c r="M757" i="2" s="1"/>
  <c r="L756" i="2"/>
  <c r="M756" i="2" s="1"/>
  <c r="L755" i="2"/>
  <c r="M755" i="2" s="1"/>
  <c r="L754" i="2"/>
  <c r="M754" i="2" s="1"/>
  <c r="L753" i="2"/>
  <c r="M753" i="2" s="1"/>
  <c r="L752" i="2"/>
  <c r="M752" i="2" s="1"/>
  <c r="L751" i="2"/>
  <c r="M751" i="2" s="1"/>
  <c r="L750" i="2"/>
  <c r="M750" i="2" s="1"/>
  <c r="L749" i="2"/>
  <c r="M749" i="2" s="1"/>
  <c r="L748" i="2"/>
  <c r="M748" i="2" s="1"/>
  <c r="L747" i="2"/>
  <c r="M747" i="2" s="1"/>
  <c r="L746" i="2"/>
  <c r="M746" i="2" s="1"/>
  <c r="L745" i="2"/>
  <c r="M745" i="2" s="1"/>
  <c r="L744" i="2"/>
  <c r="M744" i="2" s="1"/>
  <c r="L743" i="2"/>
  <c r="M743" i="2" s="1"/>
  <c r="L742" i="2"/>
  <c r="M742" i="2" s="1"/>
  <c r="L741" i="2"/>
  <c r="M741" i="2" s="1"/>
  <c r="L740" i="2"/>
  <c r="M740" i="2" s="1"/>
  <c r="L739" i="2"/>
  <c r="M739" i="2" s="1"/>
  <c r="L738" i="2"/>
  <c r="M738" i="2" s="1"/>
  <c r="L737" i="2"/>
  <c r="M737" i="2" s="1"/>
  <c r="L736" i="2"/>
  <c r="M736" i="2" s="1"/>
  <c r="L735" i="2"/>
  <c r="M735" i="2" s="1"/>
  <c r="L734" i="2"/>
  <c r="M734" i="2" s="1"/>
  <c r="L733" i="2"/>
  <c r="M733" i="2" s="1"/>
  <c r="L732" i="2"/>
  <c r="M732" i="2" s="1"/>
  <c r="L731" i="2"/>
  <c r="M731" i="2" s="1"/>
  <c r="L730" i="2"/>
  <c r="M730" i="2" s="1"/>
  <c r="L729" i="2"/>
  <c r="M729" i="2" s="1"/>
  <c r="L728" i="2"/>
  <c r="M728" i="2" s="1"/>
  <c r="L727" i="2"/>
  <c r="M727" i="2" s="1"/>
  <c r="L726" i="2"/>
  <c r="M726" i="2" s="1"/>
  <c r="L725" i="2"/>
  <c r="M725" i="2" s="1"/>
  <c r="L724" i="2"/>
  <c r="M724" i="2" s="1"/>
  <c r="L723" i="2"/>
  <c r="M723" i="2" s="1"/>
  <c r="L722" i="2"/>
  <c r="M722" i="2" s="1"/>
  <c r="L721" i="2"/>
  <c r="M721" i="2" s="1"/>
  <c r="L720" i="2"/>
  <c r="M720" i="2" s="1"/>
  <c r="L719" i="2"/>
  <c r="M719" i="2" s="1"/>
  <c r="L718" i="2"/>
  <c r="M718" i="2" s="1"/>
  <c r="L717" i="2"/>
  <c r="M717" i="2" s="1"/>
  <c r="L716" i="2"/>
  <c r="M716" i="2" s="1"/>
  <c r="L715" i="2"/>
  <c r="M715" i="2" s="1"/>
  <c r="L714" i="2"/>
  <c r="M714" i="2" s="1"/>
  <c r="L713" i="2"/>
  <c r="M713" i="2" s="1"/>
  <c r="L712" i="2"/>
  <c r="M712" i="2" s="1"/>
  <c r="L711" i="2"/>
  <c r="M711" i="2" s="1"/>
  <c r="L710" i="2"/>
  <c r="M710" i="2" s="1"/>
  <c r="L709" i="2"/>
  <c r="M709" i="2" s="1"/>
  <c r="L708" i="2"/>
  <c r="M708" i="2" s="1"/>
  <c r="L707" i="2"/>
  <c r="M707" i="2" s="1"/>
  <c r="L706" i="2"/>
  <c r="M706" i="2" s="1"/>
  <c r="L705" i="2"/>
  <c r="M705" i="2" s="1"/>
  <c r="L704" i="2"/>
  <c r="M704" i="2" s="1"/>
  <c r="L703" i="2"/>
  <c r="M703" i="2" s="1"/>
  <c r="L702" i="2"/>
  <c r="M702" i="2" s="1"/>
  <c r="L701" i="2"/>
  <c r="M701" i="2" s="1"/>
  <c r="L700" i="2"/>
  <c r="M700" i="2" s="1"/>
  <c r="L699" i="2"/>
  <c r="M699" i="2" s="1"/>
  <c r="L698" i="2"/>
  <c r="M698" i="2" s="1"/>
  <c r="L697" i="2"/>
  <c r="M697" i="2" s="1"/>
  <c r="L696" i="2"/>
  <c r="M696" i="2" s="1"/>
  <c r="L695" i="2"/>
  <c r="M695" i="2" s="1"/>
  <c r="L694" i="2"/>
  <c r="M694" i="2" s="1"/>
  <c r="L693" i="2"/>
  <c r="M693" i="2" s="1"/>
  <c r="L692" i="2"/>
  <c r="M692" i="2" s="1"/>
  <c r="L691" i="2"/>
  <c r="M691" i="2" s="1"/>
  <c r="L690" i="2"/>
  <c r="M690" i="2" s="1"/>
  <c r="L689" i="2"/>
  <c r="M689" i="2" s="1"/>
  <c r="L688" i="2"/>
  <c r="M688" i="2" s="1"/>
  <c r="L687" i="2"/>
  <c r="M687" i="2" s="1"/>
  <c r="L686" i="2"/>
  <c r="M686" i="2" s="1"/>
  <c r="L685" i="2"/>
  <c r="M685" i="2" s="1"/>
  <c r="L684" i="2"/>
  <c r="M684" i="2" s="1"/>
  <c r="L683" i="2"/>
  <c r="M683" i="2" s="1"/>
  <c r="L682" i="2"/>
  <c r="M682" i="2" s="1"/>
  <c r="L681" i="2"/>
  <c r="M681" i="2" s="1"/>
  <c r="L680" i="2"/>
  <c r="M680" i="2" s="1"/>
  <c r="L679" i="2"/>
  <c r="M679" i="2" s="1"/>
  <c r="L678" i="2"/>
  <c r="M678" i="2" s="1"/>
  <c r="L677" i="2"/>
  <c r="M677" i="2" s="1"/>
  <c r="L676" i="2"/>
  <c r="M676" i="2" s="1"/>
  <c r="L675" i="2"/>
  <c r="M675" i="2" s="1"/>
  <c r="L674" i="2"/>
  <c r="M674" i="2" s="1"/>
  <c r="L673" i="2"/>
  <c r="M673" i="2" s="1"/>
  <c r="L672" i="2"/>
  <c r="M672" i="2" s="1"/>
  <c r="L671" i="2"/>
  <c r="M671" i="2" s="1"/>
  <c r="L670" i="2"/>
  <c r="M670" i="2" s="1"/>
  <c r="L669" i="2"/>
  <c r="M669" i="2" s="1"/>
  <c r="L668" i="2"/>
  <c r="M668" i="2" s="1"/>
  <c r="L667" i="2"/>
  <c r="M667" i="2" s="1"/>
  <c r="L666" i="2"/>
  <c r="M666" i="2" s="1"/>
  <c r="L665" i="2"/>
  <c r="M665" i="2" s="1"/>
  <c r="L664" i="2"/>
  <c r="M664" i="2" s="1"/>
  <c r="L663" i="2"/>
  <c r="M663" i="2" s="1"/>
  <c r="L662" i="2"/>
  <c r="M662" i="2" s="1"/>
  <c r="L661" i="2"/>
  <c r="M661" i="2" s="1"/>
  <c r="L660" i="2"/>
  <c r="M660" i="2" s="1"/>
  <c r="L659" i="2"/>
  <c r="M659" i="2" s="1"/>
  <c r="L658" i="2"/>
  <c r="M658" i="2" s="1"/>
  <c r="L657" i="2"/>
  <c r="M657" i="2" s="1"/>
  <c r="L656" i="2"/>
  <c r="M656" i="2" s="1"/>
  <c r="L655" i="2"/>
  <c r="M655" i="2" s="1"/>
  <c r="L654" i="2"/>
  <c r="M654" i="2" s="1"/>
  <c r="L653" i="2"/>
  <c r="M653" i="2" s="1"/>
  <c r="L652" i="2"/>
  <c r="M652" i="2" s="1"/>
  <c r="L651" i="2"/>
  <c r="M651" i="2" s="1"/>
  <c r="L650" i="2"/>
  <c r="M650" i="2" s="1"/>
  <c r="L649" i="2"/>
  <c r="M649" i="2" s="1"/>
  <c r="L648" i="2"/>
  <c r="M648" i="2" s="1"/>
  <c r="L647" i="2"/>
  <c r="M647" i="2" s="1"/>
  <c r="L646" i="2"/>
  <c r="M646" i="2" s="1"/>
  <c r="L645" i="2"/>
  <c r="M645" i="2" s="1"/>
  <c r="L644" i="2"/>
  <c r="M644" i="2" s="1"/>
  <c r="L643" i="2"/>
  <c r="M643" i="2" s="1"/>
  <c r="L642" i="2"/>
  <c r="M642" i="2" s="1"/>
  <c r="L641" i="2"/>
  <c r="M641" i="2" s="1"/>
  <c r="L640" i="2"/>
  <c r="M640" i="2" s="1"/>
  <c r="L639" i="2"/>
  <c r="M639" i="2" s="1"/>
  <c r="L638" i="2"/>
  <c r="M638" i="2" s="1"/>
  <c r="L637" i="2"/>
  <c r="M637" i="2" s="1"/>
  <c r="L636" i="2"/>
  <c r="M636" i="2" s="1"/>
  <c r="L635" i="2"/>
  <c r="M635" i="2" s="1"/>
  <c r="L634" i="2"/>
  <c r="M634" i="2" s="1"/>
  <c r="L633" i="2"/>
  <c r="M633" i="2" s="1"/>
  <c r="L632" i="2"/>
  <c r="M632" i="2" s="1"/>
  <c r="L631" i="2"/>
  <c r="M631" i="2" s="1"/>
  <c r="L630" i="2"/>
  <c r="M630" i="2" s="1"/>
  <c r="L629" i="2"/>
  <c r="M629" i="2" s="1"/>
  <c r="L628" i="2"/>
  <c r="M628" i="2" s="1"/>
  <c r="L627" i="2"/>
  <c r="M627" i="2" s="1"/>
  <c r="L626" i="2"/>
  <c r="M626" i="2" s="1"/>
  <c r="L625" i="2"/>
  <c r="M625" i="2" s="1"/>
  <c r="L624" i="2"/>
  <c r="M624" i="2" s="1"/>
  <c r="L623" i="2"/>
  <c r="M623" i="2" s="1"/>
  <c r="L622" i="2"/>
  <c r="M622" i="2" s="1"/>
  <c r="L621" i="2"/>
  <c r="M621" i="2" s="1"/>
  <c r="L620" i="2"/>
  <c r="M620" i="2" s="1"/>
  <c r="L619" i="2"/>
  <c r="M619" i="2" s="1"/>
  <c r="L618" i="2"/>
  <c r="M618" i="2" s="1"/>
  <c r="L617" i="2"/>
  <c r="M617" i="2" s="1"/>
  <c r="L616" i="2"/>
  <c r="M616" i="2" s="1"/>
  <c r="L615" i="2"/>
  <c r="M615" i="2" s="1"/>
  <c r="L614" i="2"/>
  <c r="M614" i="2" s="1"/>
  <c r="L613" i="2"/>
  <c r="M613" i="2" s="1"/>
  <c r="L612" i="2"/>
  <c r="M612" i="2" s="1"/>
  <c r="L611" i="2"/>
  <c r="M611" i="2" s="1"/>
  <c r="L610" i="2"/>
  <c r="M610" i="2" s="1"/>
  <c r="L609" i="2"/>
  <c r="M609" i="2" s="1"/>
  <c r="L608" i="2"/>
  <c r="M608" i="2" s="1"/>
  <c r="L607" i="2"/>
  <c r="M607" i="2" s="1"/>
  <c r="L606" i="2"/>
  <c r="M606" i="2" s="1"/>
  <c r="L605" i="2"/>
  <c r="M605" i="2" s="1"/>
  <c r="L604" i="2"/>
  <c r="M604" i="2" s="1"/>
  <c r="L603" i="2"/>
  <c r="M603" i="2" s="1"/>
  <c r="L602" i="2"/>
  <c r="M602" i="2" s="1"/>
  <c r="L601" i="2"/>
  <c r="M601" i="2" s="1"/>
  <c r="L600" i="2"/>
  <c r="M600" i="2" s="1"/>
  <c r="L599" i="2"/>
  <c r="M599" i="2" s="1"/>
  <c r="L598" i="2"/>
  <c r="M598" i="2" s="1"/>
  <c r="L597" i="2"/>
  <c r="M597" i="2" s="1"/>
  <c r="L596" i="2"/>
  <c r="M596" i="2" s="1"/>
  <c r="L595" i="2"/>
  <c r="M595" i="2" s="1"/>
  <c r="L594" i="2"/>
  <c r="M594" i="2" s="1"/>
  <c r="L593" i="2"/>
  <c r="M593" i="2" s="1"/>
  <c r="L592" i="2"/>
  <c r="M592" i="2" s="1"/>
  <c r="L591" i="2"/>
  <c r="M591" i="2" s="1"/>
  <c r="L590" i="2"/>
  <c r="M590" i="2" s="1"/>
  <c r="L589" i="2"/>
  <c r="M589" i="2" s="1"/>
  <c r="L588" i="2"/>
  <c r="M588" i="2" s="1"/>
  <c r="L587" i="2"/>
  <c r="M587" i="2" s="1"/>
  <c r="L586" i="2"/>
  <c r="M586" i="2" s="1"/>
  <c r="L585" i="2"/>
  <c r="M585" i="2" s="1"/>
  <c r="L584" i="2"/>
  <c r="M584" i="2" s="1"/>
  <c r="L583" i="2"/>
  <c r="M583" i="2" s="1"/>
  <c r="L582" i="2"/>
  <c r="M582" i="2" s="1"/>
  <c r="L581" i="2"/>
  <c r="M581" i="2" s="1"/>
  <c r="L580" i="2"/>
  <c r="M580" i="2" s="1"/>
  <c r="L579" i="2"/>
  <c r="M579" i="2" s="1"/>
  <c r="L578" i="2"/>
  <c r="M578" i="2" s="1"/>
  <c r="L577" i="2"/>
  <c r="M577" i="2" s="1"/>
  <c r="L576" i="2"/>
  <c r="M576" i="2" s="1"/>
  <c r="L575" i="2"/>
  <c r="M575" i="2" s="1"/>
  <c r="L574" i="2"/>
  <c r="M574" i="2" s="1"/>
  <c r="L573" i="2"/>
  <c r="M573" i="2" s="1"/>
  <c r="L572" i="2"/>
  <c r="M572" i="2" s="1"/>
  <c r="L571" i="2"/>
  <c r="M571" i="2" s="1"/>
  <c r="L570" i="2"/>
  <c r="M570" i="2" s="1"/>
  <c r="L569" i="2"/>
  <c r="M569" i="2" s="1"/>
  <c r="L568" i="2"/>
  <c r="M568" i="2" s="1"/>
  <c r="L567" i="2"/>
  <c r="M567" i="2" s="1"/>
  <c r="L566" i="2"/>
  <c r="M566" i="2" s="1"/>
  <c r="L565" i="2"/>
  <c r="M565" i="2" s="1"/>
  <c r="L564" i="2"/>
  <c r="M564" i="2" s="1"/>
  <c r="L563" i="2"/>
  <c r="M563" i="2" s="1"/>
  <c r="L562" i="2"/>
  <c r="M562" i="2" s="1"/>
  <c r="L561" i="2"/>
  <c r="M561" i="2" s="1"/>
  <c r="L560" i="2"/>
  <c r="M560" i="2" s="1"/>
  <c r="L559" i="2"/>
  <c r="M559" i="2" s="1"/>
  <c r="L558" i="2"/>
  <c r="M558" i="2" s="1"/>
  <c r="L557" i="2"/>
  <c r="M557" i="2" s="1"/>
  <c r="L556" i="2"/>
  <c r="M556" i="2" s="1"/>
  <c r="L555" i="2"/>
  <c r="M555" i="2" s="1"/>
  <c r="L554" i="2"/>
  <c r="M554" i="2" s="1"/>
  <c r="L553" i="2"/>
  <c r="M553" i="2" s="1"/>
  <c r="L552" i="2"/>
  <c r="M552" i="2" s="1"/>
  <c r="L551" i="2"/>
  <c r="M551" i="2" s="1"/>
  <c r="L550" i="2"/>
  <c r="M550" i="2" s="1"/>
  <c r="L549" i="2"/>
  <c r="M549" i="2" s="1"/>
  <c r="L548" i="2"/>
  <c r="M548" i="2" s="1"/>
  <c r="L547" i="2"/>
  <c r="M547" i="2" s="1"/>
  <c r="L546" i="2"/>
  <c r="M546" i="2" s="1"/>
  <c r="L545" i="2"/>
  <c r="M545" i="2" s="1"/>
  <c r="L544" i="2"/>
  <c r="M544" i="2" s="1"/>
  <c r="L543" i="2"/>
  <c r="M543" i="2" s="1"/>
  <c r="L542" i="2"/>
  <c r="M542" i="2" s="1"/>
  <c r="L541" i="2"/>
  <c r="M541" i="2" s="1"/>
  <c r="L540" i="2"/>
  <c r="M540" i="2" s="1"/>
  <c r="L539" i="2"/>
  <c r="M539" i="2" s="1"/>
  <c r="L538" i="2"/>
  <c r="M538" i="2" s="1"/>
  <c r="L537" i="2"/>
  <c r="M537" i="2" s="1"/>
  <c r="L536" i="2"/>
  <c r="M536" i="2" s="1"/>
  <c r="L535" i="2"/>
  <c r="M535" i="2" s="1"/>
  <c r="L534" i="2"/>
  <c r="M534" i="2" s="1"/>
  <c r="L533" i="2"/>
  <c r="M533" i="2" s="1"/>
  <c r="L532" i="2"/>
  <c r="M532" i="2" s="1"/>
  <c r="L531" i="2"/>
  <c r="M531" i="2" s="1"/>
  <c r="L530" i="2"/>
  <c r="M530" i="2" s="1"/>
  <c r="L529" i="2"/>
  <c r="M529" i="2" s="1"/>
  <c r="L528" i="2"/>
  <c r="M528" i="2" s="1"/>
  <c r="L527" i="2"/>
  <c r="M527" i="2" s="1"/>
  <c r="L526" i="2"/>
  <c r="M526" i="2" s="1"/>
  <c r="L525" i="2"/>
  <c r="M525" i="2" s="1"/>
  <c r="L524" i="2"/>
  <c r="M524" i="2" s="1"/>
  <c r="L523" i="2"/>
  <c r="M523" i="2" s="1"/>
  <c r="L522" i="2"/>
  <c r="M522" i="2" s="1"/>
  <c r="L521" i="2"/>
  <c r="M521" i="2" s="1"/>
  <c r="L520" i="2"/>
  <c r="M520" i="2" s="1"/>
  <c r="L519" i="2"/>
  <c r="M519" i="2" s="1"/>
  <c r="L518" i="2"/>
  <c r="M518" i="2" s="1"/>
  <c r="L517" i="2"/>
  <c r="M517" i="2" s="1"/>
  <c r="L516" i="2"/>
  <c r="M516" i="2" s="1"/>
  <c r="L515" i="2"/>
  <c r="M515" i="2" s="1"/>
  <c r="L514" i="2"/>
  <c r="M514" i="2" s="1"/>
  <c r="L513" i="2"/>
  <c r="M513" i="2" s="1"/>
  <c r="L512" i="2"/>
  <c r="M512" i="2" s="1"/>
  <c r="L511" i="2"/>
  <c r="M511" i="2" s="1"/>
  <c r="L510" i="2"/>
  <c r="M510" i="2" s="1"/>
  <c r="L509" i="2"/>
  <c r="M509" i="2" s="1"/>
  <c r="L508" i="2"/>
  <c r="M508" i="2" s="1"/>
  <c r="L507" i="2"/>
  <c r="M507" i="2" s="1"/>
  <c r="L506" i="2"/>
  <c r="M506" i="2" s="1"/>
  <c r="L505" i="2"/>
  <c r="M505" i="2" s="1"/>
  <c r="L504" i="2"/>
  <c r="M504" i="2" s="1"/>
  <c r="L503" i="2"/>
  <c r="M503" i="2" s="1"/>
  <c r="L502" i="2"/>
  <c r="M502" i="2" s="1"/>
  <c r="L501" i="2"/>
  <c r="M501" i="2" s="1"/>
  <c r="L500" i="2"/>
  <c r="M500" i="2" s="1"/>
  <c r="L499" i="2"/>
  <c r="M499" i="2" s="1"/>
  <c r="L498" i="2"/>
  <c r="M498" i="2" s="1"/>
  <c r="L497" i="2"/>
  <c r="M497" i="2" s="1"/>
  <c r="L496" i="2"/>
  <c r="M496" i="2" s="1"/>
  <c r="L495" i="2"/>
  <c r="M495" i="2" s="1"/>
  <c r="L494" i="2"/>
  <c r="M494" i="2" s="1"/>
  <c r="L493" i="2"/>
  <c r="M493" i="2" s="1"/>
  <c r="L492" i="2"/>
  <c r="M492" i="2" s="1"/>
  <c r="L491" i="2"/>
  <c r="M491" i="2" s="1"/>
  <c r="L490" i="2"/>
  <c r="M490" i="2" s="1"/>
  <c r="L489" i="2"/>
  <c r="M489" i="2" s="1"/>
  <c r="L488" i="2"/>
  <c r="M488" i="2" s="1"/>
  <c r="L487" i="2"/>
  <c r="M487" i="2" s="1"/>
  <c r="L486" i="2"/>
  <c r="M486" i="2" s="1"/>
  <c r="L485" i="2"/>
  <c r="M485" i="2" s="1"/>
  <c r="L484" i="2"/>
  <c r="M484" i="2" s="1"/>
  <c r="L483" i="2"/>
  <c r="M483" i="2" s="1"/>
  <c r="L482" i="2"/>
  <c r="M482" i="2" s="1"/>
  <c r="L481" i="2"/>
  <c r="M481" i="2" s="1"/>
  <c r="L480" i="2"/>
  <c r="M480" i="2" s="1"/>
  <c r="L479" i="2"/>
  <c r="M479" i="2" s="1"/>
  <c r="L478" i="2"/>
  <c r="M478" i="2" s="1"/>
  <c r="L477" i="2"/>
  <c r="M477" i="2" s="1"/>
  <c r="L476" i="2"/>
  <c r="M476" i="2" s="1"/>
  <c r="L475" i="2"/>
  <c r="M475" i="2" s="1"/>
  <c r="L474" i="2"/>
  <c r="M474" i="2" s="1"/>
  <c r="L473" i="2"/>
  <c r="M473" i="2" s="1"/>
  <c r="L472" i="2"/>
  <c r="M472" i="2" s="1"/>
  <c r="L471" i="2"/>
  <c r="M471" i="2" s="1"/>
  <c r="L470" i="2"/>
  <c r="M470" i="2" s="1"/>
  <c r="L469" i="2"/>
  <c r="M469" i="2" s="1"/>
  <c r="L468" i="2"/>
  <c r="M468" i="2" s="1"/>
  <c r="L467" i="2"/>
  <c r="M467" i="2" s="1"/>
  <c r="L466" i="2"/>
  <c r="M466" i="2" s="1"/>
  <c r="L465" i="2"/>
  <c r="M465" i="2" s="1"/>
  <c r="L464" i="2"/>
  <c r="M464" i="2" s="1"/>
  <c r="L463" i="2"/>
  <c r="M463" i="2" s="1"/>
  <c r="L462" i="2"/>
  <c r="M462" i="2" s="1"/>
  <c r="L461" i="2"/>
  <c r="M461" i="2" s="1"/>
  <c r="L460" i="2"/>
  <c r="M460" i="2" s="1"/>
  <c r="L459" i="2"/>
  <c r="M459" i="2" s="1"/>
  <c r="L458" i="2"/>
  <c r="M458" i="2" s="1"/>
  <c r="L457" i="2"/>
  <c r="M457" i="2" s="1"/>
  <c r="L456" i="2"/>
  <c r="M456" i="2" s="1"/>
  <c r="L455" i="2"/>
  <c r="M455" i="2" s="1"/>
  <c r="L454" i="2"/>
  <c r="M454" i="2" s="1"/>
  <c r="L453" i="2"/>
  <c r="M453" i="2" s="1"/>
  <c r="L452" i="2"/>
  <c r="M452" i="2" s="1"/>
  <c r="L451" i="2"/>
  <c r="M451" i="2" s="1"/>
  <c r="L450" i="2"/>
  <c r="M450" i="2" s="1"/>
  <c r="L449" i="2"/>
  <c r="M449" i="2" s="1"/>
  <c r="L448" i="2"/>
  <c r="M448" i="2" s="1"/>
  <c r="L447" i="2"/>
  <c r="M447" i="2" s="1"/>
  <c r="L446" i="2"/>
  <c r="M446" i="2" s="1"/>
  <c r="L445" i="2"/>
  <c r="M445" i="2" s="1"/>
  <c r="L444" i="2"/>
  <c r="M444" i="2" s="1"/>
  <c r="L443" i="2"/>
  <c r="M443" i="2" s="1"/>
  <c r="L442" i="2"/>
  <c r="M442" i="2" s="1"/>
  <c r="L441" i="2"/>
  <c r="M441" i="2" s="1"/>
  <c r="L440" i="2"/>
  <c r="M440" i="2" s="1"/>
  <c r="L439" i="2"/>
  <c r="M439" i="2" s="1"/>
  <c r="L438" i="2"/>
  <c r="M438" i="2" s="1"/>
  <c r="L437" i="2"/>
  <c r="M437" i="2" s="1"/>
  <c r="L436" i="2"/>
  <c r="M436" i="2" s="1"/>
  <c r="L435" i="2"/>
  <c r="M435" i="2" s="1"/>
  <c r="L434" i="2"/>
  <c r="M434" i="2" s="1"/>
  <c r="L433" i="2"/>
  <c r="M433" i="2" s="1"/>
  <c r="L432" i="2"/>
  <c r="M432" i="2" s="1"/>
  <c r="L431" i="2"/>
  <c r="M431" i="2" s="1"/>
  <c r="L430" i="2"/>
  <c r="M430" i="2" s="1"/>
  <c r="L429" i="2"/>
  <c r="M429" i="2" s="1"/>
  <c r="L428" i="2"/>
  <c r="M428" i="2" s="1"/>
  <c r="L427" i="2"/>
  <c r="M427" i="2" s="1"/>
  <c r="L426" i="2"/>
  <c r="M426" i="2" s="1"/>
  <c r="L425" i="2"/>
  <c r="M425" i="2" s="1"/>
  <c r="L424" i="2"/>
  <c r="M424" i="2" s="1"/>
  <c r="L423" i="2"/>
  <c r="M423" i="2" s="1"/>
  <c r="L422" i="2"/>
  <c r="M422" i="2" s="1"/>
  <c r="L421" i="2"/>
  <c r="M421" i="2" s="1"/>
  <c r="L420" i="2"/>
  <c r="M420" i="2" s="1"/>
  <c r="L419" i="2"/>
  <c r="M419" i="2" s="1"/>
  <c r="L418" i="2"/>
  <c r="M418" i="2" s="1"/>
  <c r="L417" i="2"/>
  <c r="M417" i="2" s="1"/>
  <c r="L416" i="2"/>
  <c r="M416" i="2" s="1"/>
  <c r="L415" i="2"/>
  <c r="M415" i="2" s="1"/>
  <c r="L414" i="2"/>
  <c r="M414" i="2" s="1"/>
  <c r="L413" i="2"/>
  <c r="M413" i="2" s="1"/>
  <c r="L412" i="2"/>
  <c r="M412" i="2" s="1"/>
  <c r="L411" i="2"/>
  <c r="M411" i="2" s="1"/>
  <c r="L410" i="2"/>
  <c r="M410" i="2" s="1"/>
  <c r="L409" i="2"/>
  <c r="M409" i="2" s="1"/>
  <c r="L408" i="2"/>
  <c r="M408" i="2" s="1"/>
  <c r="L407" i="2"/>
  <c r="M407" i="2" s="1"/>
  <c r="L406" i="2"/>
  <c r="M406" i="2" s="1"/>
  <c r="L405" i="2"/>
  <c r="M405" i="2" s="1"/>
  <c r="L404" i="2"/>
  <c r="M404" i="2" s="1"/>
  <c r="L403" i="2"/>
  <c r="M403" i="2" s="1"/>
  <c r="L402" i="2"/>
  <c r="M402" i="2" s="1"/>
  <c r="L401" i="2"/>
  <c r="M401" i="2" s="1"/>
  <c r="L400" i="2"/>
  <c r="M400" i="2" s="1"/>
  <c r="L399" i="2"/>
  <c r="M399" i="2" s="1"/>
  <c r="L398" i="2"/>
  <c r="M398" i="2" s="1"/>
  <c r="L397" i="2"/>
  <c r="M397" i="2" s="1"/>
  <c r="L396" i="2"/>
  <c r="M396" i="2" s="1"/>
  <c r="L395" i="2"/>
  <c r="M395" i="2" s="1"/>
  <c r="L394" i="2"/>
  <c r="M394" i="2" s="1"/>
  <c r="L393" i="2"/>
  <c r="M393" i="2" s="1"/>
  <c r="L392" i="2"/>
  <c r="M392" i="2" s="1"/>
  <c r="L391" i="2"/>
  <c r="M391" i="2" s="1"/>
  <c r="L390" i="2"/>
  <c r="M390" i="2" s="1"/>
  <c r="L389" i="2"/>
  <c r="M389" i="2" s="1"/>
  <c r="L388" i="2"/>
  <c r="M388" i="2" s="1"/>
  <c r="L387" i="2"/>
  <c r="M387" i="2" s="1"/>
  <c r="L386" i="2"/>
  <c r="M386" i="2" s="1"/>
  <c r="L385" i="2"/>
  <c r="M385" i="2" s="1"/>
  <c r="L384" i="2"/>
  <c r="M384" i="2" s="1"/>
  <c r="L383" i="2"/>
  <c r="M383" i="2" s="1"/>
  <c r="L382" i="2"/>
  <c r="M382" i="2" s="1"/>
  <c r="L381" i="2"/>
  <c r="M381" i="2" s="1"/>
  <c r="L380" i="2"/>
  <c r="M380" i="2" s="1"/>
  <c r="L379" i="2"/>
  <c r="M379" i="2" s="1"/>
  <c r="L378" i="2"/>
  <c r="M378" i="2" s="1"/>
  <c r="L377" i="2"/>
  <c r="M377" i="2" s="1"/>
  <c r="L376" i="2"/>
  <c r="M376" i="2" s="1"/>
  <c r="L375" i="2"/>
  <c r="M375" i="2" s="1"/>
  <c r="L374" i="2"/>
  <c r="M374" i="2" s="1"/>
  <c r="L373" i="2"/>
  <c r="M373" i="2" s="1"/>
  <c r="L372" i="2"/>
  <c r="M372" i="2" s="1"/>
  <c r="L371" i="2"/>
  <c r="M371" i="2" s="1"/>
  <c r="L370" i="2"/>
  <c r="M370" i="2" s="1"/>
  <c r="L369" i="2"/>
  <c r="M369" i="2" s="1"/>
  <c r="L368" i="2"/>
  <c r="M368" i="2" s="1"/>
  <c r="L367" i="2"/>
  <c r="M367" i="2" s="1"/>
  <c r="L366" i="2"/>
  <c r="M366" i="2" s="1"/>
  <c r="L365" i="2"/>
  <c r="M365" i="2" s="1"/>
  <c r="L364" i="2"/>
  <c r="M364" i="2" s="1"/>
  <c r="L363" i="2"/>
  <c r="M363" i="2" s="1"/>
  <c r="L362" i="2"/>
  <c r="M362" i="2" s="1"/>
  <c r="L361" i="2"/>
  <c r="M361" i="2" s="1"/>
  <c r="L360" i="2"/>
  <c r="M360" i="2" s="1"/>
  <c r="L359" i="2"/>
  <c r="M359" i="2" s="1"/>
  <c r="L358" i="2"/>
  <c r="M358" i="2" s="1"/>
  <c r="L357" i="2"/>
  <c r="M357" i="2" s="1"/>
  <c r="L356" i="2"/>
  <c r="M356" i="2" s="1"/>
  <c r="L355" i="2"/>
  <c r="M355" i="2" s="1"/>
  <c r="L354" i="2"/>
  <c r="M354" i="2" s="1"/>
  <c r="L353" i="2"/>
  <c r="M353" i="2" s="1"/>
  <c r="L352" i="2"/>
  <c r="M352" i="2" s="1"/>
  <c r="L351" i="2"/>
  <c r="M351" i="2" s="1"/>
  <c r="L350" i="2"/>
  <c r="M350" i="2" s="1"/>
  <c r="L349" i="2"/>
  <c r="M349" i="2" s="1"/>
  <c r="L348" i="2"/>
  <c r="M348" i="2" s="1"/>
  <c r="L347" i="2"/>
  <c r="M347" i="2" s="1"/>
  <c r="L346" i="2"/>
  <c r="M346" i="2" s="1"/>
  <c r="L345" i="2"/>
  <c r="M345" i="2" s="1"/>
  <c r="L344" i="2"/>
  <c r="M344" i="2" s="1"/>
  <c r="L343" i="2"/>
  <c r="M343" i="2" s="1"/>
  <c r="L342" i="2"/>
  <c r="M342" i="2" s="1"/>
  <c r="L341" i="2"/>
  <c r="M341" i="2" s="1"/>
  <c r="L340" i="2"/>
  <c r="M340" i="2" s="1"/>
  <c r="L339" i="2"/>
  <c r="M339" i="2" s="1"/>
  <c r="L338" i="2"/>
  <c r="M338" i="2" s="1"/>
  <c r="L337" i="2"/>
  <c r="M337" i="2" s="1"/>
  <c r="L336" i="2"/>
  <c r="M336" i="2" s="1"/>
  <c r="L335" i="2"/>
  <c r="M335" i="2" s="1"/>
  <c r="L334" i="2"/>
  <c r="M334" i="2" s="1"/>
  <c r="L333" i="2"/>
  <c r="M333" i="2" s="1"/>
  <c r="L332" i="2"/>
  <c r="M332" i="2" s="1"/>
  <c r="L331" i="2"/>
  <c r="M331" i="2" s="1"/>
  <c r="L330" i="2"/>
  <c r="M330" i="2" s="1"/>
  <c r="L329" i="2"/>
  <c r="M329" i="2" s="1"/>
  <c r="L328" i="2"/>
  <c r="M328" i="2" s="1"/>
  <c r="L327" i="2"/>
  <c r="M327" i="2" s="1"/>
  <c r="L326" i="2"/>
  <c r="M326" i="2" s="1"/>
  <c r="L325" i="2"/>
  <c r="M325" i="2" s="1"/>
  <c r="L324" i="2"/>
  <c r="M324" i="2" s="1"/>
  <c r="L323" i="2"/>
  <c r="M323" i="2" s="1"/>
  <c r="L322" i="2"/>
  <c r="M322" i="2" s="1"/>
  <c r="L321" i="2"/>
  <c r="M321" i="2" s="1"/>
  <c r="L320" i="2"/>
  <c r="M320" i="2" s="1"/>
  <c r="L319" i="2"/>
  <c r="M319" i="2" s="1"/>
  <c r="L318" i="2"/>
  <c r="M318" i="2" s="1"/>
  <c r="L317" i="2"/>
  <c r="M317" i="2" s="1"/>
  <c r="L316" i="2"/>
  <c r="M316" i="2" s="1"/>
  <c r="L315" i="2"/>
  <c r="M315" i="2" s="1"/>
  <c r="L314" i="2"/>
  <c r="M314" i="2" s="1"/>
  <c r="L313" i="2"/>
  <c r="M313" i="2" s="1"/>
  <c r="L312" i="2"/>
  <c r="M312" i="2" s="1"/>
  <c r="L311" i="2"/>
  <c r="M311" i="2" s="1"/>
  <c r="L310" i="2"/>
  <c r="M310" i="2" s="1"/>
  <c r="L309" i="2"/>
  <c r="M309" i="2" s="1"/>
  <c r="L308" i="2"/>
  <c r="M308" i="2" s="1"/>
  <c r="L307" i="2"/>
  <c r="M307" i="2" s="1"/>
  <c r="L306" i="2"/>
  <c r="M306" i="2" s="1"/>
  <c r="L305" i="2"/>
  <c r="M305" i="2" s="1"/>
  <c r="L304" i="2"/>
  <c r="M304" i="2" s="1"/>
  <c r="L303" i="2"/>
  <c r="M303" i="2" s="1"/>
  <c r="L302" i="2"/>
  <c r="M302" i="2" s="1"/>
  <c r="L301" i="2"/>
  <c r="M301" i="2" s="1"/>
  <c r="L300" i="2"/>
  <c r="M300" i="2" s="1"/>
  <c r="L299" i="2"/>
  <c r="M299" i="2" s="1"/>
  <c r="L298" i="2"/>
  <c r="M298" i="2" s="1"/>
  <c r="L297" i="2"/>
  <c r="M297" i="2" s="1"/>
  <c r="L296" i="2"/>
  <c r="M296" i="2" s="1"/>
  <c r="L295" i="2"/>
  <c r="M295" i="2" s="1"/>
  <c r="L294" i="2"/>
  <c r="M294" i="2" s="1"/>
  <c r="L293" i="2"/>
  <c r="M293" i="2" s="1"/>
  <c r="L292" i="2"/>
  <c r="M292" i="2" s="1"/>
  <c r="L291" i="2"/>
  <c r="M291" i="2" s="1"/>
  <c r="L290" i="2"/>
  <c r="M290" i="2" s="1"/>
  <c r="L289" i="2"/>
  <c r="M289" i="2" s="1"/>
  <c r="L288" i="2"/>
  <c r="M288" i="2" s="1"/>
  <c r="L287" i="2"/>
  <c r="M287" i="2" s="1"/>
  <c r="L286" i="2"/>
  <c r="M286" i="2" s="1"/>
  <c r="L285" i="2"/>
  <c r="M285" i="2" s="1"/>
  <c r="L284" i="2"/>
  <c r="M284" i="2" s="1"/>
  <c r="L283" i="2"/>
  <c r="M283" i="2" s="1"/>
  <c r="L282" i="2"/>
  <c r="M282" i="2" s="1"/>
  <c r="L281" i="2"/>
  <c r="M281" i="2" s="1"/>
  <c r="L280" i="2"/>
  <c r="M280" i="2" s="1"/>
  <c r="L279" i="2"/>
  <c r="M279" i="2" s="1"/>
  <c r="L278" i="2"/>
  <c r="M278" i="2" s="1"/>
  <c r="L277" i="2"/>
  <c r="M277" i="2" s="1"/>
  <c r="L276" i="2"/>
  <c r="M276" i="2" s="1"/>
  <c r="L275" i="2"/>
  <c r="M275" i="2" s="1"/>
  <c r="L274" i="2"/>
  <c r="M274" i="2" s="1"/>
  <c r="L273" i="2"/>
  <c r="M273" i="2" s="1"/>
  <c r="L272" i="2"/>
  <c r="M272" i="2" s="1"/>
  <c r="L271" i="2"/>
  <c r="M271" i="2" s="1"/>
  <c r="L270" i="2"/>
  <c r="M270" i="2" s="1"/>
  <c r="L269" i="2"/>
  <c r="M269" i="2" s="1"/>
  <c r="L268" i="2"/>
  <c r="M268" i="2" s="1"/>
  <c r="L267" i="2"/>
  <c r="M267" i="2" s="1"/>
  <c r="L266" i="2"/>
  <c r="M266" i="2" s="1"/>
  <c r="L265" i="2"/>
  <c r="M265" i="2" s="1"/>
  <c r="L264" i="2"/>
  <c r="M264" i="2" s="1"/>
  <c r="L263" i="2"/>
  <c r="M263" i="2" s="1"/>
  <c r="L262" i="2"/>
  <c r="M262" i="2" s="1"/>
  <c r="L261" i="2"/>
  <c r="M261" i="2" s="1"/>
  <c r="L260" i="2"/>
  <c r="M260" i="2" s="1"/>
  <c r="L259" i="2"/>
  <c r="M259" i="2" s="1"/>
  <c r="L258" i="2"/>
  <c r="M258" i="2" s="1"/>
  <c r="L257" i="2"/>
  <c r="M257" i="2" s="1"/>
  <c r="L256" i="2"/>
  <c r="M256" i="2" s="1"/>
  <c r="L255" i="2"/>
  <c r="M255" i="2" s="1"/>
  <c r="L254" i="2"/>
  <c r="M254" i="2" s="1"/>
  <c r="L253" i="2"/>
  <c r="M253" i="2" s="1"/>
  <c r="L252" i="2"/>
  <c r="M252" i="2" s="1"/>
  <c r="L251" i="2"/>
  <c r="M251" i="2" s="1"/>
  <c r="L250" i="2"/>
  <c r="M250" i="2" s="1"/>
  <c r="L249" i="2"/>
  <c r="M249" i="2" s="1"/>
  <c r="L248" i="2"/>
  <c r="M248" i="2" s="1"/>
  <c r="L247" i="2"/>
  <c r="M247" i="2" s="1"/>
  <c r="L246" i="2"/>
  <c r="M246" i="2" s="1"/>
  <c r="L245" i="2"/>
  <c r="M245" i="2" s="1"/>
  <c r="L244" i="2"/>
  <c r="M244" i="2" s="1"/>
  <c r="L243" i="2"/>
  <c r="M243" i="2" s="1"/>
  <c r="L242" i="2"/>
  <c r="M242" i="2" s="1"/>
  <c r="L241" i="2"/>
  <c r="M241" i="2" s="1"/>
  <c r="L240" i="2"/>
  <c r="M240" i="2" s="1"/>
  <c r="L239" i="2"/>
  <c r="M239" i="2" s="1"/>
  <c r="L238" i="2"/>
  <c r="M238" i="2" s="1"/>
  <c r="L237" i="2"/>
  <c r="M237" i="2" s="1"/>
  <c r="L236" i="2"/>
  <c r="M236" i="2" s="1"/>
  <c r="L235" i="2"/>
  <c r="M235" i="2" s="1"/>
  <c r="L234" i="2"/>
  <c r="M234" i="2" s="1"/>
  <c r="L233" i="2"/>
  <c r="M233" i="2" s="1"/>
  <c r="L232" i="2"/>
  <c r="M232" i="2" s="1"/>
  <c r="L231" i="2"/>
  <c r="M231" i="2" s="1"/>
  <c r="L230" i="2"/>
  <c r="M230" i="2" s="1"/>
  <c r="L229" i="2"/>
  <c r="M229" i="2" s="1"/>
  <c r="L228" i="2"/>
  <c r="M228" i="2" s="1"/>
  <c r="L227" i="2"/>
  <c r="M227" i="2" s="1"/>
  <c r="L226" i="2"/>
  <c r="M226" i="2" s="1"/>
  <c r="L225" i="2"/>
  <c r="M225" i="2" s="1"/>
  <c r="L224" i="2"/>
  <c r="M224" i="2" s="1"/>
  <c r="L223" i="2"/>
  <c r="M223" i="2" s="1"/>
  <c r="L222" i="2"/>
  <c r="M222" i="2" s="1"/>
  <c r="L221" i="2"/>
  <c r="M221" i="2" s="1"/>
  <c r="L220" i="2"/>
  <c r="M220" i="2" s="1"/>
  <c r="L219" i="2"/>
  <c r="M219" i="2" s="1"/>
  <c r="L218" i="2"/>
  <c r="M218" i="2" s="1"/>
  <c r="L217" i="2"/>
  <c r="M217" i="2" s="1"/>
  <c r="L216" i="2"/>
  <c r="M216" i="2" s="1"/>
  <c r="L215" i="2"/>
  <c r="M215" i="2" s="1"/>
  <c r="L214" i="2"/>
  <c r="M214" i="2" s="1"/>
  <c r="L213" i="2"/>
  <c r="M213" i="2" s="1"/>
  <c r="L212" i="2"/>
  <c r="M212" i="2" s="1"/>
  <c r="L211" i="2"/>
  <c r="M211" i="2" s="1"/>
  <c r="L210" i="2"/>
  <c r="M210" i="2" s="1"/>
  <c r="L209" i="2"/>
  <c r="M209" i="2" s="1"/>
  <c r="L208" i="2"/>
  <c r="M208" i="2" s="1"/>
  <c r="L207" i="2"/>
  <c r="M207" i="2" s="1"/>
  <c r="L206" i="2"/>
  <c r="M206" i="2" s="1"/>
  <c r="L205" i="2"/>
  <c r="M205" i="2" s="1"/>
  <c r="L204" i="2"/>
  <c r="M204" i="2" s="1"/>
  <c r="L203" i="2"/>
  <c r="M203" i="2" s="1"/>
  <c r="L202" i="2"/>
  <c r="M202" i="2" s="1"/>
  <c r="L201" i="2"/>
  <c r="M201" i="2" s="1"/>
  <c r="L200" i="2"/>
  <c r="M200" i="2" s="1"/>
  <c r="L199" i="2"/>
  <c r="M199" i="2" s="1"/>
  <c r="L198" i="2"/>
  <c r="M198" i="2" s="1"/>
  <c r="L197" i="2"/>
  <c r="M197" i="2" s="1"/>
  <c r="L196" i="2"/>
  <c r="M196" i="2" s="1"/>
  <c r="L195" i="2"/>
  <c r="M195" i="2" s="1"/>
  <c r="L194" i="2"/>
  <c r="M194" i="2" s="1"/>
  <c r="L193" i="2"/>
  <c r="M193" i="2" s="1"/>
  <c r="L192" i="2"/>
  <c r="M192" i="2" s="1"/>
  <c r="L191" i="2"/>
  <c r="M191" i="2" s="1"/>
  <c r="L190" i="2"/>
  <c r="M190" i="2" s="1"/>
  <c r="L189" i="2"/>
  <c r="M189" i="2" s="1"/>
  <c r="L188" i="2"/>
  <c r="M188" i="2" s="1"/>
  <c r="L187" i="2"/>
  <c r="M187" i="2" s="1"/>
  <c r="L186" i="2"/>
  <c r="M186" i="2" s="1"/>
  <c r="L185" i="2"/>
  <c r="M185" i="2" s="1"/>
  <c r="L184" i="2"/>
  <c r="M184" i="2" s="1"/>
  <c r="L183" i="2"/>
  <c r="M183" i="2" s="1"/>
  <c r="L182" i="2"/>
  <c r="M182" i="2" s="1"/>
  <c r="L181" i="2"/>
  <c r="M181" i="2" s="1"/>
  <c r="L180" i="2"/>
  <c r="M180" i="2" s="1"/>
  <c r="L179" i="2"/>
  <c r="M179" i="2" s="1"/>
  <c r="L178" i="2"/>
  <c r="M178" i="2" s="1"/>
  <c r="L177" i="2"/>
  <c r="M177" i="2" s="1"/>
  <c r="L176" i="2"/>
  <c r="M176" i="2" s="1"/>
  <c r="L175" i="2"/>
  <c r="M175" i="2" s="1"/>
  <c r="L174" i="2"/>
  <c r="M174" i="2" s="1"/>
  <c r="L173" i="2"/>
  <c r="M173" i="2" s="1"/>
  <c r="L172" i="2"/>
  <c r="M172" i="2" s="1"/>
  <c r="L171" i="2"/>
  <c r="M171" i="2" s="1"/>
  <c r="L170" i="2"/>
  <c r="M170" i="2" s="1"/>
  <c r="L169" i="2"/>
  <c r="M169" i="2" s="1"/>
  <c r="L168" i="2"/>
  <c r="M168" i="2" s="1"/>
  <c r="L167" i="2"/>
  <c r="M167" i="2" s="1"/>
  <c r="L166" i="2"/>
  <c r="M166" i="2" s="1"/>
  <c r="L165" i="2"/>
  <c r="M165" i="2" s="1"/>
  <c r="L164" i="2"/>
  <c r="M164" i="2" s="1"/>
  <c r="L163" i="2"/>
  <c r="M163" i="2" s="1"/>
  <c r="L162" i="2"/>
  <c r="M162" i="2" s="1"/>
  <c r="L161" i="2"/>
  <c r="M161" i="2" s="1"/>
  <c r="L160" i="2"/>
  <c r="M160" i="2" s="1"/>
  <c r="L159" i="2"/>
  <c r="M159" i="2" s="1"/>
  <c r="L158" i="2"/>
  <c r="M158" i="2" s="1"/>
  <c r="L157" i="2"/>
  <c r="M157" i="2" s="1"/>
  <c r="L156" i="2"/>
  <c r="M156" i="2" s="1"/>
  <c r="L155" i="2"/>
  <c r="M155" i="2" s="1"/>
  <c r="L154" i="2"/>
  <c r="M154" i="2" s="1"/>
  <c r="L153" i="2"/>
  <c r="M153" i="2" s="1"/>
  <c r="L152" i="2"/>
  <c r="M152" i="2" s="1"/>
  <c r="L151" i="2"/>
  <c r="M151" i="2" s="1"/>
  <c r="L150" i="2"/>
  <c r="M150" i="2" s="1"/>
  <c r="L149" i="2"/>
  <c r="M149" i="2" s="1"/>
  <c r="L148" i="2"/>
  <c r="M148" i="2" s="1"/>
  <c r="L147" i="2"/>
  <c r="M147" i="2" s="1"/>
  <c r="L146" i="2"/>
  <c r="M146" i="2" s="1"/>
  <c r="L145" i="2"/>
  <c r="M145" i="2" s="1"/>
  <c r="L144" i="2"/>
  <c r="M144" i="2" s="1"/>
  <c r="L143" i="2"/>
  <c r="M143" i="2" s="1"/>
  <c r="L142" i="2"/>
  <c r="M142" i="2" s="1"/>
  <c r="L141" i="2"/>
  <c r="M141" i="2" s="1"/>
  <c r="L140" i="2"/>
  <c r="M140" i="2" s="1"/>
  <c r="L139" i="2"/>
  <c r="M139" i="2" s="1"/>
  <c r="L138" i="2"/>
  <c r="M138" i="2" s="1"/>
  <c r="L137" i="2"/>
  <c r="M137" i="2" s="1"/>
  <c r="L136" i="2"/>
  <c r="M136" i="2" s="1"/>
  <c r="L135" i="2"/>
  <c r="M135" i="2" s="1"/>
  <c r="L134" i="2"/>
  <c r="M134" i="2" s="1"/>
  <c r="L133" i="2"/>
  <c r="M133" i="2" s="1"/>
  <c r="L132" i="2"/>
  <c r="M132" i="2" s="1"/>
  <c r="L131" i="2"/>
  <c r="M131" i="2" s="1"/>
  <c r="L130" i="2"/>
  <c r="M130" i="2" s="1"/>
  <c r="L129" i="2"/>
  <c r="M129" i="2" s="1"/>
  <c r="L128" i="2"/>
  <c r="M128" i="2" s="1"/>
  <c r="L127" i="2"/>
  <c r="M127" i="2" s="1"/>
  <c r="L126" i="2"/>
  <c r="M126" i="2" s="1"/>
  <c r="L125" i="2"/>
  <c r="M125" i="2" s="1"/>
  <c r="L124" i="2"/>
  <c r="M124" i="2" s="1"/>
  <c r="L123" i="2"/>
  <c r="M123" i="2" s="1"/>
  <c r="L122" i="2"/>
  <c r="M122" i="2" s="1"/>
  <c r="L121" i="2"/>
  <c r="M121" i="2" s="1"/>
  <c r="L120" i="2"/>
  <c r="M120" i="2" s="1"/>
  <c r="L119" i="2"/>
  <c r="M119" i="2" s="1"/>
  <c r="L118" i="2"/>
  <c r="M118" i="2" s="1"/>
  <c r="L117" i="2"/>
  <c r="M117" i="2" s="1"/>
  <c r="L116" i="2"/>
  <c r="M116" i="2" s="1"/>
  <c r="L115" i="2"/>
  <c r="M115" i="2" s="1"/>
  <c r="L114" i="2"/>
  <c r="M114" i="2" s="1"/>
  <c r="L113" i="2"/>
  <c r="M113" i="2" s="1"/>
  <c r="L112" i="2"/>
  <c r="M112" i="2" s="1"/>
  <c r="L111" i="2"/>
  <c r="M111" i="2" s="1"/>
  <c r="L110" i="2"/>
  <c r="M110" i="2" s="1"/>
  <c r="L109" i="2"/>
  <c r="M109" i="2" s="1"/>
  <c r="L108" i="2"/>
  <c r="M108" i="2" s="1"/>
  <c r="L107" i="2"/>
  <c r="M107" i="2" s="1"/>
  <c r="L106" i="2"/>
  <c r="M106" i="2" s="1"/>
  <c r="L105" i="2"/>
  <c r="M105" i="2" s="1"/>
  <c r="L104" i="2"/>
  <c r="M104" i="2" s="1"/>
  <c r="L103" i="2"/>
  <c r="M103" i="2" s="1"/>
  <c r="L102" i="2"/>
  <c r="M102" i="2" s="1"/>
  <c r="L101" i="2"/>
  <c r="M101" i="2" s="1"/>
  <c r="L100" i="2"/>
  <c r="M100" i="2" s="1"/>
  <c r="L99" i="2"/>
  <c r="M99" i="2" s="1"/>
  <c r="L98" i="2"/>
  <c r="M98" i="2" s="1"/>
  <c r="L97" i="2"/>
  <c r="M97" i="2" s="1"/>
  <c r="L96" i="2"/>
  <c r="M96" i="2" s="1"/>
  <c r="L95" i="2"/>
  <c r="M95" i="2" s="1"/>
  <c r="L94" i="2"/>
  <c r="M94" i="2" s="1"/>
  <c r="L93" i="2"/>
  <c r="M93" i="2" s="1"/>
  <c r="L92" i="2"/>
  <c r="M92" i="2" s="1"/>
  <c r="L91" i="2"/>
  <c r="M91" i="2" s="1"/>
  <c r="L90" i="2"/>
  <c r="M90" i="2" s="1"/>
  <c r="L89" i="2"/>
  <c r="M89" i="2" s="1"/>
  <c r="L88" i="2"/>
  <c r="M88" i="2" s="1"/>
  <c r="L87" i="2"/>
  <c r="M87" i="2" s="1"/>
  <c r="L86" i="2"/>
  <c r="M86" i="2" s="1"/>
  <c r="L85" i="2"/>
  <c r="M85" i="2" s="1"/>
  <c r="L84" i="2"/>
  <c r="M84" i="2" s="1"/>
  <c r="L83" i="2"/>
  <c r="M83" i="2" s="1"/>
  <c r="L82" i="2"/>
  <c r="M82" i="2" s="1"/>
  <c r="L81" i="2"/>
  <c r="M81" i="2" s="1"/>
  <c r="L80" i="2"/>
  <c r="M80" i="2" s="1"/>
  <c r="L79" i="2"/>
  <c r="M79" i="2" s="1"/>
  <c r="L78" i="2"/>
  <c r="M78" i="2" s="1"/>
  <c r="L77" i="2"/>
  <c r="M77" i="2" s="1"/>
  <c r="L76" i="2"/>
  <c r="M76" i="2" s="1"/>
  <c r="L75" i="2"/>
  <c r="M75" i="2" s="1"/>
  <c r="L74" i="2"/>
  <c r="M74" i="2" s="1"/>
  <c r="L73" i="2"/>
  <c r="M73" i="2" s="1"/>
  <c r="L72" i="2"/>
  <c r="M72" i="2" s="1"/>
  <c r="L71" i="2"/>
  <c r="M71" i="2" s="1"/>
  <c r="L70" i="2"/>
  <c r="M70" i="2" s="1"/>
  <c r="L69" i="2"/>
  <c r="M69" i="2" s="1"/>
  <c r="L68" i="2"/>
  <c r="M68" i="2" s="1"/>
  <c r="L67" i="2"/>
  <c r="M67" i="2" s="1"/>
  <c r="L66" i="2"/>
  <c r="M66" i="2" s="1"/>
  <c r="L65" i="2"/>
  <c r="M65" i="2" s="1"/>
  <c r="L64" i="2"/>
  <c r="M64" i="2" s="1"/>
  <c r="L63" i="2"/>
  <c r="M63" i="2" s="1"/>
  <c r="L62" i="2"/>
  <c r="M62" i="2" s="1"/>
  <c r="L61" i="2"/>
  <c r="M61" i="2" s="1"/>
  <c r="L60" i="2"/>
  <c r="M60" i="2" s="1"/>
  <c r="L59" i="2"/>
  <c r="M59" i="2" s="1"/>
  <c r="L58" i="2"/>
  <c r="M58" i="2" s="1"/>
  <c r="L57" i="2"/>
  <c r="M57" i="2" s="1"/>
  <c r="L56" i="2"/>
  <c r="M56" i="2" s="1"/>
  <c r="L55" i="2"/>
  <c r="M55" i="2" s="1"/>
  <c r="L54" i="2"/>
  <c r="M54" i="2" s="1"/>
  <c r="L53" i="2"/>
  <c r="M53" i="2" s="1"/>
  <c r="L52" i="2"/>
  <c r="M52" i="2" s="1"/>
  <c r="L51" i="2"/>
  <c r="M51" i="2" s="1"/>
  <c r="L50" i="2"/>
  <c r="M50" i="2" s="1"/>
  <c r="L49" i="2"/>
  <c r="M49" i="2" s="1"/>
  <c r="L48" i="2"/>
  <c r="M48" i="2" s="1"/>
  <c r="L47" i="2"/>
  <c r="M47" i="2" s="1"/>
  <c r="L46" i="2"/>
  <c r="M46" i="2" s="1"/>
  <c r="L45" i="2"/>
  <c r="M45" i="2" s="1"/>
  <c r="L44" i="2"/>
  <c r="M44" i="2" s="1"/>
  <c r="L43" i="2"/>
  <c r="M43" i="2" s="1"/>
  <c r="L42" i="2"/>
  <c r="M42" i="2" s="1"/>
  <c r="L41" i="2"/>
  <c r="M41" i="2" s="1"/>
  <c r="L40" i="2"/>
  <c r="M40" i="2" s="1"/>
  <c r="L39" i="2"/>
  <c r="M39" i="2" s="1"/>
  <c r="L38" i="2"/>
  <c r="M38" i="2" s="1"/>
  <c r="L37" i="2"/>
  <c r="M37" i="2" s="1"/>
  <c r="L36" i="2"/>
  <c r="M36" i="2" s="1"/>
  <c r="L35" i="2"/>
  <c r="M35" i="2" s="1"/>
  <c r="L34" i="2"/>
  <c r="M34" i="2" s="1"/>
  <c r="L33" i="2"/>
  <c r="M33" i="2" s="1"/>
  <c r="L32" i="2"/>
  <c r="M32" i="2" s="1"/>
  <c r="L31" i="2"/>
  <c r="M31" i="2" s="1"/>
  <c r="L30" i="2"/>
  <c r="M30" i="2" s="1"/>
  <c r="L29" i="2"/>
  <c r="M29" i="2" s="1"/>
  <c r="L28" i="2"/>
  <c r="M28" i="2" s="1"/>
  <c r="L27" i="2"/>
  <c r="M27" i="2" s="1"/>
  <c r="L26" i="2"/>
  <c r="M26" i="2" s="1"/>
  <c r="L25" i="2"/>
  <c r="M25" i="2" s="1"/>
  <c r="L24" i="2"/>
  <c r="M24" i="2" s="1"/>
  <c r="L23" i="2"/>
  <c r="M23" i="2" s="1"/>
  <c r="L22" i="2"/>
  <c r="M22" i="2" s="1"/>
  <c r="L21" i="2"/>
  <c r="M21" i="2" s="1"/>
  <c r="L20" i="2"/>
  <c r="M20" i="2" s="1"/>
  <c r="L19" i="2"/>
  <c r="M19" i="2" s="1"/>
  <c r="L18" i="2"/>
  <c r="M18" i="2" s="1"/>
  <c r="L17" i="2"/>
  <c r="M17" i="2" s="1"/>
  <c r="L16" i="2"/>
  <c r="M16" i="2" s="1"/>
  <c r="L15" i="2"/>
  <c r="M15" i="2" s="1"/>
  <c r="L14" i="2"/>
  <c r="M14" i="2" s="1"/>
  <c r="L13" i="2"/>
  <c r="M13" i="2" s="1"/>
  <c r="L12" i="2"/>
  <c r="M12" i="2" s="1"/>
  <c r="L11" i="2"/>
  <c r="M11" i="2" s="1"/>
  <c r="L10" i="2"/>
  <c r="M10" i="2" s="1"/>
  <c r="L9" i="2"/>
  <c r="M9" i="2" s="1"/>
  <c r="L8" i="2"/>
  <c r="M8" i="2" s="1"/>
  <c r="L7" i="2"/>
  <c r="M7" i="2" s="1"/>
  <c r="L6" i="2"/>
  <c r="M6" i="2" s="1"/>
  <c r="L5" i="2"/>
  <c r="M5" i="2" s="1"/>
  <c r="L4" i="2"/>
  <c r="M4" i="2" s="1"/>
  <c r="L3" i="2"/>
  <c r="M3" i="2" s="1"/>
  <c r="L2" i="2"/>
  <c r="M2" i="2" s="1"/>
  <c r="M1267" i="1"/>
  <c r="J1267" i="1"/>
  <c r="M1266" i="1"/>
  <c r="J1266" i="1"/>
  <c r="N1266" i="1" s="1"/>
  <c r="M1265" i="1"/>
  <c r="J1265" i="1"/>
  <c r="N1265" i="1" s="1"/>
  <c r="M1264" i="1"/>
  <c r="N1264" i="1" s="1"/>
  <c r="J1264" i="1"/>
  <c r="M1263" i="1"/>
  <c r="J1263" i="1"/>
  <c r="M1262" i="1"/>
  <c r="J1262" i="1"/>
  <c r="N1262" i="1" s="1"/>
  <c r="M1261" i="1"/>
  <c r="J1261" i="1"/>
  <c r="N1261" i="1" s="1"/>
  <c r="M1260" i="1"/>
  <c r="J1260" i="1"/>
  <c r="M1259" i="1"/>
  <c r="J1259" i="1"/>
  <c r="M1258" i="1"/>
  <c r="J1258" i="1"/>
  <c r="N1258" i="1" s="1"/>
  <c r="M1257" i="1"/>
  <c r="J1257" i="1"/>
  <c r="N1257" i="1" s="1"/>
  <c r="M1256" i="1"/>
  <c r="J1256" i="1"/>
  <c r="N1256" i="1" s="1"/>
  <c r="M1255" i="1"/>
  <c r="J1255" i="1"/>
  <c r="M1254" i="1"/>
  <c r="J1254" i="1"/>
  <c r="M1253" i="1"/>
  <c r="J1253" i="1"/>
  <c r="M1252" i="1"/>
  <c r="J1252" i="1"/>
  <c r="N1252" i="1" s="1"/>
  <c r="M1251" i="1"/>
  <c r="J1251" i="1"/>
  <c r="M1250" i="1"/>
  <c r="J1250" i="1"/>
  <c r="N1250" i="1" s="1"/>
  <c r="M1249" i="1"/>
  <c r="J1249" i="1"/>
  <c r="M1248" i="1"/>
  <c r="J1248" i="1"/>
  <c r="N1248" i="1" s="1"/>
  <c r="M1247" i="1"/>
  <c r="J1247" i="1"/>
  <c r="N1247" i="1" s="1"/>
  <c r="M1246" i="1"/>
  <c r="J1246" i="1"/>
  <c r="N1246" i="1" s="1"/>
  <c r="M1245" i="1"/>
  <c r="J1245" i="1"/>
  <c r="M1244" i="1"/>
  <c r="J1244" i="1"/>
  <c r="M1243" i="1"/>
  <c r="J1243" i="1"/>
  <c r="N1243" i="1" s="1"/>
  <c r="M1242" i="1"/>
  <c r="J1242" i="1"/>
  <c r="N1242" i="1" s="1"/>
  <c r="M1241" i="1"/>
  <c r="J1241" i="1"/>
  <c r="M1240" i="1"/>
  <c r="J1240" i="1"/>
  <c r="N1240" i="1" s="1"/>
  <c r="M1239" i="1"/>
  <c r="J1239" i="1"/>
  <c r="N1239" i="1" s="1"/>
  <c r="M1238" i="1"/>
  <c r="J1238" i="1"/>
  <c r="N1238" i="1" s="1"/>
  <c r="M1237" i="1"/>
  <c r="J1237" i="1"/>
  <c r="N1237" i="1" s="1"/>
  <c r="M1236" i="1"/>
  <c r="J1236" i="1"/>
  <c r="N1236" i="1" s="1"/>
  <c r="M1235" i="1"/>
  <c r="J1235" i="1"/>
  <c r="M1234" i="1"/>
  <c r="J1234" i="1"/>
  <c r="N1234" i="1" s="1"/>
  <c r="M1233" i="1"/>
  <c r="J1233" i="1"/>
  <c r="M1232" i="1"/>
  <c r="J1232" i="1"/>
  <c r="N1232" i="1" s="1"/>
  <c r="M1231" i="1"/>
  <c r="J1231" i="1"/>
  <c r="M1230" i="1"/>
  <c r="J1230" i="1"/>
  <c r="N1230" i="1" s="1"/>
  <c r="M1229" i="1"/>
  <c r="J1229" i="1"/>
  <c r="M1228" i="1"/>
  <c r="N1228" i="1" s="1"/>
  <c r="J1228" i="1"/>
  <c r="M1227" i="1"/>
  <c r="J1227" i="1"/>
  <c r="M1226" i="1"/>
  <c r="J1226" i="1"/>
  <c r="N1226" i="1" s="1"/>
  <c r="M1225" i="1"/>
  <c r="J1225" i="1"/>
  <c r="M1224" i="1"/>
  <c r="J1224" i="1"/>
  <c r="M1223" i="1"/>
  <c r="J1223" i="1"/>
  <c r="M1222" i="1"/>
  <c r="J1222" i="1"/>
  <c r="M1221" i="1"/>
  <c r="J1221" i="1"/>
  <c r="N1221" i="1" s="1"/>
  <c r="M1220" i="1"/>
  <c r="J1220" i="1"/>
  <c r="M1219" i="1"/>
  <c r="J1219" i="1"/>
  <c r="M1218" i="1"/>
  <c r="J1218" i="1"/>
  <c r="N1218" i="1" s="1"/>
  <c r="M1217" i="1"/>
  <c r="J1217" i="1"/>
  <c r="N1217" i="1" s="1"/>
  <c r="N1216" i="1"/>
  <c r="M1216" i="1"/>
  <c r="J1216" i="1"/>
  <c r="M1215" i="1"/>
  <c r="J1215" i="1"/>
  <c r="M1214" i="1"/>
  <c r="J1214" i="1"/>
  <c r="N1214" i="1" s="1"/>
  <c r="M1213" i="1"/>
  <c r="J1213" i="1"/>
  <c r="M1212" i="1"/>
  <c r="J1212" i="1"/>
  <c r="M1211" i="1"/>
  <c r="J1211" i="1"/>
  <c r="M1210" i="1"/>
  <c r="J1210" i="1"/>
  <c r="M1209" i="1"/>
  <c r="N1209" i="1" s="1"/>
  <c r="J1209" i="1"/>
  <c r="M1208" i="1"/>
  <c r="J1208" i="1"/>
  <c r="M1207" i="1"/>
  <c r="J1207" i="1"/>
  <c r="M1206" i="1"/>
  <c r="J1206" i="1"/>
  <c r="M1205" i="1"/>
  <c r="J1205" i="1"/>
  <c r="M1204" i="1"/>
  <c r="J1204" i="1"/>
  <c r="M1203" i="1"/>
  <c r="J1203" i="1"/>
  <c r="N1203" i="1" s="1"/>
  <c r="M1202" i="1"/>
  <c r="J1202" i="1"/>
  <c r="N1202" i="1" s="1"/>
  <c r="M1201" i="1"/>
  <c r="J1201" i="1"/>
  <c r="N1201" i="1" s="1"/>
  <c r="M1200" i="1"/>
  <c r="J1200" i="1"/>
  <c r="N1200" i="1" s="1"/>
  <c r="M1199" i="1"/>
  <c r="J1199" i="1"/>
  <c r="N1199" i="1" s="1"/>
  <c r="M1198" i="1"/>
  <c r="J1198" i="1"/>
  <c r="N1198" i="1" s="1"/>
  <c r="M1197" i="1"/>
  <c r="J1197" i="1"/>
  <c r="N1197" i="1" s="1"/>
  <c r="M1196" i="1"/>
  <c r="J1196" i="1"/>
  <c r="M1195" i="1"/>
  <c r="J1195" i="1"/>
  <c r="M1194" i="1"/>
  <c r="J1194" i="1"/>
  <c r="N1194" i="1" s="1"/>
  <c r="M1193" i="1"/>
  <c r="J1193" i="1"/>
  <c r="N1193" i="1" s="1"/>
  <c r="M1192" i="1"/>
  <c r="J1192" i="1"/>
  <c r="N1192" i="1" s="1"/>
  <c r="M1191" i="1"/>
  <c r="J1191" i="1"/>
  <c r="N1191" i="1" s="1"/>
  <c r="M1190" i="1"/>
  <c r="J1190" i="1"/>
  <c r="N1190" i="1" s="1"/>
  <c r="M1189" i="1"/>
  <c r="J1189" i="1"/>
  <c r="N1189" i="1" s="1"/>
  <c r="M1188" i="1"/>
  <c r="J1188" i="1"/>
  <c r="N1188" i="1" s="1"/>
  <c r="M1187" i="1"/>
  <c r="N1187" i="1" s="1"/>
  <c r="J1187" i="1"/>
  <c r="M1186" i="1"/>
  <c r="N1186" i="1" s="1"/>
  <c r="J1186" i="1"/>
  <c r="M1185" i="1"/>
  <c r="J1185" i="1"/>
  <c r="M1184" i="1"/>
  <c r="J1184" i="1"/>
  <c r="M1183" i="1"/>
  <c r="J1183" i="1"/>
  <c r="N1183" i="1" s="1"/>
  <c r="M1182" i="1"/>
  <c r="J1182" i="1"/>
  <c r="N1182" i="1" s="1"/>
  <c r="M1181" i="1"/>
  <c r="J1181" i="1"/>
  <c r="N1181" i="1" s="1"/>
  <c r="M1180" i="1"/>
  <c r="J1180" i="1"/>
  <c r="M1179" i="1"/>
  <c r="J1179" i="1"/>
  <c r="M1178" i="1"/>
  <c r="J1178" i="1"/>
  <c r="M1177" i="1"/>
  <c r="J1177" i="1"/>
  <c r="N1177" i="1" s="1"/>
  <c r="M1176" i="1"/>
  <c r="J1176" i="1"/>
  <c r="N1176" i="1" s="1"/>
  <c r="M1175" i="1"/>
  <c r="J1175" i="1"/>
  <c r="M1174" i="1"/>
  <c r="J1174" i="1"/>
  <c r="N1174" i="1" s="1"/>
  <c r="M1173" i="1"/>
  <c r="J1173" i="1"/>
  <c r="N1173" i="1" s="1"/>
  <c r="M1172" i="1"/>
  <c r="J1172" i="1"/>
  <c r="M1171" i="1"/>
  <c r="N1171" i="1" s="1"/>
  <c r="J1171" i="1"/>
  <c r="M1170" i="1"/>
  <c r="J1170" i="1"/>
  <c r="M1169" i="1"/>
  <c r="J1169" i="1"/>
  <c r="M1168" i="1"/>
  <c r="J1168" i="1"/>
  <c r="N1168" i="1" s="1"/>
  <c r="M1167" i="1"/>
  <c r="J1167" i="1"/>
  <c r="M1166" i="1"/>
  <c r="J1166" i="1"/>
  <c r="N1166" i="1" s="1"/>
  <c r="M1165" i="1"/>
  <c r="J1165" i="1"/>
  <c r="M1164" i="1"/>
  <c r="J1164" i="1"/>
  <c r="M1163" i="1"/>
  <c r="J1163" i="1"/>
  <c r="N1163" i="1" s="1"/>
  <c r="M1162" i="1"/>
  <c r="J1162" i="1"/>
  <c r="M1161" i="1"/>
  <c r="J1161" i="1"/>
  <c r="N1161" i="1" s="1"/>
  <c r="M1160" i="1"/>
  <c r="J1160" i="1"/>
  <c r="M1159" i="1"/>
  <c r="J1159" i="1"/>
  <c r="M1158" i="1"/>
  <c r="J1158" i="1"/>
  <c r="N1158" i="1" s="1"/>
  <c r="M1157" i="1"/>
  <c r="J1157" i="1"/>
  <c r="M1156" i="1"/>
  <c r="J1156" i="1"/>
  <c r="N1156" i="1" s="1"/>
  <c r="M1155" i="1"/>
  <c r="N1155" i="1" s="1"/>
  <c r="J1155" i="1"/>
  <c r="M1154" i="1"/>
  <c r="J1154" i="1"/>
  <c r="M1153" i="1"/>
  <c r="J1153" i="1"/>
  <c r="N1153" i="1" s="1"/>
  <c r="M1152" i="1"/>
  <c r="J1152" i="1"/>
  <c r="M1151" i="1"/>
  <c r="J1151" i="1"/>
  <c r="M1150" i="1"/>
  <c r="J1150" i="1"/>
  <c r="N1150" i="1" s="1"/>
  <c r="M1149" i="1"/>
  <c r="J1149" i="1"/>
  <c r="M1148" i="1"/>
  <c r="J1148" i="1"/>
  <c r="M1147" i="1"/>
  <c r="J1147" i="1"/>
  <c r="M1146" i="1"/>
  <c r="J1146" i="1"/>
  <c r="M1145" i="1"/>
  <c r="J1145" i="1"/>
  <c r="N1145" i="1" s="1"/>
  <c r="M1144" i="1"/>
  <c r="J1144" i="1"/>
  <c r="M1143" i="1"/>
  <c r="J1143" i="1"/>
  <c r="M1142" i="1"/>
  <c r="J1142" i="1"/>
  <c r="N1142" i="1" s="1"/>
  <c r="M1141" i="1"/>
  <c r="J1141" i="1"/>
  <c r="N1141" i="1" s="1"/>
  <c r="M1140" i="1"/>
  <c r="J1140" i="1"/>
  <c r="N1140" i="1" s="1"/>
  <c r="M1139" i="1"/>
  <c r="J1139" i="1"/>
  <c r="N1139" i="1" s="1"/>
  <c r="M1138" i="1"/>
  <c r="J1138" i="1"/>
  <c r="N1138" i="1" s="1"/>
  <c r="M1137" i="1"/>
  <c r="J1137" i="1"/>
  <c r="M1136" i="1"/>
  <c r="J1136" i="1"/>
  <c r="N1136" i="1" s="1"/>
  <c r="M1135" i="1"/>
  <c r="J1135" i="1"/>
  <c r="M1134" i="1"/>
  <c r="J1134" i="1"/>
  <c r="M1133" i="1"/>
  <c r="J1133" i="1"/>
  <c r="N1133" i="1" s="1"/>
  <c r="M1132" i="1"/>
  <c r="J1132" i="1"/>
  <c r="M1131" i="1"/>
  <c r="J1131" i="1"/>
  <c r="M1130" i="1"/>
  <c r="J1130" i="1"/>
  <c r="M1129" i="1"/>
  <c r="J1129" i="1"/>
  <c r="N1129" i="1" s="1"/>
  <c r="M1128" i="1"/>
  <c r="J1128" i="1"/>
  <c r="M1127" i="1"/>
  <c r="J1127" i="1"/>
  <c r="N1127" i="1" s="1"/>
  <c r="M1126" i="1"/>
  <c r="J1126" i="1"/>
  <c r="M1125" i="1"/>
  <c r="N1125" i="1" s="1"/>
  <c r="J1125" i="1"/>
  <c r="M1124" i="1"/>
  <c r="J1124" i="1"/>
  <c r="M1123" i="1"/>
  <c r="J1123" i="1"/>
  <c r="M1122" i="1"/>
  <c r="J1122" i="1"/>
  <c r="N1122" i="1" s="1"/>
  <c r="M1121" i="1"/>
  <c r="J1121" i="1"/>
  <c r="M1120" i="1"/>
  <c r="N1120" i="1" s="1"/>
  <c r="J1120" i="1"/>
  <c r="M1119" i="1"/>
  <c r="J1119" i="1"/>
  <c r="M1118" i="1"/>
  <c r="J1118" i="1"/>
  <c r="M1117" i="1"/>
  <c r="J1117" i="1"/>
  <c r="M1116" i="1"/>
  <c r="J1116" i="1"/>
  <c r="M1115" i="1"/>
  <c r="J1115" i="1"/>
  <c r="M1114" i="1"/>
  <c r="J1114" i="1"/>
  <c r="N1114" i="1" s="1"/>
  <c r="M1113" i="1"/>
  <c r="J1113" i="1"/>
  <c r="M1112" i="1"/>
  <c r="J1112" i="1"/>
  <c r="M1111" i="1"/>
  <c r="J1111" i="1"/>
  <c r="N1111" i="1" s="1"/>
  <c r="M1110" i="1"/>
  <c r="J1110" i="1"/>
  <c r="M1109" i="1"/>
  <c r="J1109" i="1"/>
  <c r="M1108" i="1"/>
  <c r="J1108" i="1"/>
  <c r="M1107" i="1"/>
  <c r="J1107" i="1"/>
  <c r="M1106" i="1"/>
  <c r="J1106" i="1"/>
  <c r="N1106" i="1" s="1"/>
  <c r="M1105" i="1"/>
  <c r="J1105" i="1"/>
  <c r="M1104" i="1"/>
  <c r="J1104" i="1"/>
  <c r="N1104" i="1" s="1"/>
  <c r="M1103" i="1"/>
  <c r="J1103" i="1"/>
  <c r="M1102" i="1"/>
  <c r="J1102" i="1"/>
  <c r="N1102" i="1" s="1"/>
  <c r="M1101" i="1"/>
  <c r="J1101" i="1"/>
  <c r="N1101" i="1" s="1"/>
  <c r="M1100" i="1"/>
  <c r="J1100" i="1"/>
  <c r="M1099" i="1"/>
  <c r="J1099" i="1"/>
  <c r="N1099" i="1" s="1"/>
  <c r="M1098" i="1"/>
  <c r="J1098" i="1"/>
  <c r="M1097" i="1"/>
  <c r="N1097" i="1" s="1"/>
  <c r="J1097" i="1"/>
  <c r="M1096" i="1"/>
  <c r="J1096" i="1"/>
  <c r="N1096" i="1" s="1"/>
  <c r="M1095" i="1"/>
  <c r="J1095" i="1"/>
  <c r="M1094" i="1"/>
  <c r="J1094" i="1"/>
  <c r="M1093" i="1"/>
  <c r="J1093" i="1"/>
  <c r="M1092" i="1"/>
  <c r="J1092" i="1"/>
  <c r="M1091" i="1"/>
  <c r="J1091" i="1"/>
  <c r="N1091" i="1" s="1"/>
  <c r="M1090" i="1"/>
  <c r="J1090" i="1"/>
  <c r="M1089" i="1"/>
  <c r="J1089" i="1"/>
  <c r="M1088" i="1"/>
  <c r="N1088" i="1" s="1"/>
  <c r="J1088" i="1"/>
  <c r="M1087" i="1"/>
  <c r="J1087" i="1"/>
  <c r="N1087" i="1" s="1"/>
  <c r="M1086" i="1"/>
  <c r="J1086" i="1"/>
  <c r="N1086" i="1" s="1"/>
  <c r="M1085" i="1"/>
  <c r="J1085" i="1"/>
  <c r="M1084" i="1"/>
  <c r="J1084" i="1"/>
  <c r="M1083" i="1"/>
  <c r="J1083" i="1"/>
  <c r="M1082" i="1"/>
  <c r="J1082" i="1"/>
  <c r="N1082" i="1" s="1"/>
  <c r="M1081" i="1"/>
  <c r="J1081" i="1"/>
  <c r="N1081" i="1" s="1"/>
  <c r="M1080" i="1"/>
  <c r="J1080" i="1"/>
  <c r="N1080" i="1" s="1"/>
  <c r="M1079" i="1"/>
  <c r="J1079" i="1"/>
  <c r="M1078" i="1"/>
  <c r="J1078" i="1"/>
  <c r="M1077" i="1"/>
  <c r="J1077" i="1"/>
  <c r="M1076" i="1"/>
  <c r="J1076" i="1"/>
  <c r="N1076" i="1" s="1"/>
  <c r="M1075" i="1"/>
  <c r="J1075" i="1"/>
  <c r="M1074" i="1"/>
  <c r="J1074" i="1"/>
  <c r="N1074" i="1" s="1"/>
  <c r="M1073" i="1"/>
  <c r="J1073" i="1"/>
  <c r="M1072" i="1"/>
  <c r="J1072" i="1"/>
  <c r="N1072" i="1" s="1"/>
  <c r="M1071" i="1"/>
  <c r="J1071" i="1"/>
  <c r="N1071" i="1" s="1"/>
  <c r="M1070" i="1"/>
  <c r="J1070" i="1"/>
  <c r="N1070" i="1" s="1"/>
  <c r="M1069" i="1"/>
  <c r="J1069" i="1"/>
  <c r="N1069" i="1" s="1"/>
  <c r="M1068" i="1"/>
  <c r="N1068" i="1" s="1"/>
  <c r="J1068" i="1"/>
  <c r="M1067" i="1"/>
  <c r="J1067" i="1"/>
  <c r="N1067" i="1" s="1"/>
  <c r="M1066" i="1"/>
  <c r="J1066" i="1"/>
  <c r="N1066" i="1" s="1"/>
  <c r="M1065" i="1"/>
  <c r="J1065" i="1"/>
  <c r="M1064" i="1"/>
  <c r="J1064" i="1"/>
  <c r="N1064" i="1" s="1"/>
  <c r="M1063" i="1"/>
  <c r="J1063" i="1"/>
  <c r="N1063" i="1" s="1"/>
  <c r="M1062" i="1"/>
  <c r="J1062" i="1"/>
  <c r="N1062" i="1" s="1"/>
  <c r="M1061" i="1"/>
  <c r="J1061" i="1"/>
  <c r="N1061" i="1" s="1"/>
  <c r="M1060" i="1"/>
  <c r="J1060" i="1"/>
  <c r="M1059" i="1"/>
  <c r="J1059" i="1"/>
  <c r="M1058" i="1"/>
  <c r="J1058" i="1"/>
  <c r="N1058" i="1" s="1"/>
  <c r="M1057" i="1"/>
  <c r="J1057" i="1"/>
  <c r="M1056" i="1"/>
  <c r="J1056" i="1"/>
  <c r="M1055" i="1"/>
  <c r="J1055" i="1"/>
  <c r="M1054" i="1"/>
  <c r="J1054" i="1"/>
  <c r="N1054" i="1" s="1"/>
  <c r="M1053" i="1"/>
  <c r="J1053" i="1"/>
  <c r="N1053" i="1" s="1"/>
  <c r="M1052" i="1"/>
  <c r="J1052" i="1"/>
  <c r="N1052" i="1" s="1"/>
  <c r="M1051" i="1"/>
  <c r="J1051" i="1"/>
  <c r="N1051" i="1" s="1"/>
  <c r="M1050" i="1"/>
  <c r="J1050" i="1"/>
  <c r="M1049" i="1"/>
  <c r="J1049" i="1"/>
  <c r="N1049" i="1" s="1"/>
  <c r="M1048" i="1"/>
  <c r="J1048" i="1"/>
  <c r="M1047" i="1"/>
  <c r="J1047" i="1"/>
  <c r="N1047" i="1" s="1"/>
  <c r="M1046" i="1"/>
  <c r="J1046" i="1"/>
  <c r="N1046" i="1" s="1"/>
  <c r="M1045" i="1"/>
  <c r="J1045" i="1"/>
  <c r="N1045" i="1" s="1"/>
  <c r="M1044" i="1"/>
  <c r="J1044" i="1"/>
  <c r="N1044" i="1" s="1"/>
  <c r="M1043" i="1"/>
  <c r="J1043" i="1"/>
  <c r="N1043" i="1" s="1"/>
  <c r="M1042" i="1"/>
  <c r="J1042" i="1"/>
  <c r="M1041" i="1"/>
  <c r="J1041" i="1"/>
  <c r="M1040" i="1"/>
  <c r="J1040" i="1"/>
  <c r="N1040" i="1" s="1"/>
  <c r="M1039" i="1"/>
  <c r="J1039" i="1"/>
  <c r="N1039" i="1" s="1"/>
  <c r="M1038" i="1"/>
  <c r="J1038" i="1"/>
  <c r="N1038" i="1" s="1"/>
  <c r="M1037" i="1"/>
  <c r="J1037" i="1"/>
  <c r="N1037" i="1" s="1"/>
  <c r="M1036" i="1"/>
  <c r="J1036" i="1"/>
  <c r="N1036" i="1" s="1"/>
  <c r="M1035" i="1"/>
  <c r="J1035" i="1"/>
  <c r="M1034" i="1"/>
  <c r="J1034" i="1"/>
  <c r="M1033" i="1"/>
  <c r="J1033" i="1"/>
  <c r="N1033" i="1" s="1"/>
  <c r="M1032" i="1"/>
  <c r="J1032" i="1"/>
  <c r="M1031" i="1"/>
  <c r="J1031" i="1"/>
  <c r="M1030" i="1"/>
  <c r="J1030" i="1"/>
  <c r="N1030" i="1" s="1"/>
  <c r="M1029" i="1"/>
  <c r="J1029" i="1"/>
  <c r="N1029" i="1" s="1"/>
  <c r="M1028" i="1"/>
  <c r="J1028" i="1"/>
  <c r="M1027" i="1"/>
  <c r="J1027" i="1"/>
  <c r="N1027" i="1" s="1"/>
  <c r="M1026" i="1"/>
  <c r="J1026" i="1"/>
  <c r="M1025" i="1"/>
  <c r="J1025" i="1"/>
  <c r="M1024" i="1"/>
  <c r="N1024" i="1" s="1"/>
  <c r="J1024" i="1"/>
  <c r="M1023" i="1"/>
  <c r="J1023" i="1"/>
  <c r="M1022" i="1"/>
  <c r="J1022" i="1"/>
  <c r="M1021" i="1"/>
  <c r="J1021" i="1"/>
  <c r="M1020" i="1"/>
  <c r="N1020" i="1" s="1"/>
  <c r="J1020" i="1"/>
  <c r="M1019" i="1"/>
  <c r="J1019" i="1"/>
  <c r="M1018" i="1"/>
  <c r="J1018" i="1"/>
  <c r="M1017" i="1"/>
  <c r="J1017" i="1"/>
  <c r="M1016" i="1"/>
  <c r="J1016" i="1"/>
  <c r="M1015" i="1"/>
  <c r="N1015" i="1" s="1"/>
  <c r="J1015" i="1"/>
  <c r="M1014" i="1"/>
  <c r="J1014" i="1"/>
  <c r="M1013" i="1"/>
  <c r="N1013" i="1" s="1"/>
  <c r="J1013" i="1"/>
  <c r="M1012" i="1"/>
  <c r="N1012" i="1" s="1"/>
  <c r="J1012" i="1"/>
  <c r="M1011" i="1"/>
  <c r="J1011" i="1"/>
  <c r="N1011" i="1" s="1"/>
  <c r="M1010" i="1"/>
  <c r="J1010" i="1"/>
  <c r="M1009" i="1"/>
  <c r="J1009" i="1"/>
  <c r="N1008" i="1"/>
  <c r="M1008" i="1"/>
  <c r="J1008" i="1"/>
  <c r="M1007" i="1"/>
  <c r="J1007" i="1"/>
  <c r="N1007" i="1" s="1"/>
  <c r="M1006" i="1"/>
  <c r="J1006" i="1"/>
  <c r="N1006" i="1" s="1"/>
  <c r="M1005" i="1"/>
  <c r="J1005" i="1"/>
  <c r="N1005" i="1" s="1"/>
  <c r="M1004" i="1"/>
  <c r="J1004" i="1"/>
  <c r="N1004" i="1" s="1"/>
  <c r="M1003" i="1"/>
  <c r="J1003" i="1"/>
  <c r="M1002" i="1"/>
  <c r="J1002" i="1"/>
  <c r="M1001" i="1"/>
  <c r="J1001" i="1"/>
  <c r="N1001" i="1" s="1"/>
  <c r="M1000" i="1"/>
  <c r="J1000" i="1"/>
  <c r="M999" i="1"/>
  <c r="J999" i="1"/>
  <c r="M998" i="1"/>
  <c r="J998" i="1"/>
  <c r="N998" i="1" s="1"/>
  <c r="M997" i="1"/>
  <c r="J997" i="1"/>
  <c r="N997" i="1" s="1"/>
  <c r="M996" i="1"/>
  <c r="J996" i="1"/>
  <c r="N995" i="1"/>
  <c r="M995" i="1"/>
  <c r="J995" i="1"/>
  <c r="N994" i="1"/>
  <c r="M994" i="1"/>
  <c r="J994" i="1"/>
  <c r="M993" i="1"/>
  <c r="J993" i="1"/>
  <c r="N993" i="1" s="1"/>
  <c r="M992" i="1"/>
  <c r="J992" i="1"/>
  <c r="N992" i="1" s="1"/>
  <c r="M991" i="1"/>
  <c r="J991" i="1"/>
  <c r="N991" i="1" s="1"/>
  <c r="M990" i="1"/>
  <c r="J990" i="1"/>
  <c r="N990" i="1" s="1"/>
  <c r="M989" i="1"/>
  <c r="J989" i="1"/>
  <c r="M988" i="1"/>
  <c r="J988" i="1"/>
  <c r="M987" i="1"/>
  <c r="J987" i="1"/>
  <c r="M986" i="1"/>
  <c r="J986" i="1"/>
  <c r="M985" i="1"/>
  <c r="J985" i="1"/>
  <c r="N985" i="1" s="1"/>
  <c r="M984" i="1"/>
  <c r="J984" i="1"/>
  <c r="M983" i="1"/>
  <c r="J983" i="1"/>
  <c r="M982" i="1"/>
  <c r="J982" i="1"/>
  <c r="M981" i="1"/>
  <c r="J981" i="1"/>
  <c r="N981" i="1" s="1"/>
  <c r="M980" i="1"/>
  <c r="N980" i="1" s="1"/>
  <c r="J980" i="1"/>
  <c r="M979" i="1"/>
  <c r="N979" i="1" s="1"/>
  <c r="J979" i="1"/>
  <c r="N978" i="1"/>
  <c r="M978" i="1"/>
  <c r="J978" i="1"/>
  <c r="M977" i="1"/>
  <c r="J977" i="1"/>
  <c r="N977" i="1" s="1"/>
  <c r="M976" i="1"/>
  <c r="J976" i="1"/>
  <c r="N976" i="1" s="1"/>
  <c r="M975" i="1"/>
  <c r="J975" i="1"/>
  <c r="N975" i="1" s="1"/>
  <c r="M974" i="1"/>
  <c r="J974" i="1"/>
  <c r="N974" i="1" s="1"/>
  <c r="M973" i="1"/>
  <c r="J973" i="1"/>
  <c r="M972" i="1"/>
  <c r="J972" i="1"/>
  <c r="N972" i="1" s="1"/>
  <c r="M971" i="1"/>
  <c r="J971" i="1"/>
  <c r="M970" i="1"/>
  <c r="J970" i="1"/>
  <c r="N970" i="1" s="1"/>
  <c r="M969" i="1"/>
  <c r="J969" i="1"/>
  <c r="N969" i="1" s="1"/>
  <c r="M968" i="1"/>
  <c r="J968" i="1"/>
  <c r="M967" i="1"/>
  <c r="N967" i="1" s="1"/>
  <c r="J967" i="1"/>
  <c r="M966" i="1"/>
  <c r="J966" i="1"/>
  <c r="M965" i="1"/>
  <c r="J965" i="1"/>
  <c r="M964" i="1"/>
  <c r="J964" i="1"/>
  <c r="M963" i="1"/>
  <c r="J963" i="1"/>
  <c r="M962" i="1"/>
  <c r="J962" i="1"/>
  <c r="N962" i="1" s="1"/>
  <c r="M961" i="1"/>
  <c r="J961" i="1"/>
  <c r="N961" i="1" s="1"/>
  <c r="M960" i="1"/>
  <c r="J960" i="1"/>
  <c r="N960" i="1" s="1"/>
  <c r="M959" i="1"/>
  <c r="J959" i="1"/>
  <c r="N959" i="1" s="1"/>
  <c r="M958" i="1"/>
  <c r="J958" i="1"/>
  <c r="M957" i="1"/>
  <c r="J957" i="1"/>
  <c r="N957" i="1" s="1"/>
  <c r="M956" i="1"/>
  <c r="N956" i="1" s="1"/>
  <c r="J956" i="1"/>
  <c r="M955" i="1"/>
  <c r="J955" i="1"/>
  <c r="M954" i="1"/>
  <c r="J954" i="1"/>
  <c r="M953" i="1"/>
  <c r="N953" i="1" s="1"/>
  <c r="J953" i="1"/>
  <c r="M952" i="1"/>
  <c r="J952" i="1"/>
  <c r="M951" i="1"/>
  <c r="J951" i="1"/>
  <c r="M950" i="1"/>
  <c r="J950" i="1"/>
  <c r="N949" i="1"/>
  <c r="M949" i="1"/>
  <c r="J949" i="1"/>
  <c r="M948" i="1"/>
  <c r="J948" i="1"/>
  <c r="M947" i="1"/>
  <c r="J947" i="1"/>
  <c r="N947" i="1" s="1"/>
  <c r="M946" i="1"/>
  <c r="J946" i="1"/>
  <c r="N946" i="1" s="1"/>
  <c r="M945" i="1"/>
  <c r="J945" i="1"/>
  <c r="N945" i="1" s="1"/>
  <c r="M944" i="1"/>
  <c r="J944" i="1"/>
  <c r="N944" i="1" s="1"/>
  <c r="M943" i="1"/>
  <c r="J943" i="1"/>
  <c r="M942" i="1"/>
  <c r="J942" i="1"/>
  <c r="N942" i="1" s="1"/>
  <c r="M941" i="1"/>
  <c r="J941" i="1"/>
  <c r="N941" i="1" s="1"/>
  <c r="M940" i="1"/>
  <c r="N940" i="1" s="1"/>
  <c r="J940" i="1"/>
  <c r="M939" i="1"/>
  <c r="J939" i="1"/>
  <c r="M938" i="1"/>
  <c r="J938" i="1"/>
  <c r="M937" i="1"/>
  <c r="J937" i="1"/>
  <c r="M936" i="1"/>
  <c r="J936" i="1"/>
  <c r="M935" i="1"/>
  <c r="N935" i="1" s="1"/>
  <c r="J935" i="1"/>
  <c r="M934" i="1"/>
  <c r="J934" i="1"/>
  <c r="N933" i="1"/>
  <c r="M933" i="1"/>
  <c r="J933" i="1"/>
  <c r="M932" i="1"/>
  <c r="J932" i="1"/>
  <c r="M931" i="1"/>
  <c r="J931" i="1"/>
  <c r="N931" i="1" s="1"/>
  <c r="M930" i="1"/>
  <c r="J930" i="1"/>
  <c r="N930" i="1" s="1"/>
  <c r="M929" i="1"/>
  <c r="J929" i="1"/>
  <c r="N929" i="1" s="1"/>
  <c r="M928" i="1"/>
  <c r="J928" i="1"/>
  <c r="M927" i="1"/>
  <c r="J927" i="1"/>
  <c r="M926" i="1"/>
  <c r="J926" i="1"/>
  <c r="N926" i="1" s="1"/>
  <c r="M925" i="1"/>
  <c r="J925" i="1"/>
  <c r="N925" i="1" s="1"/>
  <c r="M924" i="1"/>
  <c r="J924" i="1"/>
  <c r="N924" i="1" s="1"/>
  <c r="M923" i="1"/>
  <c r="J923" i="1"/>
  <c r="M922" i="1"/>
  <c r="J922" i="1"/>
  <c r="M921" i="1"/>
  <c r="J921" i="1"/>
  <c r="N921" i="1" s="1"/>
  <c r="M920" i="1"/>
  <c r="J920" i="1"/>
  <c r="M919" i="1"/>
  <c r="J919" i="1"/>
  <c r="M918" i="1"/>
  <c r="J918" i="1"/>
  <c r="N918" i="1" s="1"/>
  <c r="M917" i="1"/>
  <c r="J917" i="1"/>
  <c r="N917" i="1" s="1"/>
  <c r="M916" i="1"/>
  <c r="J916" i="1"/>
  <c r="M915" i="1"/>
  <c r="N915" i="1" s="1"/>
  <c r="J915" i="1"/>
  <c r="M914" i="1"/>
  <c r="J914" i="1"/>
  <c r="M913" i="1"/>
  <c r="J913" i="1"/>
  <c r="N913" i="1" s="1"/>
  <c r="M912" i="1"/>
  <c r="J912" i="1"/>
  <c r="M911" i="1"/>
  <c r="J911" i="1"/>
  <c r="N910" i="1"/>
  <c r="M910" i="1"/>
  <c r="J910" i="1"/>
  <c r="M909" i="1"/>
  <c r="J909" i="1"/>
  <c r="M908" i="1"/>
  <c r="J908" i="1"/>
  <c r="N908" i="1" s="1"/>
  <c r="M907" i="1"/>
  <c r="J907" i="1"/>
  <c r="M906" i="1"/>
  <c r="J906" i="1"/>
  <c r="M905" i="1"/>
  <c r="J905" i="1"/>
  <c r="M904" i="1"/>
  <c r="J904" i="1"/>
  <c r="N904" i="1" s="1"/>
  <c r="M903" i="1"/>
  <c r="J903" i="1"/>
  <c r="M902" i="1"/>
  <c r="J902" i="1"/>
  <c r="N902" i="1" s="1"/>
  <c r="M901" i="1"/>
  <c r="J901" i="1"/>
  <c r="N901" i="1" s="1"/>
  <c r="M900" i="1"/>
  <c r="J900" i="1"/>
  <c r="M899" i="1"/>
  <c r="N899" i="1" s="1"/>
  <c r="J899" i="1"/>
  <c r="M898" i="1"/>
  <c r="J898" i="1"/>
  <c r="N898" i="1" s="1"/>
  <c r="M897" i="1"/>
  <c r="J897" i="1"/>
  <c r="M896" i="1"/>
  <c r="J896" i="1"/>
  <c r="M895" i="1"/>
  <c r="J895" i="1"/>
  <c r="M894" i="1"/>
  <c r="N894" i="1" s="1"/>
  <c r="J894" i="1"/>
  <c r="M893" i="1"/>
  <c r="J893" i="1"/>
  <c r="M892" i="1"/>
  <c r="N892" i="1" s="1"/>
  <c r="J892" i="1"/>
  <c r="M891" i="1"/>
  <c r="J891" i="1"/>
  <c r="M890" i="1"/>
  <c r="J890" i="1"/>
  <c r="M889" i="1"/>
  <c r="N889" i="1" s="1"/>
  <c r="J889" i="1"/>
  <c r="M888" i="1"/>
  <c r="J888" i="1"/>
  <c r="M887" i="1"/>
  <c r="N887" i="1" s="1"/>
  <c r="J887" i="1"/>
  <c r="M886" i="1"/>
  <c r="J886" i="1"/>
  <c r="M885" i="1"/>
  <c r="J885" i="1"/>
  <c r="M884" i="1"/>
  <c r="J884" i="1"/>
  <c r="M883" i="1"/>
  <c r="J883" i="1"/>
  <c r="N883" i="1" s="1"/>
  <c r="M882" i="1"/>
  <c r="J882" i="1"/>
  <c r="M881" i="1"/>
  <c r="J881" i="1"/>
  <c r="M880" i="1"/>
  <c r="J880" i="1"/>
  <c r="N880" i="1" s="1"/>
  <c r="M879" i="1"/>
  <c r="J879" i="1"/>
  <c r="N879" i="1" s="1"/>
  <c r="M878" i="1"/>
  <c r="J878" i="1"/>
  <c r="N878" i="1" s="1"/>
  <c r="M877" i="1"/>
  <c r="J877" i="1"/>
  <c r="M876" i="1"/>
  <c r="J876" i="1"/>
  <c r="M875" i="1"/>
  <c r="J875" i="1"/>
  <c r="N875" i="1" s="1"/>
  <c r="M874" i="1"/>
  <c r="J874" i="1"/>
  <c r="M873" i="1"/>
  <c r="N873" i="1" s="1"/>
  <c r="J873" i="1"/>
  <c r="M872" i="1"/>
  <c r="J872" i="1"/>
  <c r="M871" i="1"/>
  <c r="J871" i="1"/>
  <c r="M870" i="1"/>
  <c r="J870" i="1"/>
  <c r="M869" i="1"/>
  <c r="N869" i="1" s="1"/>
  <c r="J869" i="1"/>
  <c r="M868" i="1"/>
  <c r="J868" i="1"/>
  <c r="M867" i="1"/>
  <c r="J867" i="1"/>
  <c r="N867" i="1" s="1"/>
  <c r="M866" i="1"/>
  <c r="J866" i="1"/>
  <c r="M865" i="1"/>
  <c r="J865" i="1"/>
  <c r="N864" i="1"/>
  <c r="M864" i="1"/>
  <c r="J864" i="1"/>
  <c r="M863" i="1"/>
  <c r="J863" i="1"/>
  <c r="N863" i="1" s="1"/>
  <c r="M862" i="1"/>
  <c r="J862" i="1"/>
  <c r="N862" i="1" s="1"/>
  <c r="M861" i="1"/>
  <c r="J861" i="1"/>
  <c r="M860" i="1"/>
  <c r="J860" i="1"/>
  <c r="N860" i="1" s="1"/>
  <c r="M859" i="1"/>
  <c r="J859" i="1"/>
  <c r="M858" i="1"/>
  <c r="J858" i="1"/>
  <c r="N857" i="1"/>
  <c r="M857" i="1"/>
  <c r="J857" i="1"/>
  <c r="M856" i="1"/>
  <c r="J856" i="1"/>
  <c r="M855" i="1"/>
  <c r="J855" i="1"/>
  <c r="M854" i="1"/>
  <c r="J854" i="1"/>
  <c r="M853" i="1"/>
  <c r="J853" i="1"/>
  <c r="N853" i="1" s="1"/>
  <c r="M852" i="1"/>
  <c r="N852" i="1" s="1"/>
  <c r="J852" i="1"/>
  <c r="M851" i="1"/>
  <c r="J851" i="1"/>
  <c r="M850" i="1"/>
  <c r="J850" i="1"/>
  <c r="M849" i="1"/>
  <c r="J849" i="1"/>
  <c r="M848" i="1"/>
  <c r="J848" i="1"/>
  <c r="N848" i="1" s="1"/>
  <c r="M847" i="1"/>
  <c r="J847" i="1"/>
  <c r="M846" i="1"/>
  <c r="J846" i="1"/>
  <c r="N846" i="1" s="1"/>
  <c r="M845" i="1"/>
  <c r="J845" i="1"/>
  <c r="M844" i="1"/>
  <c r="N844" i="1" s="1"/>
  <c r="J844" i="1"/>
  <c r="M843" i="1"/>
  <c r="J843" i="1"/>
  <c r="M842" i="1"/>
  <c r="J842" i="1"/>
  <c r="M841" i="1"/>
  <c r="J841" i="1"/>
  <c r="M840" i="1"/>
  <c r="J840" i="1"/>
  <c r="M839" i="1"/>
  <c r="N839" i="1" s="1"/>
  <c r="J839" i="1"/>
  <c r="M838" i="1"/>
  <c r="J838" i="1"/>
  <c r="N838" i="1" s="1"/>
  <c r="M837" i="1"/>
  <c r="J837" i="1"/>
  <c r="N837" i="1" s="1"/>
  <c r="M836" i="1"/>
  <c r="J836" i="1"/>
  <c r="M835" i="1"/>
  <c r="J835" i="1"/>
  <c r="N835" i="1" s="1"/>
  <c r="M834" i="1"/>
  <c r="J834" i="1"/>
  <c r="N834" i="1" s="1"/>
  <c r="M833" i="1"/>
  <c r="J833" i="1"/>
  <c r="N833" i="1" s="1"/>
  <c r="M832" i="1"/>
  <c r="J832" i="1"/>
  <c r="N832" i="1" s="1"/>
  <c r="M831" i="1"/>
  <c r="J831" i="1"/>
  <c r="M830" i="1"/>
  <c r="N830" i="1" s="1"/>
  <c r="J830" i="1"/>
  <c r="M829" i="1"/>
  <c r="J829" i="1"/>
  <c r="N829" i="1" s="1"/>
  <c r="M828" i="1"/>
  <c r="J828" i="1"/>
  <c r="N828" i="1" s="1"/>
  <c r="M827" i="1"/>
  <c r="J827" i="1"/>
  <c r="N827" i="1" s="1"/>
  <c r="M826" i="1"/>
  <c r="J826" i="1"/>
  <c r="M825" i="1"/>
  <c r="J825" i="1"/>
  <c r="N825" i="1" s="1"/>
  <c r="M824" i="1"/>
  <c r="J824" i="1"/>
  <c r="N824" i="1" s="1"/>
  <c r="M823" i="1"/>
  <c r="J823" i="1"/>
  <c r="M822" i="1"/>
  <c r="J822" i="1"/>
  <c r="M821" i="1"/>
  <c r="J821" i="1"/>
  <c r="N821" i="1" s="1"/>
  <c r="M820" i="1"/>
  <c r="J820" i="1"/>
  <c r="M819" i="1"/>
  <c r="J819" i="1"/>
  <c r="N819" i="1" s="1"/>
  <c r="M818" i="1"/>
  <c r="J818" i="1"/>
  <c r="N818" i="1" s="1"/>
  <c r="M817" i="1"/>
  <c r="J817" i="1"/>
  <c r="M816" i="1"/>
  <c r="J816" i="1"/>
  <c r="M815" i="1"/>
  <c r="J815" i="1"/>
  <c r="M814" i="1"/>
  <c r="J814" i="1"/>
  <c r="N814" i="1" s="1"/>
  <c r="M813" i="1"/>
  <c r="J813" i="1"/>
  <c r="N813" i="1" s="1"/>
  <c r="M812" i="1"/>
  <c r="J812" i="1"/>
  <c r="N812" i="1" s="1"/>
  <c r="M811" i="1"/>
  <c r="J811" i="1"/>
  <c r="N811" i="1" s="1"/>
  <c r="M810" i="1"/>
  <c r="J810" i="1"/>
  <c r="M809" i="1"/>
  <c r="J809" i="1"/>
  <c r="N809" i="1" s="1"/>
  <c r="M808" i="1"/>
  <c r="J808" i="1"/>
  <c r="N808" i="1" s="1"/>
  <c r="M807" i="1"/>
  <c r="J807" i="1"/>
  <c r="M806" i="1"/>
  <c r="J806" i="1"/>
  <c r="N806" i="1" s="1"/>
  <c r="M805" i="1"/>
  <c r="J805" i="1"/>
  <c r="N805" i="1" s="1"/>
  <c r="M804" i="1"/>
  <c r="J804" i="1"/>
  <c r="M803" i="1"/>
  <c r="J803" i="1"/>
  <c r="N803" i="1" s="1"/>
  <c r="M802" i="1"/>
  <c r="N802" i="1" s="1"/>
  <c r="J802" i="1"/>
  <c r="M801" i="1"/>
  <c r="J801" i="1"/>
  <c r="M800" i="1"/>
  <c r="J800" i="1"/>
  <c r="N800" i="1" s="1"/>
  <c r="M799" i="1"/>
  <c r="J799" i="1"/>
  <c r="N798" i="1"/>
  <c r="M798" i="1"/>
  <c r="J798" i="1"/>
  <c r="M797" i="1"/>
  <c r="J797" i="1"/>
  <c r="M796" i="1"/>
  <c r="J796" i="1"/>
  <c r="N796" i="1" s="1"/>
  <c r="M795" i="1"/>
  <c r="J795" i="1"/>
  <c r="N795" i="1" s="1"/>
  <c r="M794" i="1"/>
  <c r="J794" i="1"/>
  <c r="N794" i="1" s="1"/>
  <c r="M793" i="1"/>
  <c r="J793" i="1"/>
  <c r="N793" i="1" s="1"/>
  <c r="M792" i="1"/>
  <c r="J792" i="1"/>
  <c r="M791" i="1"/>
  <c r="J791" i="1"/>
  <c r="M790" i="1"/>
  <c r="J790" i="1"/>
  <c r="M789" i="1"/>
  <c r="J789" i="1"/>
  <c r="N789" i="1" s="1"/>
  <c r="M788" i="1"/>
  <c r="J788" i="1"/>
  <c r="M787" i="1"/>
  <c r="J787" i="1"/>
  <c r="N787" i="1" s="1"/>
  <c r="M786" i="1"/>
  <c r="J786" i="1"/>
  <c r="N786" i="1" s="1"/>
  <c r="M785" i="1"/>
  <c r="J785" i="1"/>
  <c r="N784" i="1"/>
  <c r="M784" i="1"/>
  <c r="J784" i="1"/>
  <c r="M783" i="1"/>
  <c r="J783" i="1"/>
  <c r="M782" i="1"/>
  <c r="J782" i="1"/>
  <c r="M781" i="1"/>
  <c r="J781" i="1"/>
  <c r="M780" i="1"/>
  <c r="J780" i="1"/>
  <c r="M779" i="1"/>
  <c r="J779" i="1"/>
  <c r="M778" i="1"/>
  <c r="J778" i="1"/>
  <c r="M777" i="1"/>
  <c r="J777" i="1"/>
  <c r="N777" i="1" s="1"/>
  <c r="M776" i="1"/>
  <c r="J776" i="1"/>
  <c r="M775" i="1"/>
  <c r="J775" i="1"/>
  <c r="M774" i="1"/>
  <c r="J774" i="1"/>
  <c r="M773" i="1"/>
  <c r="J773" i="1"/>
  <c r="M772" i="1"/>
  <c r="N772" i="1" s="1"/>
  <c r="J772" i="1"/>
  <c r="M771" i="1"/>
  <c r="J771" i="1"/>
  <c r="M770" i="1"/>
  <c r="J770" i="1"/>
  <c r="M769" i="1"/>
  <c r="J769" i="1"/>
  <c r="M768" i="1"/>
  <c r="J768" i="1"/>
  <c r="M767" i="1"/>
  <c r="J767" i="1"/>
  <c r="M766" i="1"/>
  <c r="J766" i="1"/>
  <c r="M765" i="1"/>
  <c r="J765" i="1"/>
  <c r="M764" i="1"/>
  <c r="J764" i="1"/>
  <c r="M763" i="1"/>
  <c r="J763" i="1"/>
  <c r="M762" i="1"/>
  <c r="J762" i="1"/>
  <c r="M761" i="1"/>
  <c r="J761" i="1"/>
  <c r="N761" i="1" s="1"/>
  <c r="M760" i="1"/>
  <c r="J760" i="1"/>
  <c r="M759" i="1"/>
  <c r="N759" i="1" s="1"/>
  <c r="J759" i="1"/>
  <c r="M758" i="1"/>
  <c r="J758" i="1"/>
  <c r="M757" i="1"/>
  <c r="J757" i="1"/>
  <c r="M756" i="1"/>
  <c r="N756" i="1" s="1"/>
  <c r="J756" i="1"/>
  <c r="M755" i="1"/>
  <c r="J755" i="1"/>
  <c r="M754" i="1"/>
  <c r="J754" i="1"/>
  <c r="N754" i="1" s="1"/>
  <c r="M753" i="1"/>
  <c r="J753" i="1"/>
  <c r="M752" i="1"/>
  <c r="N752" i="1" s="1"/>
  <c r="J752" i="1"/>
  <c r="M751" i="1"/>
  <c r="J751" i="1"/>
  <c r="M750" i="1"/>
  <c r="J750" i="1"/>
  <c r="M749" i="1"/>
  <c r="J749" i="1"/>
  <c r="M748" i="1"/>
  <c r="J748" i="1"/>
  <c r="M747" i="1"/>
  <c r="J747" i="1"/>
  <c r="M746" i="1"/>
  <c r="J746" i="1"/>
  <c r="M745" i="1"/>
  <c r="J745" i="1"/>
  <c r="M744" i="1"/>
  <c r="J744" i="1"/>
  <c r="M743" i="1"/>
  <c r="N743" i="1" s="1"/>
  <c r="J743" i="1"/>
  <c r="M742" i="1"/>
  <c r="J742" i="1"/>
  <c r="M741" i="1"/>
  <c r="J741" i="1"/>
  <c r="M740" i="1"/>
  <c r="J740" i="1"/>
  <c r="M739" i="1"/>
  <c r="J739" i="1"/>
  <c r="N739" i="1" s="1"/>
  <c r="N738" i="1"/>
  <c r="M738" i="1"/>
  <c r="J738" i="1"/>
  <c r="M737" i="1"/>
  <c r="J737" i="1"/>
  <c r="M736" i="1"/>
  <c r="J736" i="1"/>
  <c r="M735" i="1"/>
  <c r="J735" i="1"/>
  <c r="M734" i="1"/>
  <c r="J734" i="1"/>
  <c r="M733" i="1"/>
  <c r="J733" i="1"/>
  <c r="M732" i="1"/>
  <c r="J732" i="1"/>
  <c r="M731" i="1"/>
  <c r="J731" i="1"/>
  <c r="M730" i="1"/>
  <c r="J730" i="1"/>
  <c r="M729" i="1"/>
  <c r="J729" i="1"/>
  <c r="M728" i="1"/>
  <c r="J728" i="1"/>
  <c r="M727" i="1"/>
  <c r="J727" i="1"/>
  <c r="M726" i="1"/>
  <c r="J726" i="1"/>
  <c r="M725" i="1"/>
  <c r="J725" i="1"/>
  <c r="M724" i="1"/>
  <c r="J724" i="1"/>
  <c r="M723" i="1"/>
  <c r="N723" i="1" s="1"/>
  <c r="J723" i="1"/>
  <c r="M722" i="1"/>
  <c r="N722" i="1" s="1"/>
  <c r="J722" i="1"/>
  <c r="M721" i="1"/>
  <c r="J721" i="1"/>
  <c r="M720" i="1"/>
  <c r="J720" i="1"/>
  <c r="M719" i="1"/>
  <c r="J719" i="1"/>
  <c r="M718" i="1"/>
  <c r="J718" i="1"/>
  <c r="M717" i="1"/>
  <c r="J717" i="1"/>
  <c r="M716" i="1"/>
  <c r="J716" i="1"/>
  <c r="N716" i="1" s="1"/>
  <c r="M715" i="1"/>
  <c r="J715" i="1"/>
  <c r="M714" i="1"/>
  <c r="J714" i="1"/>
  <c r="N713" i="1"/>
  <c r="M713" i="1"/>
  <c r="J713" i="1"/>
  <c r="M712" i="1"/>
  <c r="J712" i="1"/>
  <c r="M711" i="1"/>
  <c r="J711" i="1"/>
  <c r="M710" i="1"/>
  <c r="J710" i="1"/>
  <c r="N710" i="1" s="1"/>
  <c r="M709" i="1"/>
  <c r="J709" i="1"/>
  <c r="N709" i="1" s="1"/>
  <c r="M708" i="1"/>
  <c r="N708" i="1" s="1"/>
  <c r="J708" i="1"/>
  <c r="M707" i="1"/>
  <c r="J707" i="1"/>
  <c r="N707" i="1" s="1"/>
  <c r="M706" i="1"/>
  <c r="N706" i="1" s="1"/>
  <c r="J706" i="1"/>
  <c r="M705" i="1"/>
  <c r="J705" i="1"/>
  <c r="M704" i="1"/>
  <c r="J704" i="1"/>
  <c r="M703" i="1"/>
  <c r="J703" i="1"/>
  <c r="M702" i="1"/>
  <c r="J702" i="1"/>
  <c r="M701" i="1"/>
  <c r="J701" i="1"/>
  <c r="N701" i="1" s="1"/>
  <c r="M700" i="1"/>
  <c r="J700" i="1"/>
  <c r="N700" i="1" s="1"/>
  <c r="M699" i="1"/>
  <c r="J699" i="1"/>
  <c r="M698" i="1"/>
  <c r="J698" i="1"/>
  <c r="N698" i="1" s="1"/>
  <c r="M697" i="1"/>
  <c r="J697" i="1"/>
  <c r="M696" i="1"/>
  <c r="J696" i="1"/>
  <c r="M695" i="1"/>
  <c r="J695" i="1"/>
  <c r="M694" i="1"/>
  <c r="J694" i="1"/>
  <c r="N694" i="1" s="1"/>
  <c r="N693" i="1"/>
  <c r="M693" i="1"/>
  <c r="J693" i="1"/>
  <c r="M692" i="1"/>
  <c r="N692" i="1" s="1"/>
  <c r="J692" i="1"/>
  <c r="M691" i="1"/>
  <c r="J691" i="1"/>
  <c r="M690" i="1"/>
  <c r="J690" i="1"/>
  <c r="M689" i="1"/>
  <c r="J689" i="1"/>
  <c r="M688" i="1"/>
  <c r="N688" i="1" s="1"/>
  <c r="J688" i="1"/>
  <c r="M687" i="1"/>
  <c r="J687" i="1"/>
  <c r="M686" i="1"/>
  <c r="N686" i="1" s="1"/>
  <c r="J686" i="1"/>
  <c r="M685" i="1"/>
  <c r="J685" i="1"/>
  <c r="M684" i="1"/>
  <c r="J684" i="1"/>
  <c r="N684" i="1" s="1"/>
  <c r="M683" i="1"/>
  <c r="J683" i="1"/>
  <c r="M682" i="1"/>
  <c r="J682" i="1"/>
  <c r="N682" i="1" s="1"/>
  <c r="M681" i="1"/>
  <c r="J681" i="1"/>
  <c r="N681" i="1" s="1"/>
  <c r="M680" i="1"/>
  <c r="J680" i="1"/>
  <c r="M679" i="1"/>
  <c r="J679" i="1"/>
  <c r="M678" i="1"/>
  <c r="J678" i="1"/>
  <c r="M677" i="1"/>
  <c r="J677" i="1"/>
  <c r="N677" i="1" s="1"/>
  <c r="M676" i="1"/>
  <c r="J676" i="1"/>
  <c r="M675" i="1"/>
  <c r="J675" i="1"/>
  <c r="N675" i="1" s="1"/>
  <c r="M674" i="1"/>
  <c r="J674" i="1"/>
  <c r="N674" i="1" s="1"/>
  <c r="M673" i="1"/>
  <c r="J673" i="1"/>
  <c r="M672" i="1"/>
  <c r="N672" i="1" s="1"/>
  <c r="J672" i="1"/>
  <c r="M671" i="1"/>
  <c r="J671" i="1"/>
  <c r="N671" i="1" s="1"/>
  <c r="M670" i="1"/>
  <c r="J670" i="1"/>
  <c r="M669" i="1"/>
  <c r="J669" i="1"/>
  <c r="M668" i="1"/>
  <c r="J668" i="1"/>
  <c r="M667" i="1"/>
  <c r="J667" i="1"/>
  <c r="M666" i="1"/>
  <c r="J666" i="1"/>
  <c r="M665" i="1"/>
  <c r="J665" i="1"/>
  <c r="M664" i="1"/>
  <c r="J664" i="1"/>
  <c r="M663" i="1"/>
  <c r="J663" i="1"/>
  <c r="M662" i="1"/>
  <c r="J662" i="1"/>
  <c r="M661" i="1"/>
  <c r="J661" i="1"/>
  <c r="M660" i="1"/>
  <c r="N660" i="1" s="1"/>
  <c r="J660" i="1"/>
  <c r="M659" i="1"/>
  <c r="J659" i="1"/>
  <c r="M658" i="1"/>
  <c r="J658" i="1"/>
  <c r="M657" i="1"/>
  <c r="J657" i="1"/>
  <c r="M656" i="1"/>
  <c r="N656" i="1" s="1"/>
  <c r="J656" i="1"/>
  <c r="M655" i="1"/>
  <c r="J655" i="1"/>
  <c r="M654" i="1"/>
  <c r="J654" i="1"/>
  <c r="M653" i="1"/>
  <c r="J653" i="1"/>
  <c r="N652" i="1"/>
  <c r="M652" i="1"/>
  <c r="J652" i="1"/>
  <c r="M651" i="1"/>
  <c r="J651" i="1"/>
  <c r="N651" i="1" s="1"/>
  <c r="M650" i="1"/>
  <c r="J650" i="1"/>
  <c r="M649" i="1"/>
  <c r="J649" i="1"/>
  <c r="N649" i="1" s="1"/>
  <c r="M648" i="1"/>
  <c r="J648" i="1"/>
  <c r="M647" i="1"/>
  <c r="J647" i="1"/>
  <c r="M646" i="1"/>
  <c r="J646" i="1"/>
  <c r="M645" i="1"/>
  <c r="N645" i="1" s="1"/>
  <c r="J645" i="1"/>
  <c r="M644" i="1"/>
  <c r="J644" i="1"/>
  <c r="M643" i="1"/>
  <c r="J643" i="1"/>
  <c r="M642" i="1"/>
  <c r="J642" i="1"/>
  <c r="M641" i="1"/>
  <c r="J641" i="1"/>
  <c r="M640" i="1"/>
  <c r="J640" i="1"/>
  <c r="M639" i="1"/>
  <c r="J639" i="1"/>
  <c r="N639" i="1" s="1"/>
  <c r="M638" i="1"/>
  <c r="J638" i="1"/>
  <c r="M637" i="1"/>
  <c r="J637" i="1"/>
  <c r="M636" i="1"/>
  <c r="J636" i="1"/>
  <c r="M635" i="1"/>
  <c r="J635" i="1"/>
  <c r="M634" i="1"/>
  <c r="J634" i="1"/>
  <c r="M633" i="1"/>
  <c r="J633" i="1"/>
  <c r="N633" i="1" s="1"/>
  <c r="M632" i="1"/>
  <c r="J632" i="1"/>
  <c r="M631" i="1"/>
  <c r="J631" i="1"/>
  <c r="M630" i="1"/>
  <c r="J630" i="1"/>
  <c r="M629" i="1"/>
  <c r="J629" i="1"/>
  <c r="N629" i="1" s="1"/>
  <c r="M628" i="1"/>
  <c r="J628" i="1"/>
  <c r="M627" i="1"/>
  <c r="J627" i="1"/>
  <c r="N627" i="1" s="1"/>
  <c r="M626" i="1"/>
  <c r="N626" i="1" s="1"/>
  <c r="J626" i="1"/>
  <c r="M625" i="1"/>
  <c r="J625" i="1"/>
  <c r="N625" i="1" s="1"/>
  <c r="M624" i="1"/>
  <c r="J624" i="1"/>
  <c r="M623" i="1"/>
  <c r="J623" i="1"/>
  <c r="M622" i="1"/>
  <c r="J622" i="1"/>
  <c r="M621" i="1"/>
  <c r="J621" i="1"/>
  <c r="M620" i="1"/>
  <c r="J620" i="1"/>
  <c r="M619" i="1"/>
  <c r="J619" i="1"/>
  <c r="M618" i="1"/>
  <c r="J618" i="1"/>
  <c r="M617" i="1"/>
  <c r="J617" i="1"/>
  <c r="N617" i="1" s="1"/>
  <c r="M616" i="1"/>
  <c r="J616" i="1"/>
  <c r="N616" i="1" s="1"/>
  <c r="M615" i="1"/>
  <c r="J615" i="1"/>
  <c r="M614" i="1"/>
  <c r="J614" i="1"/>
  <c r="M613" i="1"/>
  <c r="J613" i="1"/>
  <c r="M612" i="1"/>
  <c r="J612" i="1"/>
  <c r="M611" i="1"/>
  <c r="J611" i="1"/>
  <c r="M610" i="1"/>
  <c r="J610" i="1"/>
  <c r="N610" i="1" s="1"/>
  <c r="M609" i="1"/>
  <c r="J609" i="1"/>
  <c r="M608" i="1"/>
  <c r="J608" i="1"/>
  <c r="M607" i="1"/>
  <c r="J607" i="1"/>
  <c r="N607" i="1" s="1"/>
  <c r="M606" i="1"/>
  <c r="J606" i="1"/>
  <c r="N606" i="1" s="1"/>
  <c r="M605" i="1"/>
  <c r="J605" i="1"/>
  <c r="M604" i="1"/>
  <c r="J604" i="1"/>
  <c r="M603" i="1"/>
  <c r="J603" i="1"/>
  <c r="M602" i="1"/>
  <c r="J602" i="1"/>
  <c r="M601" i="1"/>
  <c r="J601" i="1"/>
  <c r="N601" i="1" s="1"/>
  <c r="M600" i="1"/>
  <c r="J600" i="1"/>
  <c r="N600" i="1" s="1"/>
  <c r="M599" i="1"/>
  <c r="J599" i="1"/>
  <c r="M598" i="1"/>
  <c r="J598" i="1"/>
  <c r="M597" i="1"/>
  <c r="J597" i="1"/>
  <c r="N597" i="1" s="1"/>
  <c r="M596" i="1"/>
  <c r="J596" i="1"/>
  <c r="M595" i="1"/>
  <c r="J595" i="1"/>
  <c r="N595" i="1" s="1"/>
  <c r="M594" i="1"/>
  <c r="J594" i="1"/>
  <c r="M593" i="1"/>
  <c r="J593" i="1"/>
  <c r="M592" i="1"/>
  <c r="J592" i="1"/>
  <c r="N592" i="1" s="1"/>
  <c r="M591" i="1"/>
  <c r="J591" i="1"/>
  <c r="M590" i="1"/>
  <c r="J590" i="1"/>
  <c r="N590" i="1" s="1"/>
  <c r="M589" i="1"/>
  <c r="J589" i="1"/>
  <c r="M588" i="1"/>
  <c r="J588" i="1"/>
  <c r="N588" i="1" s="1"/>
  <c r="M587" i="1"/>
  <c r="J587" i="1"/>
  <c r="M586" i="1"/>
  <c r="J586" i="1"/>
  <c r="M585" i="1"/>
  <c r="J585" i="1"/>
  <c r="J584" i="1"/>
  <c r="G584" i="1"/>
  <c r="M584" i="1" s="1"/>
  <c r="M583" i="1"/>
  <c r="J583" i="1"/>
  <c r="N583" i="1" s="1"/>
  <c r="M582" i="1"/>
  <c r="J582" i="1"/>
  <c r="N582" i="1" s="1"/>
  <c r="M581" i="1"/>
  <c r="J581" i="1"/>
  <c r="N581" i="1" s="1"/>
  <c r="J580" i="1"/>
  <c r="G580" i="1"/>
  <c r="M580" i="1" s="1"/>
  <c r="M579" i="1"/>
  <c r="J579" i="1"/>
  <c r="N579" i="1" s="1"/>
  <c r="M578" i="1"/>
  <c r="J578" i="1"/>
  <c r="M577" i="1"/>
  <c r="J577" i="1"/>
  <c r="M576" i="1"/>
  <c r="J576" i="1"/>
  <c r="M575" i="1"/>
  <c r="J575" i="1"/>
  <c r="N575" i="1" s="1"/>
  <c r="M574" i="1"/>
  <c r="J574" i="1"/>
  <c r="N574" i="1" s="1"/>
  <c r="M573" i="1"/>
  <c r="J573" i="1"/>
  <c r="M572" i="1"/>
  <c r="J572" i="1"/>
  <c r="M571" i="1"/>
  <c r="J571" i="1"/>
  <c r="N571" i="1" s="1"/>
  <c r="M570" i="1"/>
  <c r="J570" i="1"/>
  <c r="M569" i="1"/>
  <c r="J569" i="1"/>
  <c r="N569" i="1" s="1"/>
  <c r="M568" i="1"/>
  <c r="J568" i="1"/>
  <c r="N568" i="1" s="1"/>
  <c r="M567" i="1"/>
  <c r="J567" i="1"/>
  <c r="M566" i="1"/>
  <c r="J566" i="1"/>
  <c r="N566" i="1" s="1"/>
  <c r="M565" i="1"/>
  <c r="J565" i="1"/>
  <c r="N565" i="1" s="1"/>
  <c r="M564" i="1"/>
  <c r="N564" i="1" s="1"/>
  <c r="J564" i="1"/>
  <c r="M563" i="1"/>
  <c r="J563" i="1"/>
  <c r="N563" i="1" s="1"/>
  <c r="M562" i="1"/>
  <c r="J562" i="1"/>
  <c r="M561" i="1"/>
  <c r="J561" i="1"/>
  <c r="M560" i="1"/>
  <c r="J560" i="1"/>
  <c r="M559" i="1"/>
  <c r="J559" i="1"/>
  <c r="N559" i="1" s="1"/>
  <c r="M558" i="1"/>
  <c r="J558" i="1"/>
  <c r="N558" i="1" s="1"/>
  <c r="M557" i="1"/>
  <c r="J557" i="1"/>
  <c r="M556" i="1"/>
  <c r="J556" i="1"/>
  <c r="M555" i="1"/>
  <c r="J555" i="1"/>
  <c r="M554" i="1"/>
  <c r="J554" i="1"/>
  <c r="M553" i="1"/>
  <c r="J553" i="1"/>
  <c r="N553" i="1" s="1"/>
  <c r="M552" i="1"/>
  <c r="N552" i="1" s="1"/>
  <c r="J552" i="1"/>
  <c r="M551" i="1"/>
  <c r="J551" i="1"/>
  <c r="M550" i="1"/>
  <c r="N550" i="1" s="1"/>
  <c r="J550" i="1"/>
  <c r="M549" i="1"/>
  <c r="J549" i="1"/>
  <c r="M548" i="1"/>
  <c r="N548" i="1" s="1"/>
  <c r="J548" i="1"/>
  <c r="M547" i="1"/>
  <c r="J547" i="1"/>
  <c r="N546" i="1"/>
  <c r="M546" i="1"/>
  <c r="J546" i="1"/>
  <c r="M545" i="1"/>
  <c r="J545" i="1"/>
  <c r="N545" i="1" s="1"/>
  <c r="M544" i="1"/>
  <c r="J544" i="1"/>
  <c r="N544" i="1" s="1"/>
  <c r="M543" i="1"/>
  <c r="N543" i="1" s="1"/>
  <c r="J543" i="1"/>
  <c r="M542" i="1"/>
  <c r="J542" i="1"/>
  <c r="M541" i="1"/>
  <c r="N541" i="1" s="1"/>
  <c r="J541" i="1"/>
  <c r="M540" i="1"/>
  <c r="J540" i="1"/>
  <c r="N539" i="1"/>
  <c r="M539" i="1"/>
  <c r="J539" i="1"/>
  <c r="M538" i="1"/>
  <c r="J538" i="1"/>
  <c r="M537" i="1"/>
  <c r="J537" i="1"/>
  <c r="N537" i="1" s="1"/>
  <c r="M536" i="1"/>
  <c r="N536" i="1" s="1"/>
  <c r="J536" i="1"/>
  <c r="M535" i="1"/>
  <c r="J535" i="1"/>
  <c r="N535" i="1" s="1"/>
  <c r="M534" i="1"/>
  <c r="J534" i="1"/>
  <c r="M533" i="1"/>
  <c r="J533" i="1"/>
  <c r="M532" i="1"/>
  <c r="J532" i="1"/>
  <c r="M531" i="1"/>
  <c r="J531" i="1"/>
  <c r="M530" i="1"/>
  <c r="J530" i="1"/>
  <c r="M529" i="1"/>
  <c r="J529" i="1"/>
  <c r="M528" i="1"/>
  <c r="J528" i="1"/>
  <c r="M527" i="1"/>
  <c r="J527" i="1"/>
  <c r="N527" i="1" s="1"/>
  <c r="M526" i="1"/>
  <c r="J526" i="1"/>
  <c r="M525" i="1"/>
  <c r="J525" i="1"/>
  <c r="M524" i="1"/>
  <c r="J524" i="1"/>
  <c r="M523" i="1"/>
  <c r="J523" i="1"/>
  <c r="M522" i="1"/>
  <c r="J522" i="1"/>
  <c r="M521" i="1"/>
  <c r="N521" i="1" s="1"/>
  <c r="J521" i="1"/>
  <c r="M520" i="1"/>
  <c r="J520" i="1"/>
  <c r="M519" i="1"/>
  <c r="J519" i="1"/>
  <c r="M518" i="1"/>
  <c r="J518" i="1"/>
  <c r="M517" i="1"/>
  <c r="J517" i="1"/>
  <c r="M516" i="1"/>
  <c r="N516" i="1" s="1"/>
  <c r="J516" i="1"/>
  <c r="M515" i="1"/>
  <c r="J515" i="1"/>
  <c r="M514" i="1"/>
  <c r="N514" i="1" s="1"/>
  <c r="J514" i="1"/>
  <c r="M513" i="1"/>
  <c r="J513" i="1"/>
  <c r="M512" i="1"/>
  <c r="J512" i="1"/>
  <c r="M511" i="1"/>
  <c r="J511" i="1"/>
  <c r="N511" i="1" s="1"/>
  <c r="M510" i="1"/>
  <c r="J510" i="1"/>
  <c r="N510" i="1" s="1"/>
  <c r="M509" i="1"/>
  <c r="N509" i="1" s="1"/>
  <c r="J509" i="1"/>
  <c r="M508" i="1"/>
  <c r="J508" i="1"/>
  <c r="M507" i="1"/>
  <c r="J507" i="1"/>
  <c r="M506" i="1"/>
  <c r="J506" i="1"/>
  <c r="N505" i="1"/>
  <c r="M505" i="1"/>
  <c r="J505" i="1"/>
  <c r="M504" i="1"/>
  <c r="J504" i="1"/>
  <c r="M503" i="1"/>
  <c r="J503" i="1"/>
  <c r="M502" i="1"/>
  <c r="J502" i="1"/>
  <c r="N502" i="1" s="1"/>
  <c r="M501" i="1"/>
  <c r="J501" i="1"/>
  <c r="M500" i="1"/>
  <c r="J500" i="1"/>
  <c r="M499" i="1"/>
  <c r="J499" i="1"/>
  <c r="N499" i="1" s="1"/>
  <c r="M498" i="1"/>
  <c r="N498" i="1" s="1"/>
  <c r="J498" i="1"/>
  <c r="M497" i="1"/>
  <c r="J497" i="1"/>
  <c r="M496" i="1"/>
  <c r="J496" i="1"/>
  <c r="N496" i="1" s="1"/>
  <c r="M495" i="1"/>
  <c r="J495" i="1"/>
  <c r="N495" i="1" s="1"/>
  <c r="M494" i="1"/>
  <c r="J494" i="1"/>
  <c r="M493" i="1"/>
  <c r="N493" i="1" s="1"/>
  <c r="J493" i="1"/>
  <c r="M492" i="1"/>
  <c r="J492" i="1"/>
  <c r="M491" i="1"/>
  <c r="J491" i="1"/>
  <c r="N491" i="1" s="1"/>
  <c r="M490" i="1"/>
  <c r="J490" i="1"/>
  <c r="M489" i="1"/>
  <c r="J489" i="1"/>
  <c r="N489" i="1" s="1"/>
  <c r="M488" i="1"/>
  <c r="J488" i="1"/>
  <c r="M487" i="1"/>
  <c r="J487" i="1"/>
  <c r="M486" i="1"/>
  <c r="J486" i="1"/>
  <c r="N486" i="1" s="1"/>
  <c r="M485" i="1"/>
  <c r="J485" i="1"/>
  <c r="M484" i="1"/>
  <c r="J484" i="1"/>
  <c r="M483" i="1"/>
  <c r="J483" i="1"/>
  <c r="N483" i="1" s="1"/>
  <c r="M482" i="1"/>
  <c r="N482" i="1" s="1"/>
  <c r="J482" i="1"/>
  <c r="M481" i="1"/>
  <c r="J481" i="1"/>
  <c r="M480" i="1"/>
  <c r="J480" i="1"/>
  <c r="M479" i="1"/>
  <c r="J479" i="1"/>
  <c r="M478" i="1"/>
  <c r="J478" i="1"/>
  <c r="M477" i="1"/>
  <c r="J477" i="1"/>
  <c r="M476" i="1"/>
  <c r="J476" i="1"/>
  <c r="N475" i="1"/>
  <c r="M475" i="1"/>
  <c r="J475" i="1"/>
  <c r="M474" i="1"/>
  <c r="J474" i="1"/>
  <c r="N473" i="1"/>
  <c r="M473" i="1"/>
  <c r="J473" i="1"/>
  <c r="M472" i="1"/>
  <c r="J472" i="1"/>
  <c r="M471" i="1"/>
  <c r="J471" i="1"/>
  <c r="M470" i="1"/>
  <c r="J470" i="1"/>
  <c r="M469" i="1"/>
  <c r="J469" i="1"/>
  <c r="M468" i="1"/>
  <c r="J468" i="1"/>
  <c r="M467" i="1"/>
  <c r="J467" i="1"/>
  <c r="M466" i="1"/>
  <c r="J466" i="1"/>
  <c r="N466" i="1" s="1"/>
  <c r="M465" i="1"/>
  <c r="J465" i="1"/>
  <c r="M464" i="1"/>
  <c r="J464" i="1"/>
  <c r="M463" i="1"/>
  <c r="J463" i="1"/>
  <c r="M462" i="1"/>
  <c r="J462" i="1"/>
  <c r="M461" i="1"/>
  <c r="J461" i="1"/>
  <c r="M460" i="1"/>
  <c r="J460" i="1"/>
  <c r="M459" i="1"/>
  <c r="J459" i="1"/>
  <c r="M458" i="1"/>
  <c r="J458" i="1"/>
  <c r="M457" i="1"/>
  <c r="J457" i="1"/>
  <c r="N457" i="1" s="1"/>
  <c r="M456" i="1"/>
  <c r="J456" i="1"/>
  <c r="M455" i="1"/>
  <c r="J455" i="1"/>
  <c r="M454" i="1"/>
  <c r="N454" i="1" s="1"/>
  <c r="J454" i="1"/>
  <c r="M453" i="1"/>
  <c r="J453" i="1"/>
  <c r="M452" i="1"/>
  <c r="J452" i="1"/>
  <c r="M451" i="1"/>
  <c r="J451" i="1"/>
  <c r="M450" i="1"/>
  <c r="J450" i="1"/>
  <c r="N450" i="1" s="1"/>
  <c r="M449" i="1"/>
  <c r="J449" i="1"/>
  <c r="N449" i="1" s="1"/>
  <c r="M448" i="1"/>
  <c r="J448" i="1"/>
  <c r="M447" i="1"/>
  <c r="J447" i="1"/>
  <c r="M446" i="1"/>
  <c r="J446" i="1"/>
  <c r="M445" i="1"/>
  <c r="J445" i="1"/>
  <c r="M444" i="1"/>
  <c r="J444" i="1"/>
  <c r="M443" i="1"/>
  <c r="J443" i="1"/>
  <c r="M442" i="1"/>
  <c r="J442" i="1"/>
  <c r="M441" i="1"/>
  <c r="J441" i="1"/>
  <c r="N441" i="1" s="1"/>
  <c r="M440" i="1"/>
  <c r="J440" i="1"/>
  <c r="M439" i="1"/>
  <c r="J439" i="1"/>
  <c r="M438" i="1"/>
  <c r="J438" i="1"/>
  <c r="N438" i="1" s="1"/>
  <c r="M437" i="1"/>
  <c r="J437" i="1"/>
  <c r="N437" i="1" s="1"/>
  <c r="M436" i="1"/>
  <c r="J436" i="1"/>
  <c r="M435" i="1"/>
  <c r="J435" i="1"/>
  <c r="N435" i="1" s="1"/>
  <c r="M434" i="1"/>
  <c r="J434" i="1"/>
  <c r="M433" i="1"/>
  <c r="J433" i="1"/>
  <c r="M432" i="1"/>
  <c r="J432" i="1"/>
  <c r="M431" i="1"/>
  <c r="J431" i="1"/>
  <c r="N431" i="1" s="1"/>
  <c r="M430" i="1"/>
  <c r="J430" i="1"/>
  <c r="N430" i="1" s="1"/>
  <c r="M429" i="1"/>
  <c r="J429" i="1"/>
  <c r="M428" i="1"/>
  <c r="J428" i="1"/>
  <c r="N428" i="1" s="1"/>
  <c r="M427" i="1"/>
  <c r="J427" i="1"/>
  <c r="N427" i="1" s="1"/>
  <c r="M426" i="1"/>
  <c r="J426" i="1"/>
  <c r="M425" i="1"/>
  <c r="J425" i="1"/>
  <c r="N424" i="1"/>
  <c r="M424" i="1"/>
  <c r="J424" i="1"/>
  <c r="M423" i="1"/>
  <c r="J423" i="1"/>
  <c r="M422" i="1"/>
  <c r="J422" i="1"/>
  <c r="M421" i="1"/>
  <c r="J421" i="1"/>
  <c r="M420" i="1"/>
  <c r="J420" i="1"/>
  <c r="M419" i="1"/>
  <c r="J419" i="1"/>
  <c r="M418" i="1"/>
  <c r="J418" i="1"/>
  <c r="N418" i="1" s="1"/>
  <c r="M417" i="1"/>
  <c r="J417" i="1"/>
  <c r="M416" i="1"/>
  <c r="J416" i="1"/>
  <c r="M415" i="1"/>
  <c r="J415" i="1"/>
  <c r="N415" i="1" s="1"/>
  <c r="M414" i="1"/>
  <c r="J414" i="1"/>
  <c r="M413" i="1"/>
  <c r="J413" i="1"/>
  <c r="M412" i="1"/>
  <c r="J412" i="1"/>
  <c r="N412" i="1" s="1"/>
  <c r="M411" i="1"/>
  <c r="J411" i="1"/>
  <c r="M410" i="1"/>
  <c r="N410" i="1" s="1"/>
  <c r="J410" i="1"/>
  <c r="M409" i="1"/>
  <c r="J409" i="1"/>
  <c r="M408" i="1"/>
  <c r="J408" i="1"/>
  <c r="N408" i="1" s="1"/>
  <c r="M407" i="1"/>
  <c r="J407" i="1"/>
  <c r="M406" i="1"/>
  <c r="J406" i="1"/>
  <c r="N406" i="1" s="1"/>
  <c r="M405" i="1"/>
  <c r="J405" i="1"/>
  <c r="M404" i="1"/>
  <c r="J404" i="1"/>
  <c r="M403" i="1"/>
  <c r="J403" i="1"/>
  <c r="M402" i="1"/>
  <c r="N402" i="1" s="1"/>
  <c r="J402" i="1"/>
  <c r="M401" i="1"/>
  <c r="J401" i="1"/>
  <c r="M400" i="1"/>
  <c r="J400" i="1"/>
  <c r="M399" i="1"/>
  <c r="J399" i="1"/>
  <c r="N399" i="1" s="1"/>
  <c r="M398" i="1"/>
  <c r="J398" i="1"/>
  <c r="M397" i="1"/>
  <c r="J397" i="1"/>
  <c r="M396" i="1"/>
  <c r="J396" i="1"/>
  <c r="M395" i="1"/>
  <c r="N395" i="1" s="1"/>
  <c r="J395" i="1"/>
  <c r="M394" i="1"/>
  <c r="J394" i="1"/>
  <c r="M393" i="1"/>
  <c r="J393" i="1"/>
  <c r="M392" i="1"/>
  <c r="J392" i="1"/>
  <c r="N392" i="1" s="1"/>
  <c r="M391" i="1"/>
  <c r="J391" i="1"/>
  <c r="N391" i="1" s="1"/>
  <c r="M390" i="1"/>
  <c r="J390" i="1"/>
  <c r="M389" i="1"/>
  <c r="J389" i="1"/>
  <c r="N389" i="1" s="1"/>
  <c r="M388" i="1"/>
  <c r="J388" i="1"/>
  <c r="M387" i="1"/>
  <c r="J387" i="1"/>
  <c r="M386" i="1"/>
  <c r="J386" i="1"/>
  <c r="N386" i="1" s="1"/>
  <c r="M385" i="1"/>
  <c r="J385" i="1"/>
  <c r="M384" i="1"/>
  <c r="J384" i="1"/>
  <c r="N384" i="1" s="1"/>
  <c r="M383" i="1"/>
  <c r="J383" i="1"/>
  <c r="N383" i="1" s="1"/>
  <c r="M382" i="1"/>
  <c r="J382" i="1"/>
  <c r="N382" i="1" s="1"/>
  <c r="M381" i="1"/>
  <c r="J381" i="1"/>
  <c r="M380" i="1"/>
  <c r="J380" i="1"/>
  <c r="N380" i="1" s="1"/>
  <c r="M379" i="1"/>
  <c r="J379" i="1"/>
  <c r="M378" i="1"/>
  <c r="J378" i="1"/>
  <c r="M377" i="1"/>
  <c r="J377" i="1"/>
  <c r="N377" i="1" s="1"/>
  <c r="M376" i="1"/>
  <c r="J376" i="1"/>
  <c r="N376" i="1" s="1"/>
  <c r="M375" i="1"/>
  <c r="J375" i="1"/>
  <c r="M374" i="1"/>
  <c r="J374" i="1"/>
  <c r="M373" i="1"/>
  <c r="J373" i="1"/>
  <c r="M372" i="1"/>
  <c r="J372" i="1"/>
  <c r="M371" i="1"/>
  <c r="J371" i="1"/>
  <c r="M370" i="1"/>
  <c r="J370" i="1"/>
  <c r="M369" i="1"/>
  <c r="J369" i="1"/>
  <c r="M368" i="1"/>
  <c r="J368" i="1"/>
  <c r="M367" i="1"/>
  <c r="J367" i="1"/>
  <c r="M366" i="1"/>
  <c r="J366" i="1"/>
  <c r="M365" i="1"/>
  <c r="N365" i="1" s="1"/>
  <c r="J365" i="1"/>
  <c r="M364" i="1"/>
  <c r="J364" i="1"/>
  <c r="M363" i="1"/>
  <c r="J363" i="1"/>
  <c r="N363" i="1" s="1"/>
  <c r="M362" i="1"/>
  <c r="N362" i="1" s="1"/>
  <c r="J362" i="1"/>
  <c r="M361" i="1"/>
  <c r="N361" i="1" s="1"/>
  <c r="J361" i="1"/>
  <c r="M360" i="1"/>
  <c r="J360" i="1"/>
  <c r="M359" i="1"/>
  <c r="J359" i="1"/>
  <c r="M358" i="1"/>
  <c r="J358" i="1"/>
  <c r="M357" i="1"/>
  <c r="J357" i="1"/>
  <c r="M356" i="1"/>
  <c r="J356" i="1"/>
  <c r="M355" i="1"/>
  <c r="J355" i="1"/>
  <c r="M354" i="1"/>
  <c r="N354" i="1" s="1"/>
  <c r="J354" i="1"/>
  <c r="M353" i="1"/>
  <c r="J353" i="1"/>
  <c r="M352" i="1"/>
  <c r="J352" i="1"/>
  <c r="M351" i="1"/>
  <c r="J351" i="1"/>
  <c r="N351" i="1" s="1"/>
  <c r="M350" i="1"/>
  <c r="J350" i="1"/>
  <c r="M349" i="1"/>
  <c r="J349" i="1"/>
  <c r="M348" i="1"/>
  <c r="J348" i="1"/>
  <c r="M347" i="1"/>
  <c r="J347" i="1"/>
  <c r="M346" i="1"/>
  <c r="J346" i="1"/>
  <c r="M345" i="1"/>
  <c r="J345" i="1"/>
  <c r="M344" i="1"/>
  <c r="J344" i="1"/>
  <c r="M343" i="1"/>
  <c r="J343" i="1"/>
  <c r="N343" i="1" s="1"/>
  <c r="M342" i="1"/>
  <c r="J342" i="1"/>
  <c r="M341" i="1"/>
  <c r="J341" i="1"/>
  <c r="M340" i="1"/>
  <c r="J340" i="1"/>
  <c r="M339" i="1"/>
  <c r="J339" i="1"/>
  <c r="M338" i="1"/>
  <c r="J338" i="1"/>
  <c r="M337" i="1"/>
  <c r="J337" i="1"/>
  <c r="M336" i="1"/>
  <c r="J336" i="1"/>
  <c r="M335" i="1"/>
  <c r="J335" i="1"/>
  <c r="N335" i="1" s="1"/>
  <c r="M334" i="1"/>
  <c r="J334" i="1"/>
  <c r="M333" i="1"/>
  <c r="N333" i="1" s="1"/>
  <c r="J333" i="1"/>
  <c r="M332" i="1"/>
  <c r="J332" i="1"/>
  <c r="N332" i="1" s="1"/>
  <c r="M331" i="1"/>
  <c r="J331" i="1"/>
  <c r="N331" i="1" s="1"/>
  <c r="M330" i="1"/>
  <c r="J330" i="1"/>
  <c r="M329" i="1"/>
  <c r="J329" i="1"/>
  <c r="M328" i="1"/>
  <c r="N328" i="1" s="1"/>
  <c r="J328" i="1"/>
  <c r="M327" i="1"/>
  <c r="J327" i="1"/>
  <c r="N327" i="1" s="1"/>
  <c r="M326" i="1"/>
  <c r="N326" i="1" s="1"/>
  <c r="J326" i="1"/>
  <c r="M325" i="1"/>
  <c r="J325" i="1"/>
  <c r="M324" i="1"/>
  <c r="J324" i="1"/>
  <c r="M323" i="1"/>
  <c r="J323" i="1"/>
  <c r="N322" i="1"/>
  <c r="M322" i="1"/>
  <c r="J322" i="1"/>
  <c r="M321" i="1"/>
  <c r="J321" i="1"/>
  <c r="N321" i="1" s="1"/>
  <c r="M320" i="1"/>
  <c r="J320" i="1"/>
  <c r="N320" i="1" s="1"/>
  <c r="N319" i="1"/>
  <c r="M319" i="1"/>
  <c r="J319" i="1"/>
  <c r="M318" i="1"/>
  <c r="J318" i="1"/>
  <c r="M317" i="1"/>
  <c r="J317" i="1"/>
  <c r="M316" i="1"/>
  <c r="J316" i="1"/>
  <c r="M315" i="1"/>
  <c r="J315" i="1"/>
  <c r="M314" i="1"/>
  <c r="N314" i="1" s="1"/>
  <c r="J314" i="1"/>
  <c r="M313" i="1"/>
  <c r="J313" i="1"/>
  <c r="M312" i="1"/>
  <c r="J312" i="1"/>
  <c r="N312" i="1" s="1"/>
  <c r="N311" i="1"/>
  <c r="M311" i="1"/>
  <c r="J311" i="1"/>
  <c r="M310" i="1"/>
  <c r="J310" i="1"/>
  <c r="M309" i="1"/>
  <c r="J309" i="1"/>
  <c r="M308" i="1"/>
  <c r="J308" i="1"/>
  <c r="M307" i="1"/>
  <c r="J307" i="1"/>
  <c r="M306" i="1"/>
  <c r="J306" i="1"/>
  <c r="N306" i="1" s="1"/>
  <c r="M305" i="1"/>
  <c r="J305" i="1"/>
  <c r="N305" i="1" s="1"/>
  <c r="M304" i="1"/>
  <c r="J304" i="1"/>
  <c r="M303" i="1"/>
  <c r="J303" i="1"/>
  <c r="M302" i="1"/>
  <c r="J302" i="1"/>
  <c r="N302" i="1" s="1"/>
  <c r="M301" i="1"/>
  <c r="J301" i="1"/>
  <c r="M300" i="1"/>
  <c r="J300" i="1"/>
  <c r="M299" i="1"/>
  <c r="J299" i="1"/>
  <c r="M298" i="1"/>
  <c r="J298" i="1"/>
  <c r="N298" i="1" s="1"/>
  <c r="M297" i="1"/>
  <c r="J297" i="1"/>
  <c r="M296" i="1"/>
  <c r="J296" i="1"/>
  <c r="M295" i="1"/>
  <c r="J295" i="1"/>
  <c r="M294" i="1"/>
  <c r="J294" i="1"/>
  <c r="M293" i="1"/>
  <c r="J293" i="1"/>
  <c r="M292" i="1"/>
  <c r="N292" i="1" s="1"/>
  <c r="J292" i="1"/>
  <c r="M291" i="1"/>
  <c r="J291" i="1"/>
  <c r="M290" i="1"/>
  <c r="J290" i="1"/>
  <c r="M289" i="1"/>
  <c r="J289" i="1"/>
  <c r="M288" i="1"/>
  <c r="J288" i="1"/>
  <c r="M287" i="1"/>
  <c r="J287" i="1"/>
  <c r="M286" i="1"/>
  <c r="J286" i="1"/>
  <c r="M285" i="1"/>
  <c r="N285" i="1" s="1"/>
  <c r="J285" i="1"/>
  <c r="M284" i="1"/>
  <c r="J284" i="1"/>
  <c r="M283" i="1"/>
  <c r="J283" i="1"/>
  <c r="M282" i="1"/>
  <c r="J282" i="1"/>
  <c r="N282" i="1" s="1"/>
  <c r="M281" i="1"/>
  <c r="J281" i="1"/>
  <c r="N281" i="1" s="1"/>
  <c r="M280" i="1"/>
  <c r="J280" i="1"/>
  <c r="M279" i="1"/>
  <c r="J279" i="1"/>
  <c r="M278" i="1"/>
  <c r="J278" i="1"/>
  <c r="N278" i="1" s="1"/>
  <c r="M277" i="1"/>
  <c r="J277" i="1"/>
  <c r="M276" i="1"/>
  <c r="N276" i="1" s="1"/>
  <c r="J276" i="1"/>
  <c r="M275" i="1"/>
  <c r="J275" i="1"/>
  <c r="M274" i="1"/>
  <c r="J274" i="1"/>
  <c r="M273" i="1"/>
  <c r="J273" i="1"/>
  <c r="M272" i="1"/>
  <c r="J272" i="1"/>
  <c r="M271" i="1"/>
  <c r="N271" i="1" s="1"/>
  <c r="J271" i="1"/>
  <c r="M270" i="1"/>
  <c r="J270" i="1"/>
  <c r="M269" i="1"/>
  <c r="J269" i="1"/>
  <c r="N269" i="1" s="1"/>
  <c r="M268" i="1"/>
  <c r="J268" i="1"/>
  <c r="M267" i="1"/>
  <c r="J267" i="1"/>
  <c r="M266" i="1"/>
  <c r="N266" i="1" s="1"/>
  <c r="J266" i="1"/>
  <c r="M265" i="1"/>
  <c r="J265" i="1"/>
  <c r="M264" i="1"/>
  <c r="J264" i="1"/>
  <c r="M263" i="1"/>
  <c r="J263" i="1"/>
  <c r="N263" i="1" s="1"/>
  <c r="M262" i="1"/>
  <c r="N262" i="1" s="1"/>
  <c r="J262" i="1"/>
  <c r="M261" i="1"/>
  <c r="J261" i="1"/>
  <c r="M260" i="1"/>
  <c r="J260" i="1"/>
  <c r="M259" i="1"/>
  <c r="J259" i="1"/>
  <c r="M258" i="1"/>
  <c r="J258" i="1"/>
  <c r="M257" i="1"/>
  <c r="N257" i="1" s="1"/>
  <c r="J257" i="1"/>
  <c r="M256" i="1"/>
  <c r="J256" i="1"/>
  <c r="N256" i="1" s="1"/>
  <c r="M255" i="1"/>
  <c r="J255" i="1"/>
  <c r="N255" i="1" s="1"/>
  <c r="M254" i="1"/>
  <c r="J254" i="1"/>
  <c r="M253" i="1"/>
  <c r="J253" i="1"/>
  <c r="M252" i="1"/>
  <c r="J252" i="1"/>
  <c r="M251" i="1"/>
  <c r="J251" i="1"/>
  <c r="M250" i="1"/>
  <c r="J250" i="1"/>
  <c r="M249" i="1"/>
  <c r="J249" i="1"/>
  <c r="M248" i="1"/>
  <c r="J248" i="1"/>
  <c r="M247" i="1"/>
  <c r="J247" i="1"/>
  <c r="M246" i="1"/>
  <c r="N246" i="1" s="1"/>
  <c r="J246" i="1"/>
  <c r="M245" i="1"/>
  <c r="J245" i="1"/>
  <c r="M244" i="1"/>
  <c r="J244" i="1"/>
  <c r="M243" i="1"/>
  <c r="J243" i="1"/>
  <c r="N243" i="1" s="1"/>
  <c r="M242" i="1"/>
  <c r="J242" i="1"/>
  <c r="M241" i="1"/>
  <c r="J241" i="1"/>
  <c r="M240" i="1"/>
  <c r="J240" i="1"/>
  <c r="M239" i="1"/>
  <c r="J239" i="1"/>
  <c r="N239" i="1" s="1"/>
  <c r="M238" i="1"/>
  <c r="J238" i="1"/>
  <c r="M237" i="1"/>
  <c r="J237" i="1"/>
  <c r="N237" i="1" s="1"/>
  <c r="M236" i="1"/>
  <c r="J236" i="1"/>
  <c r="M235" i="1"/>
  <c r="J235" i="1"/>
  <c r="N235" i="1" s="1"/>
  <c r="M234" i="1"/>
  <c r="J234" i="1"/>
  <c r="M233" i="1"/>
  <c r="N233" i="1" s="1"/>
  <c r="J233" i="1"/>
  <c r="M232" i="1"/>
  <c r="N232" i="1" s="1"/>
  <c r="J232" i="1"/>
  <c r="M231" i="1"/>
  <c r="J231" i="1"/>
  <c r="M230" i="1"/>
  <c r="J230" i="1"/>
  <c r="M229" i="1"/>
  <c r="J229" i="1"/>
  <c r="M228" i="1"/>
  <c r="J228" i="1"/>
  <c r="M227" i="1"/>
  <c r="J227" i="1"/>
  <c r="M226" i="1"/>
  <c r="N226" i="1" s="1"/>
  <c r="J226" i="1"/>
  <c r="M225" i="1"/>
  <c r="J225" i="1"/>
  <c r="M224" i="1"/>
  <c r="J224" i="1"/>
  <c r="M223" i="1"/>
  <c r="J223" i="1"/>
  <c r="N223" i="1" s="1"/>
  <c r="M222" i="1"/>
  <c r="J222" i="1"/>
  <c r="M221" i="1"/>
  <c r="J221" i="1"/>
  <c r="M220" i="1"/>
  <c r="J220" i="1"/>
  <c r="M219" i="1"/>
  <c r="J219" i="1"/>
  <c r="M218" i="1"/>
  <c r="J218" i="1"/>
  <c r="M217" i="1"/>
  <c r="J217" i="1"/>
  <c r="M216" i="1"/>
  <c r="J216" i="1"/>
  <c r="M215" i="1"/>
  <c r="J215" i="1"/>
  <c r="N215" i="1" s="1"/>
  <c r="M214" i="1"/>
  <c r="N214" i="1" s="1"/>
  <c r="J214" i="1"/>
  <c r="M213" i="1"/>
  <c r="J213" i="1"/>
  <c r="M212" i="1"/>
  <c r="J212" i="1"/>
  <c r="M211" i="1"/>
  <c r="J211" i="1"/>
  <c r="M210" i="1"/>
  <c r="N210" i="1" s="1"/>
  <c r="J210" i="1"/>
  <c r="M209" i="1"/>
  <c r="J209" i="1"/>
  <c r="M208" i="1"/>
  <c r="J208" i="1"/>
  <c r="N207" i="1"/>
  <c r="M207" i="1"/>
  <c r="J207" i="1"/>
  <c r="M206" i="1"/>
  <c r="J206" i="1"/>
  <c r="M205" i="1"/>
  <c r="J205" i="1"/>
  <c r="M204" i="1"/>
  <c r="N204" i="1" s="1"/>
  <c r="J204" i="1"/>
  <c r="M203" i="1"/>
  <c r="J203" i="1"/>
  <c r="N203" i="1" s="1"/>
  <c r="M202" i="1"/>
  <c r="J202" i="1"/>
  <c r="M201" i="1"/>
  <c r="J201" i="1"/>
  <c r="M200" i="1"/>
  <c r="J200" i="1"/>
  <c r="M199" i="1"/>
  <c r="J199" i="1"/>
  <c r="N199" i="1" s="1"/>
  <c r="M198" i="1"/>
  <c r="J198" i="1"/>
  <c r="M197" i="1"/>
  <c r="N197" i="1" s="1"/>
  <c r="J197" i="1"/>
  <c r="M196" i="1"/>
  <c r="J196" i="1"/>
  <c r="M195" i="1"/>
  <c r="J195" i="1"/>
  <c r="N195" i="1" s="1"/>
  <c r="M194" i="1"/>
  <c r="J194" i="1"/>
  <c r="M193" i="1"/>
  <c r="J193" i="1"/>
  <c r="M192" i="1"/>
  <c r="J192" i="1"/>
  <c r="M191" i="1"/>
  <c r="J191" i="1"/>
  <c r="N191" i="1" s="1"/>
  <c r="M190" i="1"/>
  <c r="J190" i="1"/>
  <c r="M189" i="1"/>
  <c r="J189" i="1"/>
  <c r="M188" i="1"/>
  <c r="J188" i="1"/>
  <c r="M187" i="1"/>
  <c r="J187" i="1"/>
  <c r="N187" i="1" s="1"/>
  <c r="M186" i="1"/>
  <c r="J186" i="1"/>
  <c r="M185" i="1"/>
  <c r="J185" i="1"/>
  <c r="M184" i="1"/>
  <c r="J184" i="1"/>
  <c r="N184" i="1" s="1"/>
  <c r="M183" i="1"/>
  <c r="J183" i="1"/>
  <c r="N183" i="1" s="1"/>
  <c r="N182" i="1"/>
  <c r="M182" i="1"/>
  <c r="J182" i="1"/>
  <c r="M181" i="1"/>
  <c r="J181" i="1"/>
  <c r="M180" i="1"/>
  <c r="J180" i="1"/>
  <c r="M179" i="1"/>
  <c r="J179" i="1"/>
  <c r="N179" i="1" s="1"/>
  <c r="M178" i="1"/>
  <c r="J178" i="1"/>
  <c r="M177" i="1"/>
  <c r="J177" i="1"/>
  <c r="N177" i="1" s="1"/>
  <c r="M176" i="1"/>
  <c r="J176" i="1"/>
  <c r="N176" i="1" s="1"/>
  <c r="N175" i="1"/>
  <c r="M175" i="1"/>
  <c r="J175" i="1"/>
  <c r="M174" i="1"/>
  <c r="J174" i="1"/>
  <c r="M173" i="1"/>
  <c r="J173" i="1"/>
  <c r="N173" i="1" s="1"/>
  <c r="M172" i="1"/>
  <c r="J172" i="1"/>
  <c r="N172" i="1" s="1"/>
  <c r="M171" i="1"/>
  <c r="J171" i="1"/>
  <c r="M170" i="1"/>
  <c r="J170" i="1"/>
  <c r="N170" i="1" s="1"/>
  <c r="M169" i="1"/>
  <c r="J169" i="1"/>
  <c r="N169" i="1" s="1"/>
  <c r="M168" i="1"/>
  <c r="J168" i="1"/>
  <c r="M167" i="1"/>
  <c r="J167" i="1"/>
  <c r="M166" i="1"/>
  <c r="J166" i="1"/>
  <c r="N166" i="1" s="1"/>
  <c r="M165" i="1"/>
  <c r="J165" i="1"/>
  <c r="N164" i="1"/>
  <c r="M164" i="1"/>
  <c r="J164" i="1"/>
  <c r="M163" i="1"/>
  <c r="J163" i="1"/>
  <c r="M162" i="1"/>
  <c r="J162" i="1"/>
  <c r="N162" i="1" s="1"/>
  <c r="M161" i="1"/>
  <c r="J161" i="1"/>
  <c r="M160" i="1"/>
  <c r="J160" i="1"/>
  <c r="M159" i="1"/>
  <c r="J159" i="1"/>
  <c r="M158" i="1"/>
  <c r="J158" i="1"/>
  <c r="N158" i="1" s="1"/>
  <c r="M157" i="1"/>
  <c r="J157" i="1"/>
  <c r="M156" i="1"/>
  <c r="N156" i="1" s="1"/>
  <c r="J156" i="1"/>
  <c r="M155" i="1"/>
  <c r="J155" i="1"/>
  <c r="N155" i="1" s="1"/>
  <c r="M154" i="1"/>
  <c r="J154" i="1"/>
  <c r="N154" i="1" s="1"/>
  <c r="M153" i="1"/>
  <c r="J153" i="1"/>
  <c r="M152" i="1"/>
  <c r="J152" i="1"/>
  <c r="M151" i="1"/>
  <c r="J151" i="1"/>
  <c r="M150" i="1"/>
  <c r="J150" i="1"/>
  <c r="M149" i="1"/>
  <c r="J149" i="1"/>
  <c r="M148" i="1"/>
  <c r="J148" i="1"/>
  <c r="M147" i="1"/>
  <c r="J147" i="1"/>
  <c r="M146" i="1"/>
  <c r="J146" i="1"/>
  <c r="N146" i="1" s="1"/>
  <c r="M145" i="1"/>
  <c r="N145" i="1" s="1"/>
  <c r="J145" i="1"/>
  <c r="M144" i="1"/>
  <c r="J144" i="1"/>
  <c r="M143" i="1"/>
  <c r="J143" i="1"/>
  <c r="M142" i="1"/>
  <c r="J142" i="1"/>
  <c r="N142" i="1" s="1"/>
  <c r="M141" i="1"/>
  <c r="J141" i="1"/>
  <c r="M140" i="1"/>
  <c r="J140" i="1"/>
  <c r="M139" i="1"/>
  <c r="J139" i="1"/>
  <c r="N139" i="1" s="1"/>
  <c r="M138" i="1"/>
  <c r="J138" i="1"/>
  <c r="N137" i="1"/>
  <c r="M137" i="1"/>
  <c r="J137" i="1"/>
  <c r="M136" i="1"/>
  <c r="J136" i="1"/>
  <c r="N136" i="1" s="1"/>
  <c r="M135" i="1"/>
  <c r="J135" i="1"/>
  <c r="M134" i="1"/>
  <c r="N134" i="1" s="1"/>
  <c r="J134" i="1"/>
  <c r="M133" i="1"/>
  <c r="J133" i="1"/>
  <c r="M132" i="1"/>
  <c r="J132" i="1"/>
  <c r="N132" i="1" s="1"/>
  <c r="M131" i="1"/>
  <c r="J131" i="1"/>
  <c r="M130" i="1"/>
  <c r="J130" i="1"/>
  <c r="M129" i="1"/>
  <c r="J129" i="1"/>
  <c r="M128" i="1"/>
  <c r="J128" i="1"/>
  <c r="N128" i="1" s="1"/>
  <c r="M127" i="1"/>
  <c r="J127" i="1"/>
  <c r="M126" i="1"/>
  <c r="J126" i="1"/>
  <c r="N126" i="1" s="1"/>
  <c r="M125" i="1"/>
  <c r="J125" i="1"/>
  <c r="M124" i="1"/>
  <c r="J124" i="1"/>
  <c r="M123" i="1"/>
  <c r="J123" i="1"/>
  <c r="M122" i="1"/>
  <c r="J122" i="1"/>
  <c r="M121" i="1"/>
  <c r="N121" i="1" s="1"/>
  <c r="J121" i="1"/>
  <c r="M120" i="1"/>
  <c r="J120" i="1"/>
  <c r="M119" i="1"/>
  <c r="J119" i="1"/>
  <c r="N119" i="1" s="1"/>
  <c r="M118" i="1"/>
  <c r="J118" i="1"/>
  <c r="N118" i="1" s="1"/>
  <c r="M117" i="1"/>
  <c r="J117" i="1"/>
  <c r="M116" i="1"/>
  <c r="J116" i="1"/>
  <c r="M115" i="1"/>
  <c r="J115" i="1"/>
  <c r="M114" i="1"/>
  <c r="J114" i="1"/>
  <c r="N114" i="1" s="1"/>
  <c r="M113" i="1"/>
  <c r="J113" i="1"/>
  <c r="M112" i="1"/>
  <c r="J112" i="1"/>
  <c r="N112" i="1" s="1"/>
  <c r="M111" i="1"/>
  <c r="J111" i="1"/>
  <c r="M110" i="1"/>
  <c r="J110" i="1"/>
  <c r="M109" i="1"/>
  <c r="J109" i="1"/>
  <c r="M108" i="1"/>
  <c r="N108" i="1" s="1"/>
  <c r="J108" i="1"/>
  <c r="M107" i="1"/>
  <c r="N107" i="1" s="1"/>
  <c r="J107" i="1"/>
  <c r="M106" i="1"/>
  <c r="J106" i="1"/>
  <c r="M105" i="1"/>
  <c r="J105" i="1"/>
  <c r="N105" i="1" s="1"/>
  <c r="M104" i="1"/>
  <c r="J104" i="1"/>
  <c r="N104" i="1" s="1"/>
  <c r="M103" i="1"/>
  <c r="J103" i="1"/>
  <c r="M102" i="1"/>
  <c r="J102" i="1"/>
  <c r="M101" i="1"/>
  <c r="J101" i="1"/>
  <c r="M100" i="1"/>
  <c r="N100" i="1" s="1"/>
  <c r="J100" i="1"/>
  <c r="M99" i="1"/>
  <c r="J99" i="1"/>
  <c r="M98" i="1"/>
  <c r="J98" i="1"/>
  <c r="M97" i="1"/>
  <c r="J97" i="1"/>
  <c r="M96" i="1"/>
  <c r="J96" i="1"/>
  <c r="N96" i="1" s="1"/>
  <c r="M95" i="1"/>
  <c r="J95" i="1"/>
  <c r="N95" i="1" s="1"/>
  <c r="M94" i="1"/>
  <c r="J94" i="1"/>
  <c r="M93" i="1"/>
  <c r="J93" i="1"/>
  <c r="M92" i="1"/>
  <c r="J92" i="1"/>
  <c r="M91" i="1"/>
  <c r="J91" i="1"/>
  <c r="M90" i="1"/>
  <c r="J90" i="1"/>
  <c r="M89" i="1"/>
  <c r="N89" i="1" s="1"/>
  <c r="J89" i="1"/>
  <c r="M88" i="1"/>
  <c r="J88" i="1"/>
  <c r="M87" i="1"/>
  <c r="J87" i="1"/>
  <c r="N87" i="1" s="1"/>
  <c r="M86" i="1"/>
  <c r="J86" i="1"/>
  <c r="M85" i="1"/>
  <c r="J85" i="1"/>
  <c r="M84" i="1"/>
  <c r="J84" i="1"/>
  <c r="M83" i="1"/>
  <c r="J83" i="1"/>
  <c r="N83" i="1" s="1"/>
  <c r="M82" i="1"/>
  <c r="J82" i="1"/>
  <c r="M81" i="1"/>
  <c r="J81" i="1"/>
  <c r="N81" i="1" s="1"/>
  <c r="M80" i="1"/>
  <c r="J80" i="1"/>
  <c r="N80" i="1" s="1"/>
  <c r="M79" i="1"/>
  <c r="J79" i="1"/>
  <c r="M78" i="1"/>
  <c r="J78" i="1"/>
  <c r="M77" i="1"/>
  <c r="J77" i="1"/>
  <c r="M76" i="1"/>
  <c r="J76" i="1"/>
  <c r="M75" i="1"/>
  <c r="J75" i="1"/>
  <c r="M74" i="1"/>
  <c r="J74" i="1"/>
  <c r="M73" i="1"/>
  <c r="J73" i="1"/>
  <c r="N73" i="1" s="1"/>
  <c r="M72" i="1"/>
  <c r="J72" i="1"/>
  <c r="N72" i="1" s="1"/>
  <c r="M71" i="1"/>
  <c r="J71" i="1"/>
  <c r="M70" i="1"/>
  <c r="J70" i="1"/>
  <c r="N70" i="1" s="1"/>
  <c r="M69" i="1"/>
  <c r="J69" i="1"/>
  <c r="N69" i="1" s="1"/>
  <c r="M68" i="1"/>
  <c r="J68" i="1"/>
  <c r="M67" i="1"/>
  <c r="J67" i="1"/>
  <c r="M66" i="1"/>
  <c r="J66" i="1"/>
  <c r="M65" i="1"/>
  <c r="J65" i="1"/>
  <c r="N65" i="1" s="1"/>
  <c r="M64" i="1"/>
  <c r="N64" i="1" s="1"/>
  <c r="J64" i="1"/>
  <c r="M63" i="1"/>
  <c r="J63" i="1"/>
  <c r="N63" i="1" s="1"/>
  <c r="M62" i="1"/>
  <c r="J62" i="1"/>
  <c r="M61" i="1"/>
  <c r="J61" i="1"/>
  <c r="M60" i="1"/>
  <c r="J60" i="1"/>
  <c r="M59" i="1"/>
  <c r="J59" i="1"/>
  <c r="M58" i="1"/>
  <c r="J58" i="1"/>
  <c r="N58" i="1" s="1"/>
  <c r="M57" i="1"/>
  <c r="J57" i="1"/>
  <c r="N57" i="1" s="1"/>
  <c r="M56" i="1"/>
  <c r="J56" i="1"/>
  <c r="M55" i="1"/>
  <c r="J55" i="1"/>
  <c r="M54" i="1"/>
  <c r="J54" i="1"/>
  <c r="M53" i="1"/>
  <c r="J53" i="1"/>
  <c r="M52" i="1"/>
  <c r="N52" i="1" s="1"/>
  <c r="J52" i="1"/>
  <c r="M51" i="1"/>
  <c r="J51" i="1"/>
  <c r="M50" i="1"/>
  <c r="J50" i="1"/>
  <c r="N50" i="1" s="1"/>
  <c r="M49" i="1"/>
  <c r="J49" i="1"/>
  <c r="N49" i="1" s="1"/>
  <c r="M48" i="1"/>
  <c r="N48" i="1" s="1"/>
  <c r="J48" i="1"/>
  <c r="M47" i="1"/>
  <c r="J47" i="1"/>
  <c r="N47" i="1" s="1"/>
  <c r="M46" i="1"/>
  <c r="J46" i="1"/>
  <c r="N46" i="1" s="1"/>
  <c r="M45" i="1"/>
  <c r="J45" i="1"/>
  <c r="M44" i="1"/>
  <c r="N44" i="1" s="1"/>
  <c r="J44" i="1"/>
  <c r="M43" i="1"/>
  <c r="J43" i="1"/>
  <c r="M42" i="1"/>
  <c r="J42" i="1"/>
  <c r="M41" i="1"/>
  <c r="J41" i="1"/>
  <c r="N41" i="1" s="1"/>
  <c r="M40" i="1"/>
  <c r="J40" i="1"/>
  <c r="M39" i="1"/>
  <c r="J39" i="1"/>
  <c r="M38" i="1"/>
  <c r="J38" i="1"/>
  <c r="N38" i="1" s="1"/>
  <c r="M37" i="1"/>
  <c r="J37" i="1"/>
  <c r="N37" i="1" s="1"/>
  <c r="M36" i="1"/>
  <c r="J36" i="1"/>
  <c r="M35" i="1"/>
  <c r="J35" i="1"/>
  <c r="M34" i="1"/>
  <c r="J34" i="1"/>
  <c r="M33" i="1"/>
  <c r="J33" i="1"/>
  <c r="M32" i="1"/>
  <c r="J32" i="1"/>
  <c r="M31" i="1"/>
  <c r="J31" i="1"/>
  <c r="N31" i="1" s="1"/>
  <c r="M30" i="1"/>
  <c r="J30" i="1"/>
  <c r="N30" i="1" s="1"/>
  <c r="M29" i="1"/>
  <c r="J29" i="1"/>
  <c r="N29" i="1" s="1"/>
  <c r="M28" i="1"/>
  <c r="J28" i="1"/>
  <c r="M27" i="1"/>
  <c r="N27" i="1" s="1"/>
  <c r="J27" i="1"/>
  <c r="M26" i="1"/>
  <c r="J26" i="1"/>
  <c r="N26" i="1" s="1"/>
  <c r="M25" i="1"/>
  <c r="J25" i="1"/>
  <c r="N25" i="1" s="1"/>
  <c r="M24" i="1"/>
  <c r="J24" i="1"/>
  <c r="M23" i="1"/>
  <c r="J23" i="1"/>
  <c r="M22" i="1"/>
  <c r="J22" i="1"/>
  <c r="M21" i="1"/>
  <c r="J21" i="1"/>
  <c r="N21" i="1" s="1"/>
  <c r="M20" i="1"/>
  <c r="N20" i="1" s="1"/>
  <c r="J20" i="1"/>
  <c r="M19" i="1"/>
  <c r="J19" i="1"/>
  <c r="M18" i="1"/>
  <c r="J18" i="1"/>
  <c r="M17" i="1"/>
  <c r="J17" i="1"/>
  <c r="N17" i="1" s="1"/>
  <c r="M16" i="1"/>
  <c r="N16" i="1" s="1"/>
  <c r="J16" i="1"/>
  <c r="M15" i="1"/>
  <c r="J15" i="1"/>
  <c r="M14" i="1"/>
  <c r="J14" i="1"/>
  <c r="N14" i="1" s="1"/>
  <c r="M13" i="1"/>
  <c r="J13" i="1"/>
  <c r="M12" i="1"/>
  <c r="N12" i="1" s="1"/>
  <c r="J12" i="1"/>
  <c r="M11" i="1"/>
  <c r="N11" i="1" s="1"/>
  <c r="J11" i="1"/>
  <c r="M10" i="1"/>
  <c r="J10" i="1"/>
  <c r="N10" i="1" s="1"/>
  <c r="M9" i="1"/>
  <c r="J9" i="1"/>
  <c r="N9" i="1" s="1"/>
  <c r="M8" i="1"/>
  <c r="J8" i="1"/>
  <c r="M7" i="1"/>
  <c r="J7" i="1"/>
  <c r="M6" i="1"/>
  <c r="J6" i="1"/>
  <c r="N6" i="1" s="1"/>
  <c r="M5" i="1"/>
  <c r="J5" i="1"/>
  <c r="M4" i="1"/>
  <c r="J4" i="1"/>
  <c r="M3" i="1"/>
  <c r="J3" i="1"/>
  <c r="M2" i="1"/>
  <c r="J2" i="1"/>
  <c r="N8" i="1" l="1"/>
  <c r="N24" i="1"/>
  <c r="N32" i="1"/>
  <c r="N40" i="1"/>
  <c r="N94" i="1"/>
  <c r="N117" i="1"/>
  <c r="N125" i="1"/>
  <c r="N140" i="1"/>
  <c r="N148" i="1"/>
  <c r="N185" i="1"/>
  <c r="N193" i="1"/>
  <c r="N201" i="1"/>
  <c r="N294" i="1"/>
  <c r="N310" i="1"/>
  <c r="N325" i="1"/>
  <c r="N341" i="1"/>
  <c r="N388" i="1"/>
  <c r="N443" i="1"/>
  <c r="N459" i="1"/>
  <c r="N467" i="1"/>
  <c r="N474" i="1"/>
  <c r="N504" i="1"/>
  <c r="N520" i="1"/>
  <c r="N528" i="1"/>
  <c r="N557" i="1"/>
  <c r="N573" i="1"/>
  <c r="N618" i="1"/>
  <c r="N641" i="1"/>
  <c r="N687" i="1"/>
  <c r="N702" i="1"/>
  <c r="N732" i="1"/>
  <c r="N747" i="1"/>
  <c r="N762" i="1"/>
  <c r="N770" i="1"/>
  <c r="N778" i="1"/>
  <c r="N816" i="1"/>
  <c r="N823" i="1"/>
  <c r="N891" i="1"/>
  <c r="N914" i="1"/>
  <c r="N937" i="1"/>
  <c r="N1089" i="1"/>
  <c r="N1143" i="1"/>
  <c r="N1151" i="1"/>
  <c r="N1196" i="1"/>
  <c r="N324" i="1"/>
  <c r="N102" i="1"/>
  <c r="N133" i="1"/>
  <c r="N279" i="1"/>
  <c r="N287" i="1"/>
  <c r="N303" i="1"/>
  <c r="N194" i="1"/>
  <c r="N202" i="1"/>
  <c r="N217" i="1"/>
  <c r="N225" i="1"/>
  <c r="N248" i="1"/>
  <c r="N264" i="1"/>
  <c r="N334" i="1"/>
  <c r="N342" i="1"/>
  <c r="N350" i="1"/>
  <c r="N358" i="1"/>
  <c r="N374" i="1"/>
  <c r="N381" i="1"/>
  <c r="N436" i="1"/>
  <c r="N460" i="1"/>
  <c r="N490" i="1"/>
  <c r="N551" i="1"/>
  <c r="N596" i="1"/>
  <c r="N604" i="1"/>
  <c r="N611" i="1"/>
  <c r="N619" i="1"/>
  <c r="N634" i="1"/>
  <c r="N642" i="1"/>
  <c r="N665" i="1"/>
  <c r="N695" i="1"/>
  <c r="N703" i="1"/>
  <c r="N718" i="1"/>
  <c r="N725" i="1"/>
  <c r="N748" i="1"/>
  <c r="N755" i="1"/>
  <c r="N771" i="1"/>
  <c r="N817" i="1"/>
  <c r="N840" i="1"/>
  <c r="N876" i="1"/>
  <c r="N1021" i="1"/>
  <c r="N1028" i="1"/>
  <c r="N1059" i="1"/>
  <c r="N1075" i="1"/>
  <c r="N1090" i="1"/>
  <c r="N1113" i="1"/>
  <c r="N1121" i="1"/>
  <c r="N1144" i="1"/>
  <c r="N1152" i="1"/>
  <c r="N1205" i="1"/>
  <c r="N1212" i="1"/>
  <c r="N103" i="1"/>
  <c r="N149" i="1"/>
  <c r="N165" i="1"/>
  <c r="N241" i="1"/>
  <c r="N249" i="1"/>
  <c r="N1060" i="1"/>
  <c r="N1083" i="1"/>
  <c r="N1259" i="1"/>
  <c r="N265" i="1"/>
  <c r="N367" i="1"/>
  <c r="N375" i="1"/>
  <c r="N390" i="1"/>
  <c r="N429" i="1"/>
  <c r="N476" i="1"/>
  <c r="N530" i="1"/>
  <c r="N620" i="1"/>
  <c r="N643" i="1"/>
  <c r="N658" i="1"/>
  <c r="N666" i="1"/>
  <c r="N689" i="1"/>
  <c r="N704" i="1"/>
  <c r="N719" i="1"/>
  <c r="N734" i="1"/>
  <c r="N741" i="1"/>
  <c r="N749" i="1"/>
  <c r="N764" i="1"/>
  <c r="N780" i="1"/>
  <c r="N841" i="1"/>
  <c r="N885" i="1"/>
  <c r="N900" i="1"/>
  <c r="N1014" i="1"/>
  <c r="N1022" i="1"/>
  <c r="N1244" i="1"/>
  <c r="N150" i="1"/>
  <c r="N580" i="1"/>
  <c r="N33" i="1"/>
  <c r="N3" i="1"/>
  <c r="N35" i="1"/>
  <c r="N66" i="1"/>
  <c r="N120" i="1"/>
  <c r="N143" i="1"/>
  <c r="N159" i="1"/>
  <c r="N181" i="1"/>
  <c r="N188" i="1"/>
  <c r="N219" i="1"/>
  <c r="N242" i="1"/>
  <c r="N297" i="1"/>
  <c r="N313" i="1"/>
  <c r="N336" i="1"/>
  <c r="N344" i="1"/>
  <c r="N360" i="1"/>
  <c r="N368" i="1"/>
  <c r="N423" i="1"/>
  <c r="N470" i="1"/>
  <c r="N492" i="1"/>
  <c r="N507" i="1"/>
  <c r="N515" i="1"/>
  <c r="N523" i="1"/>
  <c r="N613" i="1"/>
  <c r="N628" i="1"/>
  <c r="N636" i="1"/>
  <c r="N659" i="1"/>
  <c r="N690" i="1"/>
  <c r="N697" i="1"/>
  <c r="N720" i="1"/>
  <c r="N735" i="1"/>
  <c r="N742" i="1"/>
  <c r="N750" i="1"/>
  <c r="N757" i="1"/>
  <c r="N765" i="1"/>
  <c r="N773" i="1"/>
  <c r="N781" i="1"/>
  <c r="N842" i="1"/>
  <c r="N849" i="1"/>
  <c r="N916" i="1"/>
  <c r="N932" i="1"/>
  <c r="N999" i="1"/>
  <c r="N1023" i="1"/>
  <c r="N1077" i="1"/>
  <c r="N1084" i="1"/>
  <c r="N1092" i="1"/>
  <c r="N1107" i="1"/>
  <c r="N1123" i="1"/>
  <c r="N1146" i="1"/>
  <c r="N1154" i="1"/>
  <c r="N1184" i="1"/>
  <c r="N1222" i="1"/>
  <c r="N1253" i="1"/>
  <c r="N640" i="1"/>
  <c r="N67" i="1"/>
  <c r="N113" i="1"/>
  <c r="N205" i="1"/>
  <c r="N267" i="1"/>
  <c r="N290" i="1"/>
  <c r="N329" i="1"/>
  <c r="N345" i="1"/>
  <c r="N353" i="1"/>
  <c r="N416" i="1"/>
  <c r="N447" i="1"/>
  <c r="N463" i="1"/>
  <c r="N471" i="1"/>
  <c r="N500" i="1"/>
  <c r="N508" i="1"/>
  <c r="N599" i="1"/>
  <c r="N622" i="1"/>
  <c r="N668" i="1"/>
  <c r="N691" i="1"/>
  <c r="N721" i="1"/>
  <c r="N736" i="1"/>
  <c r="N758" i="1"/>
  <c r="N766" i="1"/>
  <c r="N774" i="1"/>
  <c r="N782" i="1"/>
  <c r="N850" i="1"/>
  <c r="N895" i="1"/>
  <c r="N948" i="1"/>
  <c r="N963" i="1"/>
  <c r="N1016" i="1"/>
  <c r="N1055" i="1"/>
  <c r="N1093" i="1"/>
  <c r="N1147" i="1"/>
  <c r="N1170" i="1"/>
  <c r="N1208" i="1"/>
  <c r="N458" i="1"/>
  <c r="N98" i="1"/>
  <c r="N252" i="1"/>
  <c r="N283" i="1"/>
  <c r="N291" i="1"/>
  <c r="N393" i="1"/>
  <c r="N409" i="1"/>
  <c r="N440" i="1"/>
  <c r="N501" i="1"/>
  <c r="N951" i="1"/>
  <c r="N153" i="1"/>
  <c r="N161" i="1"/>
  <c r="N190" i="1"/>
  <c r="N206" i="1"/>
  <c r="N244" i="1"/>
  <c r="N268" i="1"/>
  <c r="N315" i="1"/>
  <c r="N338" i="1"/>
  <c r="N370" i="1"/>
  <c r="N456" i="1"/>
  <c r="N464" i="1"/>
  <c r="N472" i="1"/>
  <c r="N479" i="1"/>
  <c r="N494" i="1"/>
  <c r="N517" i="1"/>
  <c r="N540" i="1"/>
  <c r="N547" i="1"/>
  <c r="N562" i="1"/>
  <c r="N570" i="1"/>
  <c r="N578" i="1"/>
  <c r="N585" i="1"/>
  <c r="N638" i="1"/>
  <c r="N661" i="1"/>
  <c r="N669" i="1"/>
  <c r="N714" i="1"/>
  <c r="N729" i="1"/>
  <c r="N737" i="1"/>
  <c r="N744" i="1"/>
  <c r="N767" i="1"/>
  <c r="N783" i="1"/>
  <c r="N836" i="1"/>
  <c r="N851" i="1"/>
  <c r="N858" i="1"/>
  <c r="N865" i="1"/>
  <c r="N888" i="1"/>
  <c r="N896" i="1"/>
  <c r="N903" i="1"/>
  <c r="N911" i="1"/>
  <c r="N934" i="1"/>
  <c r="N1009" i="1"/>
  <c r="N1017" i="1"/>
  <c r="N1056" i="1"/>
  <c r="N1079" i="1"/>
  <c r="N1109" i="1"/>
  <c r="N1117" i="1"/>
  <c r="N1132" i="1"/>
  <c r="N1255" i="1"/>
  <c r="N68" i="1"/>
  <c r="N253" i="1"/>
  <c r="N284" i="1"/>
  <c r="N425" i="1"/>
  <c r="N1263" i="1"/>
  <c r="N372" i="1"/>
  <c r="N230" i="1"/>
  <c r="N534" i="1"/>
  <c r="N555" i="1"/>
  <c r="N608" i="1"/>
  <c r="N654" i="1"/>
  <c r="N662" i="1"/>
  <c r="N670" i="1"/>
  <c r="N745" i="1"/>
  <c r="N760" i="1"/>
  <c r="N768" i="1"/>
  <c r="N799" i="1"/>
  <c r="N866" i="1"/>
  <c r="N912" i="1"/>
  <c r="N919" i="1"/>
  <c r="N950" i="1"/>
  <c r="N965" i="1"/>
  <c r="N1010" i="1"/>
  <c r="N1018" i="1"/>
  <c r="N1095" i="1"/>
  <c r="N1110" i="1"/>
  <c r="N1118" i="1"/>
  <c r="N1164" i="1"/>
  <c r="N1225" i="1"/>
  <c r="N340" i="1"/>
  <c r="N54" i="1"/>
  <c r="N62" i="1"/>
  <c r="N84" i="1"/>
  <c r="N238" i="1"/>
  <c r="N254" i="1"/>
  <c r="N277" i="1"/>
  <c r="N301" i="1"/>
  <c r="N347" i="1"/>
  <c r="N379" i="1"/>
  <c r="N387" i="1"/>
  <c r="N411" i="1"/>
  <c r="N434" i="1"/>
  <c r="N488" i="1"/>
  <c r="N503" i="1"/>
  <c r="N556" i="1"/>
  <c r="N572" i="1"/>
  <c r="N594" i="1"/>
  <c r="N753" i="1"/>
  <c r="N822" i="1"/>
  <c r="N845" i="1"/>
  <c r="N882" i="1"/>
  <c r="N905" i="1"/>
  <c r="N928" i="1"/>
  <c r="N958" i="1"/>
  <c r="N988" i="1"/>
  <c r="N1003" i="1"/>
  <c r="N1026" i="1"/>
  <c r="N1034" i="1"/>
  <c r="N1042" i="1"/>
  <c r="N1050" i="1"/>
  <c r="N1065" i="1"/>
  <c r="N1103" i="1"/>
  <c r="N1134" i="1"/>
  <c r="N1157" i="1"/>
  <c r="N1195" i="1"/>
  <c r="N1210" i="1"/>
  <c r="N1233" i="1"/>
  <c r="N1241" i="1"/>
  <c r="N1249" i="1"/>
  <c r="N13" i="1"/>
  <c r="N42" i="1"/>
  <c r="N79" i="1"/>
  <c r="N86" i="1"/>
  <c r="N101" i="1"/>
  <c r="N130" i="1"/>
  <c r="N144" i="1"/>
  <c r="N222" i="1"/>
  <c r="N259" i="1"/>
  <c r="N273" i="1"/>
  <c r="N417" i="1"/>
  <c r="N444" i="1"/>
  <c r="N451" i="1"/>
  <c r="N512" i="1"/>
  <c r="N526" i="1"/>
  <c r="N533" i="1"/>
  <c r="N560" i="1"/>
  <c r="N567" i="1"/>
  <c r="N593" i="1"/>
  <c r="N667" i="1"/>
  <c r="N680" i="1"/>
  <c r="N726" i="1"/>
  <c r="N733" i="1"/>
  <c r="N746" i="1"/>
  <c r="N779" i="1"/>
  <c r="N792" i="1"/>
  <c r="N897" i="1"/>
  <c r="N943" i="1"/>
  <c r="N982" i="1"/>
  <c r="N989" i="1"/>
  <c r="N1002" i="1"/>
  <c r="N1035" i="1"/>
  <c r="N1048" i="1"/>
  <c r="N1108" i="1"/>
  <c r="N1115" i="1"/>
  <c r="N1149" i="1"/>
  <c r="N1162" i="1"/>
  <c r="N1169" i="1"/>
  <c r="N1223" i="1"/>
  <c r="N28" i="1"/>
  <c r="N109" i="1"/>
  <c r="N116" i="1"/>
  <c r="N123" i="1"/>
  <c r="N138" i="1"/>
  <c r="N151" i="1"/>
  <c r="N245" i="1"/>
  <c r="N295" i="1"/>
  <c r="N349" i="1"/>
  <c r="N356" i="1"/>
  <c r="N397" i="1"/>
  <c r="N404" i="1"/>
  <c r="N647" i="1"/>
  <c r="N871" i="1"/>
  <c r="N884" i="1"/>
  <c r="N1224" i="1"/>
  <c r="N1231" i="1"/>
  <c r="N1245" i="1"/>
  <c r="N1251" i="1"/>
  <c r="N7" i="1"/>
  <c r="N43" i="1"/>
  <c r="N260" i="1"/>
  <c r="N274" i="1"/>
  <c r="N308" i="1"/>
  <c r="N357" i="1"/>
  <c r="N398" i="1"/>
  <c r="N405" i="1"/>
  <c r="N432" i="1"/>
  <c r="N439" i="1"/>
  <c r="N445" i="1"/>
  <c r="N452" i="1"/>
  <c r="N506" i="1"/>
  <c r="N554" i="1"/>
  <c r="N614" i="1"/>
  <c r="N621" i="1"/>
  <c r="N648" i="1"/>
  <c r="N727" i="1"/>
  <c r="N740" i="1"/>
  <c r="N826" i="1"/>
  <c r="N859" i="1"/>
  <c r="N872" i="1"/>
  <c r="N983" i="1"/>
  <c r="N996" i="1"/>
  <c r="N1116" i="1"/>
  <c r="N15" i="1"/>
  <c r="N22" i="1"/>
  <c r="N36" i="1"/>
  <c r="N51" i="1"/>
  <c r="N88" i="1"/>
  <c r="N110" i="1"/>
  <c r="N124" i="1"/>
  <c r="N152" i="1"/>
  <c r="N180" i="1"/>
  <c r="N186" i="1"/>
  <c r="N209" i="1"/>
  <c r="N216" i="1"/>
  <c r="N231" i="1"/>
  <c r="N261" i="1"/>
  <c r="N275" i="1"/>
  <c r="N288" i="1"/>
  <c r="N296" i="1"/>
  <c r="N309" i="1"/>
  <c r="N364" i="1"/>
  <c r="N371" i="1"/>
  <c r="N446" i="1"/>
  <c r="N453" i="1"/>
  <c r="N480" i="1"/>
  <c r="N487" i="1"/>
  <c r="N655" i="1"/>
  <c r="N728" i="1"/>
  <c r="N938" i="1"/>
  <c r="N971" i="1"/>
  <c r="N984" i="1"/>
  <c r="N1130" i="1"/>
  <c r="N1137" i="1"/>
  <c r="N1204" i="1"/>
  <c r="N1211" i="1"/>
  <c r="N964" i="1"/>
  <c r="N23" i="1"/>
  <c r="N45" i="1"/>
  <c r="N59" i="1"/>
  <c r="N74" i="1"/>
  <c r="N111" i="1"/>
  <c r="N167" i="1"/>
  <c r="N174" i="1"/>
  <c r="N247" i="1"/>
  <c r="N289" i="1"/>
  <c r="N330" i="1"/>
  <c r="N378" i="1"/>
  <c r="N426" i="1"/>
  <c r="N481" i="1"/>
  <c r="N542" i="1"/>
  <c r="N549" i="1"/>
  <c r="N576" i="1"/>
  <c r="N589" i="1"/>
  <c r="N602" i="1"/>
  <c r="N609" i="1"/>
  <c r="N615" i="1"/>
  <c r="N696" i="1"/>
  <c r="N801" i="1"/>
  <c r="N807" i="1"/>
  <c r="N820" i="1"/>
  <c r="N847" i="1"/>
  <c r="N886" i="1"/>
  <c r="N893" i="1"/>
  <c r="N906" i="1"/>
  <c r="N939" i="1"/>
  <c r="N952" i="1"/>
  <c r="N1057" i="1"/>
  <c r="N1124" i="1"/>
  <c r="N1131" i="1"/>
  <c r="N1165" i="1"/>
  <c r="N1178" i="1"/>
  <c r="N1185" i="1"/>
  <c r="N1260" i="1"/>
  <c r="N1267" i="1"/>
  <c r="N53" i="1"/>
  <c r="N60" i="1"/>
  <c r="N82" i="1"/>
  <c r="N97" i="1"/>
  <c r="N196" i="1"/>
  <c r="N240" i="1"/>
  <c r="N304" i="1"/>
  <c r="N317" i="1"/>
  <c r="N352" i="1"/>
  <c r="N359" i="1"/>
  <c r="N366" i="1"/>
  <c r="N373" i="1"/>
  <c r="N400" i="1"/>
  <c r="N407" i="1"/>
  <c r="N413" i="1"/>
  <c r="N420" i="1"/>
  <c r="N455" i="1"/>
  <c r="N461" i="1"/>
  <c r="N468" i="1"/>
  <c r="N522" i="1"/>
  <c r="N577" i="1"/>
  <c r="N603" i="1"/>
  <c r="N623" i="1"/>
  <c r="N650" i="1"/>
  <c r="N657" i="1"/>
  <c r="N663" i="1"/>
  <c r="N676" i="1"/>
  <c r="N769" i="1"/>
  <c r="N775" i="1"/>
  <c r="N788" i="1"/>
  <c r="N815" i="1"/>
  <c r="N854" i="1"/>
  <c r="N861" i="1"/>
  <c r="N874" i="1"/>
  <c r="N907" i="1"/>
  <c r="N920" i="1"/>
  <c r="N1025" i="1"/>
  <c r="N1031" i="1"/>
  <c r="N1085" i="1"/>
  <c r="N1098" i="1"/>
  <c r="N1105" i="1"/>
  <c r="N1172" i="1"/>
  <c r="N1179" i="1"/>
  <c r="N1213" i="1"/>
  <c r="N1219" i="1"/>
  <c r="N1254" i="1"/>
  <c r="N2" i="1"/>
  <c r="N39" i="1"/>
  <c r="N61" i="1"/>
  <c r="N75" i="1"/>
  <c r="N90" i="1"/>
  <c r="N127" i="1"/>
  <c r="N141" i="1"/>
  <c r="N168" i="1"/>
  <c r="N189" i="1"/>
  <c r="N218" i="1"/>
  <c r="N270" i="1"/>
  <c r="N318" i="1"/>
  <c r="N414" i="1"/>
  <c r="N421" i="1"/>
  <c r="N448" i="1"/>
  <c r="N462" i="1"/>
  <c r="N469" i="1"/>
  <c r="N630" i="1"/>
  <c r="N637" i="1"/>
  <c r="N664" i="1"/>
  <c r="N717" i="1"/>
  <c r="N730" i="1"/>
  <c r="N763" i="1"/>
  <c r="N776" i="1"/>
  <c r="N881" i="1"/>
  <c r="N927" i="1"/>
  <c r="N966" i="1"/>
  <c r="N973" i="1"/>
  <c r="N986" i="1"/>
  <c r="N1019" i="1"/>
  <c r="N1032" i="1"/>
  <c r="N1078" i="1"/>
  <c r="N1112" i="1"/>
  <c r="N1119" i="1"/>
  <c r="N1159" i="1"/>
  <c r="N1206" i="1"/>
  <c r="N1220" i="1"/>
  <c r="N1227" i="1"/>
  <c r="N76" i="1"/>
  <c r="N212" i="1"/>
  <c r="N346" i="1"/>
  <c r="N394" i="1"/>
  <c r="N584" i="1"/>
  <c r="N591" i="1"/>
  <c r="N624" i="1"/>
  <c r="N644" i="1"/>
  <c r="N855" i="1"/>
  <c r="N868" i="1"/>
  <c r="N954" i="1"/>
  <c r="N987" i="1"/>
  <c r="N1000" i="1"/>
  <c r="N1126" i="1"/>
  <c r="N1160" i="1"/>
  <c r="N1167" i="1"/>
  <c r="N1180" i="1"/>
  <c r="N1207" i="1"/>
  <c r="N18" i="1"/>
  <c r="N55" i="1"/>
  <c r="N77" i="1"/>
  <c r="N91" i="1"/>
  <c r="N99" i="1"/>
  <c r="N106" i="1"/>
  <c r="N135" i="1"/>
  <c r="N163" i="1"/>
  <c r="N198" i="1"/>
  <c r="N213" i="1"/>
  <c r="N220" i="1"/>
  <c r="N234" i="1"/>
  <c r="N299" i="1"/>
  <c r="N422" i="1"/>
  <c r="N442" i="1"/>
  <c r="N524" i="1"/>
  <c r="N531" i="1"/>
  <c r="N631" i="1"/>
  <c r="N678" i="1"/>
  <c r="N685" i="1"/>
  <c r="N705" i="1"/>
  <c r="N711" i="1"/>
  <c r="N724" i="1"/>
  <c r="N751" i="1"/>
  <c r="N790" i="1"/>
  <c r="N797" i="1"/>
  <c r="N810" i="1"/>
  <c r="N843" i="1"/>
  <c r="N856" i="1"/>
  <c r="N1073" i="1"/>
  <c r="N598" i="1"/>
  <c r="N605" i="1"/>
  <c r="N632" i="1"/>
  <c r="N712" i="1"/>
  <c r="N909" i="1"/>
  <c r="N922" i="1"/>
  <c r="N955" i="1"/>
  <c r="N968" i="1"/>
  <c r="N1100" i="1"/>
  <c r="N1215" i="1"/>
  <c r="N1229" i="1"/>
  <c r="N1235" i="1"/>
  <c r="N4" i="1"/>
  <c r="N19" i="1"/>
  <c r="N56" i="1"/>
  <c r="N78" i="1"/>
  <c r="N85" i="1"/>
  <c r="N92" i="1"/>
  <c r="N129" i="1"/>
  <c r="N228" i="1"/>
  <c r="N250" i="1"/>
  <c r="N477" i="1"/>
  <c r="N484" i="1"/>
  <c r="N518" i="1"/>
  <c r="N538" i="1"/>
  <c r="N5" i="1"/>
  <c r="N34" i="1"/>
  <c r="N71" i="1"/>
  <c r="N93" i="1"/>
  <c r="N115" i="1"/>
  <c r="N122" i="1"/>
  <c r="N157" i="1"/>
  <c r="N171" i="1"/>
  <c r="N178" i="1"/>
  <c r="N192" i="1"/>
  <c r="N200" i="1"/>
  <c r="N221" i="1"/>
  <c r="N229" i="1"/>
  <c r="N236" i="1"/>
  <c r="N251" i="1"/>
  <c r="N258" i="1"/>
  <c r="N280" i="1"/>
  <c r="N286" i="1"/>
  <c r="N293" i="1"/>
  <c r="N348" i="1"/>
  <c r="N396" i="1"/>
  <c r="N478" i="1"/>
  <c r="N485" i="1"/>
  <c r="N519" i="1"/>
  <c r="N525" i="1"/>
  <c r="N532" i="1"/>
  <c r="N586" i="1"/>
  <c r="N612" i="1"/>
  <c r="N646" i="1"/>
  <c r="N653" i="1"/>
  <c r="N673" i="1"/>
  <c r="N679" i="1"/>
  <c r="N785" i="1"/>
  <c r="N791" i="1"/>
  <c r="N804" i="1"/>
  <c r="N831" i="1"/>
  <c r="N870" i="1"/>
  <c r="N877" i="1"/>
  <c r="N890" i="1"/>
  <c r="N923" i="1"/>
  <c r="N936" i="1"/>
  <c r="N1041" i="1"/>
  <c r="N1094" i="1"/>
  <c r="N1128" i="1"/>
  <c r="N1135" i="1"/>
  <c r="N1148" i="1"/>
  <c r="N1175" i="1"/>
  <c r="M1273" i="2"/>
  <c r="N227" i="1"/>
  <c r="N316" i="1"/>
  <c r="N355" i="1"/>
  <c r="N715" i="1"/>
  <c r="N369" i="1"/>
  <c r="N497" i="1"/>
  <c r="N147" i="1"/>
  <c r="N323" i="1"/>
  <c r="N403" i="1"/>
  <c r="N683" i="1"/>
  <c r="N131" i="1"/>
  <c r="N211" i="1"/>
  <c r="N300" i="1"/>
  <c r="N337" i="1"/>
  <c r="N465" i="1"/>
  <c r="N160" i="1"/>
  <c r="N307" i="1"/>
  <c r="N385" i="1"/>
  <c r="N513" i="1"/>
  <c r="N731" i="1"/>
  <c r="N224" i="1"/>
  <c r="N419" i="1"/>
  <c r="N587" i="1"/>
  <c r="N272" i="1"/>
  <c r="N433" i="1"/>
  <c r="N561" i="1"/>
  <c r="N699" i="1"/>
  <c r="N339" i="1"/>
  <c r="N208" i="1"/>
  <c r="N401" i="1"/>
  <c r="N529" i="1"/>
  <c r="N635" i="1"/>
  <c r="N1268" i="1" l="1"/>
</calcChain>
</file>

<file path=xl/sharedStrings.xml><?xml version="1.0" encoding="utf-8"?>
<sst xmlns="http://schemas.openxmlformats.org/spreadsheetml/2006/main" count="10600" uniqueCount="4104">
  <si>
    <t>SL NO</t>
  </si>
  <si>
    <t>MARK</t>
  </si>
  <si>
    <t>DF10-TAG</t>
  </si>
  <si>
    <t>LOG No.</t>
  </si>
  <si>
    <t>SPECIES</t>
  </si>
  <si>
    <t>ORIGIIN</t>
  </si>
  <si>
    <t>LENGTH</t>
  </si>
  <si>
    <t>GB</t>
  </si>
  <si>
    <t>PB</t>
  </si>
  <si>
    <t>DIA</t>
  </si>
  <si>
    <t>L.REF</t>
  </si>
  <si>
    <t>DIA REF</t>
  </si>
  <si>
    <t>LENGTH AFTER REF</t>
  </si>
  <si>
    <t>VOLUME (CBM)</t>
  </si>
  <si>
    <t>REMARKS</t>
  </si>
  <si>
    <t>BUYER</t>
  </si>
  <si>
    <t xml:space="preserve"> 56835-15-1</t>
  </si>
  <si>
    <t>4272B</t>
  </si>
  <si>
    <t>AZOBE</t>
  </si>
  <si>
    <t>MASHFI EXIM</t>
  </si>
  <si>
    <t xml:space="preserve"> 56835-18-1</t>
  </si>
  <si>
    <t>CRACK</t>
  </si>
  <si>
    <t xml:space="preserve"> 56835-13-1</t>
  </si>
  <si>
    <t xml:space="preserve"> 56835-14-2</t>
  </si>
  <si>
    <t xml:space="preserve"> 57073-01-1</t>
  </si>
  <si>
    <t>4094A</t>
  </si>
  <si>
    <t xml:space="preserve"> 67073-01-2</t>
  </si>
  <si>
    <t>4395A</t>
  </si>
  <si>
    <t xml:space="preserve"> 56839-27-1</t>
  </si>
  <si>
    <t>4395B</t>
  </si>
  <si>
    <t>SEA LAND TRADING</t>
  </si>
  <si>
    <t xml:space="preserve"> 56843-09-1</t>
  </si>
  <si>
    <t>4345A</t>
  </si>
  <si>
    <t xml:space="preserve"> 56843-07-1</t>
  </si>
  <si>
    <t>4345B</t>
  </si>
  <si>
    <t>BOSSE</t>
  </si>
  <si>
    <t xml:space="preserve"> 56843-03-1</t>
  </si>
  <si>
    <t>4288A</t>
  </si>
  <si>
    <t xml:space="preserve"> 56843-03-2</t>
  </si>
  <si>
    <t>4288B</t>
  </si>
  <si>
    <t xml:space="preserve"> 56836-06-1</t>
  </si>
  <si>
    <t>4289A</t>
  </si>
  <si>
    <t xml:space="preserve"> 56836-16-1</t>
  </si>
  <si>
    <t>4448A</t>
  </si>
  <si>
    <t xml:space="preserve"> 56837-23-1</t>
  </si>
  <si>
    <t xml:space="preserve"> 56837-23-2</t>
  </si>
  <si>
    <t>4229A</t>
  </si>
  <si>
    <t xml:space="preserve"> 56837-12-1</t>
  </si>
  <si>
    <t>4229B</t>
  </si>
  <si>
    <t xml:space="preserve"> 56838-02-1</t>
  </si>
  <si>
    <t>4232A</t>
  </si>
  <si>
    <t xml:space="preserve"> 56838-02-2</t>
  </si>
  <si>
    <t>4232B</t>
  </si>
  <si>
    <t>MALADI</t>
  </si>
  <si>
    <t xml:space="preserve"> 57086-03-1</t>
  </si>
  <si>
    <t>4469A</t>
  </si>
  <si>
    <t xml:space="preserve"> 57073-19-1</t>
  </si>
  <si>
    <t xml:space="preserve"> 57069-03-1</t>
  </si>
  <si>
    <t>4402B</t>
  </si>
  <si>
    <t xml:space="preserve"> 57069-04-1</t>
  </si>
  <si>
    <t xml:space="preserve"> 57069-05-1</t>
  </si>
  <si>
    <t>4432B</t>
  </si>
  <si>
    <t xml:space="preserve"> 57088-25-1</t>
  </si>
  <si>
    <t xml:space="preserve"> 57088-19-1</t>
  </si>
  <si>
    <t xml:space="preserve"> 57088-23-1</t>
  </si>
  <si>
    <t xml:space="preserve"> 57088-25-2</t>
  </si>
  <si>
    <t xml:space="preserve"> 57088-21-2</t>
  </si>
  <si>
    <t xml:space="preserve"> 56840-12-1</t>
  </si>
  <si>
    <t xml:space="preserve"> 56840-03-1</t>
  </si>
  <si>
    <t xml:space="preserve"> 57073-19-2</t>
  </si>
  <si>
    <t xml:space="preserve"> 56843-02-1</t>
  </si>
  <si>
    <t xml:space="preserve"> 56838-06-1</t>
  </si>
  <si>
    <t xml:space="preserve"> 56838-06-2</t>
  </si>
  <si>
    <t xml:space="preserve"> 56838-12-2</t>
  </si>
  <si>
    <t xml:space="preserve"> 57069-07-1</t>
  </si>
  <si>
    <t xml:space="preserve"> 57088-21-1</t>
  </si>
  <si>
    <t>2607B</t>
  </si>
  <si>
    <t xml:space="preserve"> 57088-13-1</t>
  </si>
  <si>
    <t xml:space="preserve"> 57088-09-1</t>
  </si>
  <si>
    <t xml:space="preserve"> 56814-20-1</t>
  </si>
  <si>
    <t>3023A</t>
  </si>
  <si>
    <t xml:space="preserve"> 56814-20-2</t>
  </si>
  <si>
    <t xml:space="preserve"> 56814-22-1</t>
  </si>
  <si>
    <t xml:space="preserve"> 56814-09-1</t>
  </si>
  <si>
    <t xml:space="preserve"> 56814-01-1</t>
  </si>
  <si>
    <t xml:space="preserve"> 56813-24-1</t>
  </si>
  <si>
    <t>2450A</t>
  </si>
  <si>
    <t xml:space="preserve"> 56813-26-1</t>
  </si>
  <si>
    <t xml:space="preserve"> 56813-21-1</t>
  </si>
  <si>
    <t xml:space="preserve"> 56813-19-1</t>
  </si>
  <si>
    <t xml:space="preserve"> 56813-20-1</t>
  </si>
  <si>
    <t xml:space="preserve"> 56813-16-1</t>
  </si>
  <si>
    <t xml:space="preserve"> 56813-21-2</t>
  </si>
  <si>
    <t xml:space="preserve"> 56819-05-1</t>
  </si>
  <si>
    <t xml:space="preserve"> 56819-07-1</t>
  </si>
  <si>
    <t xml:space="preserve"> 56819-07-2</t>
  </si>
  <si>
    <t xml:space="preserve"> 56813-07-1</t>
  </si>
  <si>
    <t>2437A</t>
  </si>
  <si>
    <t xml:space="preserve"> 56816-04-1</t>
  </si>
  <si>
    <t>2437B</t>
  </si>
  <si>
    <t xml:space="preserve"> 56815-10-1</t>
  </si>
  <si>
    <t xml:space="preserve"> 56815-19-1</t>
  </si>
  <si>
    <t xml:space="preserve"> 56815-08-1</t>
  </si>
  <si>
    <t>2441A</t>
  </si>
  <si>
    <t xml:space="preserve"> 56816-04-2</t>
  </si>
  <si>
    <t xml:space="preserve"> 56815-10-2</t>
  </si>
  <si>
    <t>3313B</t>
  </si>
  <si>
    <t xml:space="preserve"> 56817-17-1</t>
  </si>
  <si>
    <t xml:space="preserve"> 56818-09-1</t>
  </si>
  <si>
    <t xml:space="preserve"> 56818-07-1</t>
  </si>
  <si>
    <t xml:space="preserve"> 56817-22-1</t>
  </si>
  <si>
    <t>3353A</t>
  </si>
  <si>
    <t>3353B</t>
  </si>
  <si>
    <t xml:space="preserve"> 56841-02-1</t>
  </si>
  <si>
    <t>3454A</t>
  </si>
  <si>
    <t xml:space="preserve"> 57092-01-2</t>
  </si>
  <si>
    <t xml:space="preserve"> 57092-06-1</t>
  </si>
  <si>
    <t xml:space="preserve"> 57092-04-2</t>
  </si>
  <si>
    <t xml:space="preserve"> 57074-07-1</t>
  </si>
  <si>
    <t xml:space="preserve"> 57092-01-1</t>
  </si>
  <si>
    <t xml:space="preserve"> 54092-04-1</t>
  </si>
  <si>
    <t xml:space="preserve"> 56822-09-1</t>
  </si>
  <si>
    <t xml:space="preserve"> 56821-07-1</t>
  </si>
  <si>
    <t xml:space="preserve"> 56822-09-2</t>
  </si>
  <si>
    <t xml:space="preserve"> 56822-13-1</t>
  </si>
  <si>
    <t xml:space="preserve"> 56821-05-1</t>
  </si>
  <si>
    <t xml:space="preserve"> 56822-13-2</t>
  </si>
  <si>
    <t xml:space="preserve"> 56822-07-1</t>
  </si>
  <si>
    <t xml:space="preserve"> 56821-06-1</t>
  </si>
  <si>
    <t xml:space="preserve"> 56822-07-2</t>
  </si>
  <si>
    <t xml:space="preserve"> 56822-06-1</t>
  </si>
  <si>
    <t xml:space="preserve"> 56822-06-2</t>
  </si>
  <si>
    <t xml:space="preserve"> 56821-30-1</t>
  </si>
  <si>
    <t>3286B</t>
  </si>
  <si>
    <t xml:space="preserve"> 56821-29-1</t>
  </si>
  <si>
    <t xml:space="preserve"> 56821-25-2</t>
  </si>
  <si>
    <t xml:space="preserve"> 56821-21-1</t>
  </si>
  <si>
    <t xml:space="preserve"> 56821-08-1</t>
  </si>
  <si>
    <t xml:space="preserve"> 56821-16-1</t>
  </si>
  <si>
    <t xml:space="preserve"> 56821-25-1</t>
  </si>
  <si>
    <t xml:space="preserve"> 57090-07-1</t>
  </si>
  <si>
    <t xml:space="preserve"> 57090-05-1</t>
  </si>
  <si>
    <t xml:space="preserve"> 57090-05-2</t>
  </si>
  <si>
    <t>3273A</t>
  </si>
  <si>
    <t xml:space="preserve"> 57090-04-1</t>
  </si>
  <si>
    <t xml:space="preserve"> 57092-07-1</t>
  </si>
  <si>
    <t xml:space="preserve"> 57092-07-2</t>
  </si>
  <si>
    <t>4550A</t>
  </si>
  <si>
    <t xml:space="preserve"> 57091-30-2</t>
  </si>
  <si>
    <t>4550B</t>
  </si>
  <si>
    <t xml:space="preserve"> 57091-21-1</t>
  </si>
  <si>
    <t xml:space="preserve"> 57091-30-1</t>
  </si>
  <si>
    <t>632B</t>
  </si>
  <si>
    <t xml:space="preserve"> 57091-28-1</t>
  </si>
  <si>
    <t>632A</t>
  </si>
  <si>
    <t xml:space="preserve"> 57091-28-2</t>
  </si>
  <si>
    <t>1257B</t>
  </si>
  <si>
    <t>HOLE</t>
  </si>
  <si>
    <t xml:space="preserve"> 57089-29-1</t>
  </si>
  <si>
    <t>1258A</t>
  </si>
  <si>
    <t xml:space="preserve"> 57090-02-1</t>
  </si>
  <si>
    <t>630B</t>
  </si>
  <si>
    <t xml:space="preserve"> 57090-12-2</t>
  </si>
  <si>
    <t>1258B</t>
  </si>
  <si>
    <t xml:space="preserve"> 57083-23-1</t>
  </si>
  <si>
    <t>630A</t>
  </si>
  <si>
    <t xml:space="preserve"> 56838-18-1</t>
  </si>
  <si>
    <t xml:space="preserve"> 56819-17-1</t>
  </si>
  <si>
    <t xml:space="preserve"> 56825-04-1</t>
  </si>
  <si>
    <t xml:space="preserve"> 56825-04-2</t>
  </si>
  <si>
    <t xml:space="preserve"> 56820-27-1</t>
  </si>
  <si>
    <t xml:space="preserve"> 56820-10-2</t>
  </si>
  <si>
    <t xml:space="preserve"> 56820-06-2</t>
  </si>
  <si>
    <t>4746A</t>
  </si>
  <si>
    <t xml:space="preserve"> 56820-15-1</t>
  </si>
  <si>
    <t>1459A</t>
  </si>
  <si>
    <t xml:space="preserve"> 56820-19-1</t>
  </si>
  <si>
    <t xml:space="preserve"> 56820-21-1</t>
  </si>
  <si>
    <t>1459B</t>
  </si>
  <si>
    <t xml:space="preserve"> 56820-07-2</t>
  </si>
  <si>
    <t>4647A</t>
  </si>
  <si>
    <t xml:space="preserve"> 56820-10-1</t>
  </si>
  <si>
    <t>1469A</t>
  </si>
  <si>
    <t xml:space="preserve"> 56820-12-1</t>
  </si>
  <si>
    <t>4748A</t>
  </si>
  <si>
    <t xml:space="preserve"> 56820-15-2</t>
  </si>
  <si>
    <t>1469B</t>
  </si>
  <si>
    <t xml:space="preserve"> 56820-06-1</t>
  </si>
  <si>
    <t>4748B</t>
  </si>
  <si>
    <t xml:space="preserve"> 56820-07-1</t>
  </si>
  <si>
    <t>1265A</t>
  </si>
  <si>
    <t xml:space="preserve"> 56820-05-1</t>
  </si>
  <si>
    <t>1470A</t>
  </si>
  <si>
    <t xml:space="preserve"> 57092-27-1</t>
  </si>
  <si>
    <t>1265B</t>
  </si>
  <si>
    <t xml:space="preserve"> 57092-27-2</t>
  </si>
  <si>
    <t>1470B</t>
  </si>
  <si>
    <t xml:space="preserve"> 57092-29-2</t>
  </si>
  <si>
    <t xml:space="preserve"> 56819-11-1</t>
  </si>
  <si>
    <t>1472A</t>
  </si>
  <si>
    <t xml:space="preserve"> 56819-11-2</t>
  </si>
  <si>
    <t>1241A</t>
  </si>
  <si>
    <t xml:space="preserve"> 56819-10-2</t>
  </si>
  <si>
    <t>1472B</t>
  </si>
  <si>
    <t xml:space="preserve"> 56818-16-2</t>
  </si>
  <si>
    <t>1241B</t>
  </si>
  <si>
    <t xml:space="preserve"> 56819-13-2</t>
  </si>
  <si>
    <t xml:space="preserve"> 56818-28-1</t>
  </si>
  <si>
    <t>1474A</t>
  </si>
  <si>
    <t xml:space="preserve"> 56819-13-1</t>
  </si>
  <si>
    <t>1242B</t>
  </si>
  <si>
    <t xml:space="preserve"> 56821-08-2</t>
  </si>
  <si>
    <t>1474B</t>
  </si>
  <si>
    <t xml:space="preserve"> 56818-23-2</t>
  </si>
  <si>
    <t>4691A</t>
  </si>
  <si>
    <t xml:space="preserve"> 56818-23-1</t>
  </si>
  <si>
    <t>211A</t>
  </si>
  <si>
    <t xml:space="preserve"> 56823-11-1</t>
  </si>
  <si>
    <t xml:space="preserve"> 56823-03-1</t>
  </si>
  <si>
    <t>4691B</t>
  </si>
  <si>
    <t xml:space="preserve"> 56823-11-2</t>
  </si>
  <si>
    <t>211B</t>
  </si>
  <si>
    <t xml:space="preserve"> 56818-10-1</t>
  </si>
  <si>
    <t>4692A</t>
  </si>
  <si>
    <t xml:space="preserve"> 56818-10-2</t>
  </si>
  <si>
    <t>212A</t>
  </si>
  <si>
    <t xml:space="preserve"> 57634-02-1</t>
  </si>
  <si>
    <t>4692B</t>
  </si>
  <si>
    <t xml:space="preserve"> 57634-04-1</t>
  </si>
  <si>
    <t>212B</t>
  </si>
  <si>
    <t xml:space="preserve"> 57634-04-2</t>
  </si>
  <si>
    <t xml:space="preserve"> 57634-05-1</t>
  </si>
  <si>
    <t>1478A</t>
  </si>
  <si>
    <t xml:space="preserve"> 57633-27-1</t>
  </si>
  <si>
    <t>4693A</t>
  </si>
  <si>
    <t xml:space="preserve"> 57633-27-2</t>
  </si>
  <si>
    <t>167A</t>
  </si>
  <si>
    <t xml:space="preserve"> 57633-16-2</t>
  </si>
  <si>
    <t>4776A</t>
  </si>
  <si>
    <t xml:space="preserve"> 57633-16-1</t>
  </si>
  <si>
    <t>1478B</t>
  </si>
  <si>
    <t xml:space="preserve"> 57633-21-1</t>
  </si>
  <si>
    <t>167B</t>
  </si>
  <si>
    <t xml:space="preserve"> 57633-21-2</t>
  </si>
  <si>
    <t>4776B</t>
  </si>
  <si>
    <t xml:space="preserve"> 57070-11-1</t>
  </si>
  <si>
    <t>4694A</t>
  </si>
  <si>
    <t xml:space="preserve"> 57070-11-2</t>
  </si>
  <si>
    <t>168A</t>
  </si>
  <si>
    <t xml:space="preserve"> 57070-12-1</t>
  </si>
  <si>
    <t xml:space="preserve"> 57070-01-1</t>
  </si>
  <si>
    <t xml:space="preserve"> 57070-12-2</t>
  </si>
  <si>
    <t>4694B</t>
  </si>
  <si>
    <t xml:space="preserve"> 57070-23-2</t>
  </si>
  <si>
    <t>168B</t>
  </si>
  <si>
    <t xml:space="preserve"> 57069-24-2</t>
  </si>
  <si>
    <t>1250A</t>
  </si>
  <si>
    <t xml:space="preserve"> 57069-24-1</t>
  </si>
  <si>
    <t>4695A</t>
  </si>
  <si>
    <t xml:space="preserve"> 57069-26-2</t>
  </si>
  <si>
    <t>1250B</t>
  </si>
  <si>
    <t xml:space="preserve"> 57069-26-1</t>
  </si>
  <si>
    <t>4695B</t>
  </si>
  <si>
    <t xml:space="preserve"> 57070-23-1</t>
  </si>
  <si>
    <t xml:space="preserve"> 57071-30-1</t>
  </si>
  <si>
    <t>4696A</t>
  </si>
  <si>
    <t xml:space="preserve"> 57073-02-1</t>
  </si>
  <si>
    <t>1252A</t>
  </si>
  <si>
    <t xml:space="preserve"> 56838-12-1</t>
  </si>
  <si>
    <t>4896B</t>
  </si>
  <si>
    <t xml:space="preserve"> 56839-18-1</t>
  </si>
  <si>
    <t>171A</t>
  </si>
  <si>
    <t xml:space="preserve"> 57084-08-1</t>
  </si>
  <si>
    <t>1252B</t>
  </si>
  <si>
    <t xml:space="preserve"> 56835-14-1</t>
  </si>
  <si>
    <t>171B</t>
  </si>
  <si>
    <t xml:space="preserve"> 56835-15-2</t>
  </si>
  <si>
    <t xml:space="preserve"> 56835-18-2</t>
  </si>
  <si>
    <t>4698A</t>
  </si>
  <si>
    <t xml:space="preserve"> 56831-20-1</t>
  </si>
  <si>
    <t xml:space="preserve"> 56831-20-2</t>
  </si>
  <si>
    <t>4698B</t>
  </si>
  <si>
    <t xml:space="preserve"> 56831-21-1</t>
  </si>
  <si>
    <t xml:space="preserve"> 56831-21-2</t>
  </si>
  <si>
    <t>4675B</t>
  </si>
  <si>
    <t xml:space="preserve"> 56831-23-1</t>
  </si>
  <si>
    <t>175A</t>
  </si>
  <si>
    <t xml:space="preserve"> 56831-17-1</t>
  </si>
  <si>
    <t>177B</t>
  </si>
  <si>
    <t xml:space="preserve"> 56831-17-2</t>
  </si>
  <si>
    <t xml:space="preserve"> 56831-02-2</t>
  </si>
  <si>
    <t>176A</t>
  </si>
  <si>
    <t xml:space="preserve"> 56831-19-2</t>
  </si>
  <si>
    <t xml:space="preserve"> 56831-02-1</t>
  </si>
  <si>
    <t xml:space="preserve"> 56831-07-1</t>
  </si>
  <si>
    <t>176B</t>
  </si>
  <si>
    <t xml:space="preserve"> 56831-09-1</t>
  </si>
  <si>
    <t>1205A</t>
  </si>
  <si>
    <t xml:space="preserve"> 56831-10-1</t>
  </si>
  <si>
    <t>1205B</t>
  </si>
  <si>
    <t xml:space="preserve"> 56831-11-1</t>
  </si>
  <si>
    <t>4704A</t>
  </si>
  <si>
    <t xml:space="preserve"> 56831-19-1</t>
  </si>
  <si>
    <t>178A</t>
  </si>
  <si>
    <t xml:space="preserve"> 56831-03-1</t>
  </si>
  <si>
    <t xml:space="preserve"> 56831-09-2</t>
  </si>
  <si>
    <t>4704B</t>
  </si>
  <si>
    <t xml:space="preserve"> 56831-13-1</t>
  </si>
  <si>
    <t>178B</t>
  </si>
  <si>
    <t xml:space="preserve"> 56831-14-1</t>
  </si>
  <si>
    <t xml:space="preserve"> 56822-30-1</t>
  </si>
  <si>
    <t>4706A</t>
  </si>
  <si>
    <t xml:space="preserve"> 56822-28-1</t>
  </si>
  <si>
    <t>4706B</t>
  </si>
  <si>
    <t xml:space="preserve"> 56822-27-1</t>
  </si>
  <si>
    <t>1210A</t>
  </si>
  <si>
    <t xml:space="preserve"> 56831-10-2</t>
  </si>
  <si>
    <t xml:space="preserve"> 56822-29-1</t>
  </si>
  <si>
    <t xml:space="preserve"> 56832-16-2</t>
  </si>
  <si>
    <t>1211A</t>
  </si>
  <si>
    <t xml:space="preserve"> 56832-20-1</t>
  </si>
  <si>
    <t>4707B</t>
  </si>
  <si>
    <t xml:space="preserve"> 56832-17-1</t>
  </si>
  <si>
    <t>1211B</t>
  </si>
  <si>
    <t xml:space="preserve"> 56832-20-2</t>
  </si>
  <si>
    <t xml:space="preserve"> 56832-15-3</t>
  </si>
  <si>
    <t xml:space="preserve"> 56832-16-1</t>
  </si>
  <si>
    <t xml:space="preserve"> 56832-17-3</t>
  </si>
  <si>
    <t>183A</t>
  </si>
  <si>
    <t xml:space="preserve"> 56832-17-2</t>
  </si>
  <si>
    <t xml:space="preserve"> 56832-15-2</t>
  </si>
  <si>
    <t xml:space="preserve"> 56832-15-1</t>
  </si>
  <si>
    <t>183B</t>
  </si>
  <si>
    <t xml:space="preserve"> 56827-12-2</t>
  </si>
  <si>
    <t>1214A</t>
  </si>
  <si>
    <t xml:space="preserve"> 56832-21-1</t>
  </si>
  <si>
    <t>4711A</t>
  </si>
  <si>
    <t xml:space="preserve"> 56827-12-3</t>
  </si>
  <si>
    <t>1214B</t>
  </si>
  <si>
    <t xml:space="preserve"> 56827-12-1</t>
  </si>
  <si>
    <t>1215A</t>
  </si>
  <si>
    <t xml:space="preserve"> 56821-29-2</t>
  </si>
  <si>
    <t xml:space="preserve"> 56822-01-1</t>
  </si>
  <si>
    <t xml:space="preserve"> 56820-27-2</t>
  </si>
  <si>
    <t>1215B</t>
  </si>
  <si>
    <t xml:space="preserve"> 56819-17-2</t>
  </si>
  <si>
    <t>186A</t>
  </si>
  <si>
    <t xml:space="preserve"> 57633-03-2</t>
  </si>
  <si>
    <t xml:space="preserve"> 57633-11-1</t>
  </si>
  <si>
    <t>186B</t>
  </si>
  <si>
    <t xml:space="preserve"> 57633-11-2</t>
  </si>
  <si>
    <t>187A</t>
  </si>
  <si>
    <t xml:space="preserve"> 57633-03-1</t>
  </si>
  <si>
    <t>1218A</t>
  </si>
  <si>
    <t xml:space="preserve"> 56824-04-1</t>
  </si>
  <si>
    <t xml:space="preserve"> 56824-05-1</t>
  </si>
  <si>
    <t>187B</t>
  </si>
  <si>
    <t xml:space="preserve"> 56824-07-1</t>
  </si>
  <si>
    <t>1218B</t>
  </si>
  <si>
    <t xml:space="preserve"> 56824-02-1</t>
  </si>
  <si>
    <t>4677A</t>
  </si>
  <si>
    <t>D.HEART</t>
  </si>
  <si>
    <t xml:space="preserve"> 56824-02-3</t>
  </si>
  <si>
    <t>126A</t>
  </si>
  <si>
    <t xml:space="preserve"> 56824-15-2</t>
  </si>
  <si>
    <t xml:space="preserve"> 56824-05-2</t>
  </si>
  <si>
    <t>4673A</t>
  </si>
  <si>
    <t xml:space="preserve"> 56824-07-2</t>
  </si>
  <si>
    <t>126B</t>
  </si>
  <si>
    <t xml:space="preserve"> 57634-15-1</t>
  </si>
  <si>
    <t>4673B</t>
  </si>
  <si>
    <t xml:space="preserve"> 57634-18-1</t>
  </si>
  <si>
    <t>127A</t>
  </si>
  <si>
    <t xml:space="preserve"> 57634-18-2</t>
  </si>
  <si>
    <t>1231A</t>
  </si>
  <si>
    <t xml:space="preserve"> 57634-19-1</t>
  </si>
  <si>
    <t>4674A</t>
  </si>
  <si>
    <t xml:space="preserve"> 57634-19-2</t>
  </si>
  <si>
    <t>127B</t>
  </si>
  <si>
    <t xml:space="preserve"> 57634-14-1</t>
  </si>
  <si>
    <t>1222A</t>
  </si>
  <si>
    <t xml:space="preserve"> 57634-14-2</t>
  </si>
  <si>
    <t>4674B</t>
  </si>
  <si>
    <t xml:space="preserve"> 57634-06-1</t>
  </si>
  <si>
    <t>1222B</t>
  </si>
  <si>
    <t xml:space="preserve"> 57634-23-1</t>
  </si>
  <si>
    <t xml:space="preserve"> 57634-05-3</t>
  </si>
  <si>
    <t xml:space="preserve"> 56827-29-1</t>
  </si>
  <si>
    <t xml:space="preserve"> 56827-21-1</t>
  </si>
  <si>
    <t xml:space="preserve"> 56824-16-1</t>
  </si>
  <si>
    <t xml:space="preserve"> 56824-16-2</t>
  </si>
  <si>
    <t>1225B</t>
  </si>
  <si>
    <t xml:space="preserve"> 56824-11-1</t>
  </si>
  <si>
    <t>131A</t>
  </si>
  <si>
    <t xml:space="preserve"> 56824-11-2</t>
  </si>
  <si>
    <t>4678A</t>
  </si>
  <si>
    <t xml:space="preserve"> 56824-13-2</t>
  </si>
  <si>
    <t>131B</t>
  </si>
  <si>
    <t xml:space="preserve"> 56824-12-2</t>
  </si>
  <si>
    <t>4678B</t>
  </si>
  <si>
    <t xml:space="preserve"> 56826-28-1</t>
  </si>
  <si>
    <t xml:space="preserve"> 56826-24-2</t>
  </si>
  <si>
    <t>1228A</t>
  </si>
  <si>
    <t xml:space="preserve"> 56824-12-1</t>
  </si>
  <si>
    <t>133A</t>
  </si>
  <si>
    <t xml:space="preserve"> 56824-17-1</t>
  </si>
  <si>
    <t>1228B</t>
  </si>
  <si>
    <t xml:space="preserve"> 56824-19-1</t>
  </si>
  <si>
    <t>133B</t>
  </si>
  <si>
    <t xml:space="preserve"> 56824-08-1</t>
  </si>
  <si>
    <t>4658A</t>
  </si>
  <si>
    <t xml:space="preserve"> 56824-10-1</t>
  </si>
  <si>
    <t>134A</t>
  </si>
  <si>
    <t xml:space="preserve"> 56824-13-1</t>
  </si>
  <si>
    <t>1230A</t>
  </si>
  <si>
    <t xml:space="preserve"> 56828-03-1</t>
  </si>
  <si>
    <t xml:space="preserve"> 56824-30-1</t>
  </si>
  <si>
    <t>134B</t>
  </si>
  <si>
    <t xml:space="preserve"> 56824-26-1</t>
  </si>
  <si>
    <t>1230B</t>
  </si>
  <si>
    <t xml:space="preserve"> 56824-23-1</t>
  </si>
  <si>
    <t xml:space="preserve"> 56824-30-2</t>
  </si>
  <si>
    <t xml:space="preserve"> 56826-29-1</t>
  </si>
  <si>
    <t>136A</t>
  </si>
  <si>
    <t xml:space="preserve"> 56827-01-1</t>
  </si>
  <si>
    <t>1231B</t>
  </si>
  <si>
    <t xml:space="preserve"> 56826-22-1</t>
  </si>
  <si>
    <t>136B</t>
  </si>
  <si>
    <t xml:space="preserve"> 56826-26-1</t>
  </si>
  <si>
    <t xml:space="preserve"> 56826-24-1</t>
  </si>
  <si>
    <t xml:space="preserve"> 57635-24-1</t>
  </si>
  <si>
    <t xml:space="preserve"> 57635-26-1</t>
  </si>
  <si>
    <t xml:space="preserve"> 57635-23-2</t>
  </si>
  <si>
    <t xml:space="preserve"> 57635-25-2</t>
  </si>
  <si>
    <t>4662B</t>
  </si>
  <si>
    <t xml:space="preserve"> 57090-13-1</t>
  </si>
  <si>
    <t xml:space="preserve"> 57090-13-2</t>
  </si>
  <si>
    <t xml:space="preserve"> 57090-16-1</t>
  </si>
  <si>
    <t xml:space="preserve"> 57071-30-2</t>
  </si>
  <si>
    <t xml:space="preserve"> 57079-20-1</t>
  </si>
  <si>
    <t xml:space="preserve"> 57079-23-1</t>
  </si>
  <si>
    <t>1240B</t>
  </si>
  <si>
    <t xml:space="preserve"> 57080-12-1</t>
  </si>
  <si>
    <t xml:space="preserve"> 57085-08-1</t>
  </si>
  <si>
    <t xml:space="preserve"> 57639-21-1</t>
  </si>
  <si>
    <t>4653B</t>
  </si>
  <si>
    <t xml:space="preserve"> 57639-12-2</t>
  </si>
  <si>
    <t xml:space="preserve"> 57639-20-1</t>
  </si>
  <si>
    <t>4654A</t>
  </si>
  <si>
    <t xml:space="preserve"> 57639-17-1</t>
  </si>
  <si>
    <t>4654B</t>
  </si>
  <si>
    <t xml:space="preserve"> 57639-29-2</t>
  </si>
  <si>
    <t xml:space="preserve"> 57639-19-1</t>
  </si>
  <si>
    <t>1289A</t>
  </si>
  <si>
    <t xml:space="preserve"> 57639-12-1</t>
  </si>
  <si>
    <t>1289B</t>
  </si>
  <si>
    <t xml:space="preserve"> 57637-28-1</t>
  </si>
  <si>
    <t>1291A</t>
  </si>
  <si>
    <t xml:space="preserve"> 57637-29-1</t>
  </si>
  <si>
    <t>4815A</t>
  </si>
  <si>
    <t xml:space="preserve"> 57637-20-1</t>
  </si>
  <si>
    <t>1291B</t>
  </si>
  <si>
    <t xml:space="preserve"> 57639-19-2</t>
  </si>
  <si>
    <t>4815B</t>
  </si>
  <si>
    <t xml:space="preserve"> 57643-22-1</t>
  </si>
  <si>
    <t xml:space="preserve"> 57643-21-1</t>
  </si>
  <si>
    <t xml:space="preserve"> 57643-22-2</t>
  </si>
  <si>
    <t xml:space="preserve"> 57645-19-1</t>
  </si>
  <si>
    <t xml:space="preserve"> 57645-19-2</t>
  </si>
  <si>
    <t>1296A</t>
  </si>
  <si>
    <t xml:space="preserve"> 57637-12-1</t>
  </si>
  <si>
    <t>1296B</t>
  </si>
  <si>
    <t xml:space="preserve"> 57637-17-1</t>
  </si>
  <si>
    <t>4636B</t>
  </si>
  <si>
    <t xml:space="preserve"> 57643-30-1</t>
  </si>
  <si>
    <t xml:space="preserve"> 57645-29-1</t>
  </si>
  <si>
    <t xml:space="preserve"> 56809-03-1</t>
  </si>
  <si>
    <t>4638A</t>
  </si>
  <si>
    <t xml:space="preserve"> 57645-27-1</t>
  </si>
  <si>
    <t>102A</t>
  </si>
  <si>
    <t xml:space="preserve"> 56809-03-2</t>
  </si>
  <si>
    <t xml:space="preserve"> 56809-01-1</t>
  </si>
  <si>
    <t>102B</t>
  </si>
  <si>
    <t xml:space="preserve"> 57645-24-1</t>
  </si>
  <si>
    <t xml:space="preserve"> 57645-24-2</t>
  </si>
  <si>
    <t>4640B</t>
  </si>
  <si>
    <t xml:space="preserve"> 57637-12-2</t>
  </si>
  <si>
    <t>103A</t>
  </si>
  <si>
    <t xml:space="preserve"> 56833-10-1</t>
  </si>
  <si>
    <t xml:space="preserve"> 56833-12-1</t>
  </si>
  <si>
    <t>4641A</t>
  </si>
  <si>
    <t xml:space="preserve"> 56833-14-1</t>
  </si>
  <si>
    <t>103B</t>
  </si>
  <si>
    <t xml:space="preserve"> 56833-13-2</t>
  </si>
  <si>
    <t>1404A</t>
  </si>
  <si>
    <t xml:space="preserve"> 57636-07-1</t>
  </si>
  <si>
    <t>4641B</t>
  </si>
  <si>
    <t xml:space="preserve"> 57638-07-1</t>
  </si>
  <si>
    <t xml:space="preserve"> 57638-08-1</t>
  </si>
  <si>
    <t xml:space="preserve"> 57638-07-2</t>
  </si>
  <si>
    <t>105A</t>
  </si>
  <si>
    <t xml:space="preserve"> 57636-12-2</t>
  </si>
  <si>
    <t xml:space="preserve"> 57636-12-1</t>
  </si>
  <si>
    <t xml:space="preserve"> 57638-01-1</t>
  </si>
  <si>
    <t>105B</t>
  </si>
  <si>
    <t xml:space="preserve"> 57636-27-2</t>
  </si>
  <si>
    <t>1406A</t>
  </si>
  <si>
    <t xml:space="preserve"> 57635-11-1</t>
  </si>
  <si>
    <t xml:space="preserve"> 57635-11-2</t>
  </si>
  <si>
    <t>1406B</t>
  </si>
  <si>
    <t xml:space="preserve"> 57635-05-1</t>
  </si>
  <si>
    <t xml:space="preserve"> 57635-02-1</t>
  </si>
  <si>
    <t>1407A</t>
  </si>
  <si>
    <t xml:space="preserve"> 57635-05-2</t>
  </si>
  <si>
    <t xml:space="preserve"> 56824-24-1</t>
  </si>
  <si>
    <t>1407B</t>
  </si>
  <si>
    <t xml:space="preserve"> 56833-13-1</t>
  </si>
  <si>
    <t>4647B</t>
  </si>
  <si>
    <t xml:space="preserve"> 57635-25-1</t>
  </si>
  <si>
    <t>108A</t>
  </si>
  <si>
    <t xml:space="preserve"> 57071-22-1</t>
  </si>
  <si>
    <t xml:space="preserve"> 57071-23-2</t>
  </si>
  <si>
    <t>109A</t>
  </si>
  <si>
    <t xml:space="preserve"> 57071-22-2</t>
  </si>
  <si>
    <t>1409A</t>
  </si>
  <si>
    <t xml:space="preserve"> 57086-04-1</t>
  </si>
  <si>
    <t>109B</t>
  </si>
  <si>
    <t xml:space="preserve"> 57071-23-1</t>
  </si>
  <si>
    <t>1409B</t>
  </si>
  <si>
    <t xml:space="preserve"> 57642-21-1</t>
  </si>
  <si>
    <t xml:space="preserve"> 57642-19-1</t>
  </si>
  <si>
    <t>4617A</t>
  </si>
  <si>
    <t xml:space="preserve"> 57642-27-1</t>
  </si>
  <si>
    <t>4617B</t>
  </si>
  <si>
    <t xml:space="preserve"> 57642-21-2</t>
  </si>
  <si>
    <t>114A</t>
  </si>
  <si>
    <t xml:space="preserve"> 57642-11-2</t>
  </si>
  <si>
    <t>1413A</t>
  </si>
  <si>
    <t xml:space="preserve"> 57642-11-1</t>
  </si>
  <si>
    <t>4619A</t>
  </si>
  <si>
    <t xml:space="preserve"> 57642-14-1</t>
  </si>
  <si>
    <t>114B</t>
  </si>
  <si>
    <t xml:space="preserve"> 57642-17-1</t>
  </si>
  <si>
    <t>1413B</t>
  </si>
  <si>
    <t xml:space="preserve"> 56827-05-1</t>
  </si>
  <si>
    <t>4619B</t>
  </si>
  <si>
    <t xml:space="preserve"> 57647-24-1</t>
  </si>
  <si>
    <t xml:space="preserve"> 57647-24-2</t>
  </si>
  <si>
    <t xml:space="preserve"> 57084-07-2</t>
  </si>
  <si>
    <t>1416A</t>
  </si>
  <si>
    <t xml:space="preserve"> 57084-26-1</t>
  </si>
  <si>
    <t>1416B</t>
  </si>
  <si>
    <t xml:space="preserve"> 57084-26-2</t>
  </si>
  <si>
    <t xml:space="preserve"> 57084-28-1</t>
  </si>
  <si>
    <t xml:space="preserve"> 57095-02-1</t>
  </si>
  <si>
    <t>1418B</t>
  </si>
  <si>
    <t xml:space="preserve"> 57095-02-2</t>
  </si>
  <si>
    <t>119A</t>
  </si>
  <si>
    <t xml:space="preserve"> 57095-06-1</t>
  </si>
  <si>
    <t>4624B</t>
  </si>
  <si>
    <t xml:space="preserve"> 57084-29-1</t>
  </si>
  <si>
    <t>119B</t>
  </si>
  <si>
    <t xml:space="preserve"> 57084-28-2</t>
  </si>
  <si>
    <t>1419B</t>
  </si>
  <si>
    <t xml:space="preserve"> 57084-29-2</t>
  </si>
  <si>
    <t xml:space="preserve"> 57084-07-1</t>
  </si>
  <si>
    <t>1422A</t>
  </si>
  <si>
    <t xml:space="preserve"> 57095-06-2</t>
  </si>
  <si>
    <t>1426A</t>
  </si>
  <si>
    <t xml:space="preserve"> 56836-01-1</t>
  </si>
  <si>
    <t>4628A</t>
  </si>
  <si>
    <t xml:space="preserve"> 56836-01-2</t>
  </si>
  <si>
    <t xml:space="preserve"> 56836-16-2</t>
  </si>
  <si>
    <t xml:space="preserve"> 56835-24-1</t>
  </si>
  <si>
    <t>1424B</t>
  </si>
  <si>
    <t xml:space="preserve"> 57636-27-1</t>
  </si>
  <si>
    <t>1425B</t>
  </si>
  <si>
    <t xml:space="preserve"> 57636-30-1</t>
  </si>
  <si>
    <t xml:space="preserve"> 57638-10-1</t>
  </si>
  <si>
    <t xml:space="preserve"> 57640-05-1</t>
  </si>
  <si>
    <t>1426B</t>
  </si>
  <si>
    <t xml:space="preserve"> 57642-05-1</t>
  </si>
  <si>
    <t>864A</t>
  </si>
  <si>
    <t xml:space="preserve"> 57642-09-1</t>
  </si>
  <si>
    <t xml:space="preserve"> 57642-09-2</t>
  </si>
  <si>
    <t xml:space="preserve"> 57638-22-1</t>
  </si>
  <si>
    <t xml:space="preserve"> 57638-20-1</t>
  </si>
  <si>
    <t xml:space="preserve"> 57651-14-1</t>
  </si>
  <si>
    <t xml:space="preserve"> 57651-13-1</t>
  </si>
  <si>
    <t xml:space="preserve"> 57651-15-1</t>
  </si>
  <si>
    <t xml:space="preserve"> 57651-19-1</t>
  </si>
  <si>
    <t>1437A</t>
  </si>
  <si>
    <t xml:space="preserve"> 57651-17-1</t>
  </si>
  <si>
    <t>1437B</t>
  </si>
  <si>
    <t xml:space="preserve"> 57651-27-1</t>
  </si>
  <si>
    <t xml:space="preserve"> 57651-28-1</t>
  </si>
  <si>
    <t>1433B</t>
  </si>
  <si>
    <t xml:space="preserve"> 57651-28-2</t>
  </si>
  <si>
    <t xml:space="preserve"> 57651-27-2</t>
  </si>
  <si>
    <t>1443A</t>
  </si>
  <si>
    <t xml:space="preserve"> 57651-16-1</t>
  </si>
  <si>
    <t>1173A</t>
  </si>
  <si>
    <t xml:space="preserve"> 57651-26-1</t>
  </si>
  <si>
    <t>1173B</t>
  </si>
  <si>
    <t xml:space="preserve"> 57651-26-2</t>
  </si>
  <si>
    <t>1175A</t>
  </si>
  <si>
    <t xml:space="preserve"> 57651-09-1</t>
  </si>
  <si>
    <t>1175B</t>
  </si>
  <si>
    <t xml:space="preserve"> 57651-10-1</t>
  </si>
  <si>
    <t>1175C</t>
  </si>
  <si>
    <t xml:space="preserve"> 57651-08-1</t>
  </si>
  <si>
    <t xml:space="preserve"> 57651-09-2</t>
  </si>
  <si>
    <t>1177A</t>
  </si>
  <si>
    <t xml:space="preserve"> 57651-11-1</t>
  </si>
  <si>
    <t>1177B</t>
  </si>
  <si>
    <t xml:space="preserve"> 57651-07-1</t>
  </si>
  <si>
    <t>1178A</t>
  </si>
  <si>
    <t xml:space="preserve"> 57651-08-2</t>
  </si>
  <si>
    <t>1178B</t>
  </si>
  <si>
    <t xml:space="preserve"> 57651-22-1</t>
  </si>
  <si>
    <t xml:space="preserve"> 57650-28-2</t>
  </si>
  <si>
    <t xml:space="preserve"> 57650-28-1</t>
  </si>
  <si>
    <t xml:space="preserve"> 57651-01-1</t>
  </si>
  <si>
    <t>1184A</t>
  </si>
  <si>
    <t xml:space="preserve"> 57651-06-1</t>
  </si>
  <si>
    <t>1184B</t>
  </si>
  <si>
    <t xml:space="preserve"> 57652-13-1</t>
  </si>
  <si>
    <t>1185B</t>
  </si>
  <si>
    <t xml:space="preserve"> 57652-13-2</t>
  </si>
  <si>
    <t xml:space="preserve"> 57650-27-1</t>
  </si>
  <si>
    <t>4525A</t>
  </si>
  <si>
    <t xml:space="preserve"> 57650-26-1</t>
  </si>
  <si>
    <t>1187A</t>
  </si>
  <si>
    <t xml:space="preserve"> 57650-29-1</t>
  </si>
  <si>
    <t>1187B</t>
  </si>
  <si>
    <t xml:space="preserve"> 57650-26-2</t>
  </si>
  <si>
    <t xml:space="preserve"> 57650-27-2</t>
  </si>
  <si>
    <t>1189A</t>
  </si>
  <si>
    <t xml:space="preserve"> 56815-06-1</t>
  </si>
  <si>
    <t>1189B</t>
  </si>
  <si>
    <t xml:space="preserve"> 56812-24-1</t>
  </si>
  <si>
    <t>4578B</t>
  </si>
  <si>
    <t xml:space="preserve"> 56815-05-1</t>
  </si>
  <si>
    <t>5341B</t>
  </si>
  <si>
    <t xml:space="preserve"> 57653-23-1</t>
  </si>
  <si>
    <t>1191A</t>
  </si>
  <si>
    <t xml:space="preserve"> 57653-18-1</t>
  </si>
  <si>
    <t xml:space="preserve"> 57653-17-1</t>
  </si>
  <si>
    <t>1191B</t>
  </si>
  <si>
    <t xml:space="preserve"> 57653-23-2</t>
  </si>
  <si>
    <t xml:space="preserve"> 57652-17-1</t>
  </si>
  <si>
    <t>1193A</t>
  </si>
  <si>
    <t xml:space="preserve"> 57652-22-1</t>
  </si>
  <si>
    <t>1193B</t>
  </si>
  <si>
    <t xml:space="preserve"> 57652-23-1</t>
  </si>
  <si>
    <t>5249A</t>
  </si>
  <si>
    <t xml:space="preserve"> 57653-04-1</t>
  </si>
  <si>
    <t xml:space="preserve"> 57654-09-1</t>
  </si>
  <si>
    <t xml:space="preserve"> 57654-09-2</t>
  </si>
  <si>
    <t>5338A</t>
  </si>
  <si>
    <t xml:space="preserve"> 57654-13-1</t>
  </si>
  <si>
    <t>5338B</t>
  </si>
  <si>
    <t xml:space="preserve"> 57654-15-1</t>
  </si>
  <si>
    <t xml:space="preserve"> 57654-17-1</t>
  </si>
  <si>
    <t xml:space="preserve"> 57654-17-2</t>
  </si>
  <si>
    <t>5340A</t>
  </si>
  <si>
    <t xml:space="preserve"> 57654-18-1</t>
  </si>
  <si>
    <t xml:space="preserve"> 57644-22-2</t>
  </si>
  <si>
    <t>5340B</t>
  </si>
  <si>
    <t xml:space="preserve"> 57650-05-2</t>
  </si>
  <si>
    <t xml:space="preserve"> 57650-04-1</t>
  </si>
  <si>
    <t>5341A</t>
  </si>
  <si>
    <t xml:space="preserve"> 57650-05-1</t>
  </si>
  <si>
    <t>1303A</t>
  </si>
  <si>
    <t xml:space="preserve"> 57650-15-1</t>
  </si>
  <si>
    <t>1303B</t>
  </si>
  <si>
    <t xml:space="preserve"> 57644-22-1</t>
  </si>
  <si>
    <t>1305A</t>
  </si>
  <si>
    <t xml:space="preserve"> 57650-04-2</t>
  </si>
  <si>
    <t>1305B</t>
  </si>
  <si>
    <t xml:space="preserve"> 57644-18-1</t>
  </si>
  <si>
    <t xml:space="preserve"> 57644-18-2</t>
  </si>
  <si>
    <t xml:space="preserve"> 57644-16-1</t>
  </si>
  <si>
    <t>5333A</t>
  </si>
  <si>
    <t xml:space="preserve"> 57650-18-1</t>
  </si>
  <si>
    <t xml:space="preserve"> 56830-21-2</t>
  </si>
  <si>
    <t>5108B</t>
  </si>
  <si>
    <t xml:space="preserve"> 56830-21-1</t>
  </si>
  <si>
    <t xml:space="preserve"> 56830-16-2</t>
  </si>
  <si>
    <t>5307A</t>
  </si>
  <si>
    <t xml:space="preserve"> 56830-16-3</t>
  </si>
  <si>
    <t>5307B</t>
  </si>
  <si>
    <t xml:space="preserve"> 56830-18-1</t>
  </si>
  <si>
    <t xml:space="preserve"> 56830-16-1</t>
  </si>
  <si>
    <t>966A</t>
  </si>
  <si>
    <t xml:space="preserve"> 56830-15-1</t>
  </si>
  <si>
    <t>966B</t>
  </si>
  <si>
    <t xml:space="preserve"> 56829-21-2</t>
  </si>
  <si>
    <t xml:space="preserve"> 56830-08-1</t>
  </si>
  <si>
    <t>967B</t>
  </si>
  <si>
    <t xml:space="preserve"> 56830-08-2</t>
  </si>
  <si>
    <t>5312A</t>
  </si>
  <si>
    <t xml:space="preserve"> 56830-01-1</t>
  </si>
  <si>
    <t>5312B</t>
  </si>
  <si>
    <t xml:space="preserve"> 56829-29-2</t>
  </si>
  <si>
    <t>5313B</t>
  </si>
  <si>
    <t xml:space="preserve"> 56830-30-2</t>
  </si>
  <si>
    <t>969A</t>
  </si>
  <si>
    <t xml:space="preserve"> 56829-29-1</t>
  </si>
  <si>
    <t>5313A</t>
  </si>
  <si>
    <t xml:space="preserve"> 56830-24-2</t>
  </si>
  <si>
    <t>969B</t>
  </si>
  <si>
    <t xml:space="preserve"> 56830-02-1</t>
  </si>
  <si>
    <t>5314A</t>
  </si>
  <si>
    <t xml:space="preserve"> 56829-30-1</t>
  </si>
  <si>
    <t>970A</t>
  </si>
  <si>
    <t>56813-17-1</t>
  </si>
  <si>
    <t>5314B</t>
  </si>
  <si>
    <t>56813-27-1</t>
  </si>
  <si>
    <t>970B</t>
  </si>
  <si>
    <t>56813-29-2</t>
  </si>
  <si>
    <t>56814-05-1</t>
  </si>
  <si>
    <t>5316A</t>
  </si>
  <si>
    <t>56814-06-1</t>
  </si>
  <si>
    <t>56814-09-2</t>
  </si>
  <si>
    <t>5316B</t>
  </si>
  <si>
    <t>56814-19-1</t>
  </si>
  <si>
    <t>56814-22-2</t>
  </si>
  <si>
    <t>5082A</t>
  </si>
  <si>
    <t>56814-23-1</t>
  </si>
  <si>
    <t>5217A</t>
  </si>
  <si>
    <t>56814-26-1</t>
  </si>
  <si>
    <t>56814-26-2</t>
  </si>
  <si>
    <t>5082B</t>
  </si>
  <si>
    <t>56814-27-1</t>
  </si>
  <si>
    <t>56815-08-2</t>
  </si>
  <si>
    <t>56816-01-1</t>
  </si>
  <si>
    <t>56817-15-1</t>
  </si>
  <si>
    <t>56817-16-1</t>
  </si>
  <si>
    <t>56817-16-2</t>
  </si>
  <si>
    <t>5319A</t>
  </si>
  <si>
    <t>56817-17-2</t>
  </si>
  <si>
    <t>5085A</t>
  </si>
  <si>
    <t>56817-18-2</t>
  </si>
  <si>
    <t>5319B</t>
  </si>
  <si>
    <t>56817-22-2</t>
  </si>
  <si>
    <t>5072A</t>
  </si>
  <si>
    <t>56818-09-2</t>
  </si>
  <si>
    <t>5320A</t>
  </si>
  <si>
    <t>56818-16-1</t>
  </si>
  <si>
    <t>5072B</t>
  </si>
  <si>
    <t>56818-29-1</t>
  </si>
  <si>
    <t>5220B</t>
  </si>
  <si>
    <t>56819-06-1</t>
  </si>
  <si>
    <t>5073A</t>
  </si>
  <si>
    <t>56819-09-1</t>
  </si>
  <si>
    <t>5073B</t>
  </si>
  <si>
    <t>56819-10-1</t>
  </si>
  <si>
    <t>5322A</t>
  </si>
  <si>
    <t>56820-05-2</t>
  </si>
  <si>
    <t>56821-16-2</t>
  </si>
  <si>
    <t>5322B</t>
  </si>
  <si>
    <t>56822-14-1</t>
  </si>
  <si>
    <t>56822-14-2</t>
  </si>
  <si>
    <t>5323A</t>
  </si>
  <si>
    <t>56822-15-1</t>
  </si>
  <si>
    <t>5323B</t>
  </si>
  <si>
    <t>56822-15-2</t>
  </si>
  <si>
    <t>5076A</t>
  </si>
  <si>
    <t>56822-16-1</t>
  </si>
  <si>
    <t>5324A</t>
  </si>
  <si>
    <t>56822-17-1</t>
  </si>
  <si>
    <t>5076B</t>
  </si>
  <si>
    <t>56822-17-2</t>
  </si>
  <si>
    <t>56822-18-1</t>
  </si>
  <si>
    <t>5325B</t>
  </si>
  <si>
    <t>56822-18-2</t>
  </si>
  <si>
    <t>5325A</t>
  </si>
  <si>
    <t>56822-20-1</t>
  </si>
  <si>
    <t>5079A</t>
  </si>
  <si>
    <t>56822-22-1</t>
  </si>
  <si>
    <t>5079B</t>
  </si>
  <si>
    <t>56822-23-1</t>
  </si>
  <si>
    <t>5080A</t>
  </si>
  <si>
    <t>56822-23-2</t>
  </si>
  <si>
    <t>56822-24-1</t>
  </si>
  <si>
    <t>5080B</t>
  </si>
  <si>
    <t>56824-17-2</t>
  </si>
  <si>
    <t>893A</t>
  </si>
  <si>
    <t>56824-18-1</t>
  </si>
  <si>
    <t>5051A</t>
  </si>
  <si>
    <t>56824-18-2</t>
  </si>
  <si>
    <t>893B</t>
  </si>
  <si>
    <t>56824-20-1</t>
  </si>
  <si>
    <t>5081B</t>
  </si>
  <si>
    <t>56824-23-2</t>
  </si>
  <si>
    <t>56824-27-1</t>
  </si>
  <si>
    <t>56824-28-1</t>
  </si>
  <si>
    <t>56826-28-2</t>
  </si>
  <si>
    <t>5066A</t>
  </si>
  <si>
    <t>56827-06-1</t>
  </si>
  <si>
    <t>898A</t>
  </si>
  <si>
    <t>56827-06-2</t>
  </si>
  <si>
    <t>5066B</t>
  </si>
  <si>
    <t>56827-29-2</t>
  </si>
  <si>
    <t>5302A</t>
  </si>
  <si>
    <t>56829-06-1</t>
  </si>
  <si>
    <t>5302B</t>
  </si>
  <si>
    <t>56829-10-1</t>
  </si>
  <si>
    <t>5068A</t>
  </si>
  <si>
    <t>56829-11-1</t>
  </si>
  <si>
    <t>56829-14-1</t>
  </si>
  <si>
    <t>5068B</t>
  </si>
  <si>
    <t>56829-19-1</t>
  </si>
  <si>
    <t>1100B</t>
  </si>
  <si>
    <t>56829-25-1</t>
  </si>
  <si>
    <t>1102A</t>
  </si>
  <si>
    <t>56829-29-1</t>
  </si>
  <si>
    <t>5070A</t>
  </si>
  <si>
    <t>56830-02-2</t>
  </si>
  <si>
    <t>5306A</t>
  </si>
  <si>
    <t>56830-15-2</t>
  </si>
  <si>
    <t>1102B</t>
  </si>
  <si>
    <t>56830-18-2</t>
  </si>
  <si>
    <t>5070B</t>
  </si>
  <si>
    <t>56830-24-1</t>
  </si>
  <si>
    <t>5306B</t>
  </si>
  <si>
    <t>56830-30-1</t>
  </si>
  <si>
    <t>56831-12-1</t>
  </si>
  <si>
    <t>5287A</t>
  </si>
  <si>
    <t>56831-15-1</t>
  </si>
  <si>
    <t>1105A</t>
  </si>
  <si>
    <t>56833-12-2</t>
  </si>
  <si>
    <t>5287B</t>
  </si>
  <si>
    <t>56833-14-2</t>
  </si>
  <si>
    <t>1105B</t>
  </si>
  <si>
    <t>56833-22-1</t>
  </si>
  <si>
    <t>56833-25-1</t>
  </si>
  <si>
    <t>4530A</t>
  </si>
  <si>
    <t>56839-13-1</t>
  </si>
  <si>
    <t>1107A</t>
  </si>
  <si>
    <t>57069-12-1</t>
  </si>
  <si>
    <t>1107B</t>
  </si>
  <si>
    <t>57069-13-1</t>
  </si>
  <si>
    <t>1108A</t>
  </si>
  <si>
    <t>57069-14-1</t>
  </si>
  <si>
    <t>57069-14-2</t>
  </si>
  <si>
    <t>1108B</t>
  </si>
  <si>
    <t>57069-17-1</t>
  </si>
  <si>
    <t>57070-02-1</t>
  </si>
  <si>
    <t>57070-02-2</t>
  </si>
  <si>
    <t>1110A</t>
  </si>
  <si>
    <t>57070-04-1</t>
  </si>
  <si>
    <t>57070-04-2</t>
  </si>
  <si>
    <t>57071-08-1</t>
  </si>
  <si>
    <t>57071-29-1</t>
  </si>
  <si>
    <t>57071-29-2</t>
  </si>
  <si>
    <t>780A</t>
  </si>
  <si>
    <t>57072-24-1</t>
  </si>
  <si>
    <t>780B</t>
  </si>
  <si>
    <t>57072-24-2</t>
  </si>
  <si>
    <t>1113A</t>
  </si>
  <si>
    <t>57635-06-1</t>
  </si>
  <si>
    <t>57635-21-1</t>
  </si>
  <si>
    <t>1113B</t>
  </si>
  <si>
    <t>57635-21-2</t>
  </si>
  <si>
    <t>57635-23-1</t>
  </si>
  <si>
    <t>1115A</t>
  </si>
  <si>
    <t>57635-26-2</t>
  </si>
  <si>
    <t>5052B</t>
  </si>
  <si>
    <t>57636-19-1</t>
  </si>
  <si>
    <t>5263A</t>
  </si>
  <si>
    <t>57636-28-1</t>
  </si>
  <si>
    <t>57636-28-2</t>
  </si>
  <si>
    <t>57636-29-1</t>
  </si>
  <si>
    <t>57636-30-2</t>
  </si>
  <si>
    <t>846A</t>
  </si>
  <si>
    <t>57637-18-1</t>
  </si>
  <si>
    <t>5055B</t>
  </si>
  <si>
    <t>57637-18-2</t>
  </si>
  <si>
    <t>57638-01-2</t>
  </si>
  <si>
    <t>846B</t>
  </si>
  <si>
    <t>57638-03-1</t>
  </si>
  <si>
    <t>57638-05-1</t>
  </si>
  <si>
    <t>847A</t>
  </si>
  <si>
    <t>57639-17-2</t>
  </si>
  <si>
    <t>57639-20-2</t>
  </si>
  <si>
    <t>5267A</t>
  </si>
  <si>
    <t>57642-17-2</t>
  </si>
  <si>
    <t>5267B</t>
  </si>
  <si>
    <t>57642-30-1</t>
  </si>
  <si>
    <t>848A</t>
  </si>
  <si>
    <t>57644-01-1</t>
  </si>
  <si>
    <t>848B</t>
  </si>
  <si>
    <t>57645-25-1</t>
  </si>
  <si>
    <t>57645-25-2</t>
  </si>
  <si>
    <t>5-60A</t>
  </si>
  <si>
    <t>57645-26-1</t>
  </si>
  <si>
    <t>5060B</t>
  </si>
  <si>
    <t>57648-09-1</t>
  </si>
  <si>
    <t>57650-06-2</t>
  </si>
  <si>
    <t>57650-21-1</t>
  </si>
  <si>
    <t>5046A</t>
  </si>
  <si>
    <t>57651-25-1</t>
  </si>
  <si>
    <t>5271A</t>
  </si>
  <si>
    <t>57653-04-2</t>
  </si>
  <si>
    <t>5046B</t>
  </si>
  <si>
    <t>57653-18-2</t>
  </si>
  <si>
    <t>5271B</t>
  </si>
  <si>
    <t>57655-30-1</t>
  </si>
  <si>
    <t>853A</t>
  </si>
  <si>
    <t>85617-18-1</t>
  </si>
  <si>
    <t>853B</t>
  </si>
  <si>
    <t>86431- 1</t>
  </si>
  <si>
    <t>86435- 2</t>
  </si>
  <si>
    <t>5048A</t>
  </si>
  <si>
    <t>D HEART</t>
  </si>
  <si>
    <t>86426- 2</t>
  </si>
  <si>
    <t>5274A</t>
  </si>
  <si>
    <t>86426- 1</t>
  </si>
  <si>
    <t>855A</t>
  </si>
  <si>
    <t>86428- 1</t>
  </si>
  <si>
    <t>5048B</t>
  </si>
  <si>
    <t>86505- 1</t>
  </si>
  <si>
    <t>5274B</t>
  </si>
  <si>
    <t>86471- 1</t>
  </si>
  <si>
    <t>855B</t>
  </si>
  <si>
    <t>86502- 2</t>
  </si>
  <si>
    <t>86481- 3</t>
  </si>
  <si>
    <t>5276A</t>
  </si>
  <si>
    <t>86452- 3</t>
  </si>
  <si>
    <t>86502- 1</t>
  </si>
  <si>
    <t>859A</t>
  </si>
  <si>
    <t>86501- 2</t>
  </si>
  <si>
    <t>859B</t>
  </si>
  <si>
    <t>86501- 1</t>
  </si>
  <si>
    <t>86510- 1</t>
  </si>
  <si>
    <t>5280A</t>
  </si>
  <si>
    <t>86510- 2</t>
  </si>
  <si>
    <t>5280B</t>
  </si>
  <si>
    <t>86483- 1</t>
  </si>
  <si>
    <t>86481- 2</t>
  </si>
  <si>
    <t>86452- 2</t>
  </si>
  <si>
    <t>5039A</t>
  </si>
  <si>
    <t>86489- 1</t>
  </si>
  <si>
    <t>4736A</t>
  </si>
  <si>
    <t>86475- 2</t>
  </si>
  <si>
    <t>5282A</t>
  </si>
  <si>
    <t>86545- 1</t>
  </si>
  <si>
    <t>5039B</t>
  </si>
  <si>
    <t>86545- 2</t>
  </si>
  <si>
    <t>4736B</t>
  </si>
  <si>
    <t>86517- 2</t>
  </si>
  <si>
    <t>5282B</t>
  </si>
  <si>
    <t>86561- 1</t>
  </si>
  <si>
    <t>5040A</t>
  </si>
  <si>
    <t>86518- 1</t>
  </si>
  <si>
    <t>5040B</t>
  </si>
  <si>
    <t>86541- 1</t>
  </si>
  <si>
    <t>4562B</t>
  </si>
  <si>
    <t>86542- 1</t>
  </si>
  <si>
    <t>866A</t>
  </si>
  <si>
    <t>86527- 3</t>
  </si>
  <si>
    <t>866B</t>
  </si>
  <si>
    <t>86527- 2</t>
  </si>
  <si>
    <t>86562- 1</t>
  </si>
  <si>
    <t>86553- 2</t>
  </si>
  <si>
    <t>5112B</t>
  </si>
  <si>
    <t>86553- 1</t>
  </si>
  <si>
    <t>5044A</t>
  </si>
  <si>
    <t>86603- 3</t>
  </si>
  <si>
    <t>86603- 2</t>
  </si>
  <si>
    <t>5044B</t>
  </si>
  <si>
    <t>86577- 1</t>
  </si>
  <si>
    <t>5032A</t>
  </si>
  <si>
    <t>86575- 1</t>
  </si>
  <si>
    <t>5032B</t>
  </si>
  <si>
    <t>86575- 2</t>
  </si>
  <si>
    <t>5033A</t>
  </si>
  <si>
    <t>86581- 2</t>
  </si>
  <si>
    <t>5292A</t>
  </si>
  <si>
    <t>86581- 1</t>
  </si>
  <si>
    <t>868A</t>
  </si>
  <si>
    <t>86546- 2</t>
  </si>
  <si>
    <t>5033B</t>
  </si>
  <si>
    <t>86546- 1</t>
  </si>
  <si>
    <t>5122B</t>
  </si>
  <si>
    <t>86555- 1</t>
  </si>
  <si>
    <t>86555- 2</t>
  </si>
  <si>
    <t>5012A</t>
  </si>
  <si>
    <t>86496- 1</t>
  </si>
  <si>
    <t>5012B</t>
  </si>
  <si>
    <t>86586- 1</t>
  </si>
  <si>
    <t>5012C</t>
  </si>
  <si>
    <t>86591- 1</t>
  </si>
  <si>
    <t>86583- 2</t>
  </si>
  <si>
    <t>5255A</t>
  </si>
  <si>
    <t>86583- 1</t>
  </si>
  <si>
    <t>5255B</t>
  </si>
  <si>
    <t>86591- 2</t>
  </si>
  <si>
    <t>86609- 1</t>
  </si>
  <si>
    <t>5255C</t>
  </si>
  <si>
    <t>86609- 2</t>
  </si>
  <si>
    <t>5016A</t>
  </si>
  <si>
    <t>A-1</t>
  </si>
  <si>
    <t>28455-21-2</t>
  </si>
  <si>
    <t>5016B</t>
  </si>
  <si>
    <t>BEND</t>
  </si>
  <si>
    <t>A-2</t>
  </si>
  <si>
    <t>34959-30-3</t>
  </si>
  <si>
    <t>A-3</t>
  </si>
  <si>
    <t>37536-28-1</t>
  </si>
  <si>
    <t>5017A</t>
  </si>
  <si>
    <t>A-4</t>
  </si>
  <si>
    <t>37543-02-2</t>
  </si>
  <si>
    <t>A-5</t>
  </si>
  <si>
    <t>45303-09-1</t>
  </si>
  <si>
    <t>5017B</t>
  </si>
  <si>
    <t>A-6</t>
  </si>
  <si>
    <t>45303-22-2</t>
  </si>
  <si>
    <t>A-7</t>
  </si>
  <si>
    <t>45303-23-2</t>
  </si>
  <si>
    <t>5020A</t>
  </si>
  <si>
    <t>A-8</t>
  </si>
  <si>
    <t>45310-23-2</t>
  </si>
  <si>
    <t>A-9</t>
  </si>
  <si>
    <t>45464-23-1</t>
  </si>
  <si>
    <t>5020B</t>
  </si>
  <si>
    <t>A-10</t>
  </si>
  <si>
    <t>45464-28-1</t>
  </si>
  <si>
    <t>A-11</t>
  </si>
  <si>
    <t>45464-30-2</t>
  </si>
  <si>
    <t>871A</t>
  </si>
  <si>
    <t>A-12</t>
  </si>
  <si>
    <t>45477-20-2</t>
  </si>
  <si>
    <t>871B</t>
  </si>
  <si>
    <t>A-13</t>
  </si>
  <si>
    <t>45477-26-2</t>
  </si>
  <si>
    <t>5022A</t>
  </si>
  <si>
    <t>A-14</t>
  </si>
  <si>
    <t>48356-25-2</t>
  </si>
  <si>
    <t>5022B</t>
  </si>
  <si>
    <t>A-15</t>
  </si>
  <si>
    <t>48358-24-2</t>
  </si>
  <si>
    <t>A-16</t>
  </si>
  <si>
    <t>48358-29-2</t>
  </si>
  <si>
    <t>A-17</t>
  </si>
  <si>
    <t>48359-03-1</t>
  </si>
  <si>
    <t>A-18</t>
  </si>
  <si>
    <t>48359-11-2</t>
  </si>
  <si>
    <t>877A</t>
  </si>
  <si>
    <t>A-19</t>
  </si>
  <si>
    <t>48359-13-1</t>
  </si>
  <si>
    <t>762A</t>
  </si>
  <si>
    <t>A-20</t>
  </si>
  <si>
    <t>48361-13-1</t>
  </si>
  <si>
    <t>5026B</t>
  </si>
  <si>
    <t>A-21</t>
  </si>
  <si>
    <t>48361-15-1</t>
  </si>
  <si>
    <t>877B</t>
  </si>
  <si>
    <t>A-22</t>
  </si>
  <si>
    <t>48361-19-2</t>
  </si>
  <si>
    <t>A-23</t>
  </si>
  <si>
    <t>48361-21-1</t>
  </si>
  <si>
    <t>A-24</t>
  </si>
  <si>
    <t>48361-22-2</t>
  </si>
  <si>
    <t>A-25</t>
  </si>
  <si>
    <t>48361-26-3</t>
  </si>
  <si>
    <t>765A</t>
  </si>
  <si>
    <t>A-26</t>
  </si>
  <si>
    <t>48362-13-2</t>
  </si>
  <si>
    <t>765B</t>
  </si>
  <si>
    <t>A-27</t>
  </si>
  <si>
    <t>48915-02-1</t>
  </si>
  <si>
    <t>A-28</t>
  </si>
  <si>
    <t>48915-04-1</t>
  </si>
  <si>
    <t>766A</t>
  </si>
  <si>
    <t>A-29</t>
  </si>
  <si>
    <t>48915-08-3</t>
  </si>
  <si>
    <t>766B</t>
  </si>
  <si>
    <t>A-30</t>
  </si>
  <si>
    <t>48915-11-1</t>
  </si>
  <si>
    <t>A-31</t>
  </si>
  <si>
    <t>48920-12-2</t>
  </si>
  <si>
    <t>767A</t>
  </si>
  <si>
    <t>A-32</t>
  </si>
  <si>
    <t>48920-15-1</t>
  </si>
  <si>
    <t>A-33</t>
  </si>
  <si>
    <t>48920-17-1</t>
  </si>
  <si>
    <t>767B</t>
  </si>
  <si>
    <t>A-34</t>
  </si>
  <si>
    <t>48920-30-1</t>
  </si>
  <si>
    <t>4989A</t>
  </si>
  <si>
    <t>A-35</t>
  </si>
  <si>
    <t>48921-02-1</t>
  </si>
  <si>
    <t>A-36</t>
  </si>
  <si>
    <t>48921-22-2</t>
  </si>
  <si>
    <t>4989B</t>
  </si>
  <si>
    <t>A-37</t>
  </si>
  <si>
    <t>48921-27-2</t>
  </si>
  <si>
    <t>A-38</t>
  </si>
  <si>
    <t>49638-01-1</t>
  </si>
  <si>
    <t>A-39</t>
  </si>
  <si>
    <t>49638-06-1</t>
  </si>
  <si>
    <t>771A</t>
  </si>
  <si>
    <t>A-40</t>
  </si>
  <si>
    <t>49639-08-1</t>
  </si>
  <si>
    <t>4991A</t>
  </si>
  <si>
    <t>A-41</t>
  </si>
  <si>
    <t>49639-14-1</t>
  </si>
  <si>
    <t>771B</t>
  </si>
  <si>
    <t>A-42</t>
  </si>
  <si>
    <t>49639-15-2</t>
  </si>
  <si>
    <t>4991B</t>
  </si>
  <si>
    <t>A-43</t>
  </si>
  <si>
    <t>49639-18-1</t>
  </si>
  <si>
    <t>902A</t>
  </si>
  <si>
    <t>A-44</t>
  </si>
  <si>
    <t>49640-01-2</t>
  </si>
  <si>
    <t>902B</t>
  </si>
  <si>
    <t>A-45</t>
  </si>
  <si>
    <t>49640-23-1</t>
  </si>
  <si>
    <t>903A</t>
  </si>
  <si>
    <t>A-46</t>
  </si>
  <si>
    <t>49640-25-2</t>
  </si>
  <si>
    <t>4993B</t>
  </si>
  <si>
    <t>A-47</t>
  </si>
  <si>
    <t>49641-02-1</t>
  </si>
  <si>
    <t>903B</t>
  </si>
  <si>
    <t>A-48</t>
  </si>
  <si>
    <t>49641-04-3</t>
  </si>
  <si>
    <t>A-49</t>
  </si>
  <si>
    <t>49641-09-2</t>
  </si>
  <si>
    <t>A-50</t>
  </si>
  <si>
    <t>49643-07-2</t>
  </si>
  <si>
    <t>5214A</t>
  </si>
  <si>
    <t>A-51</t>
  </si>
  <si>
    <t>49644-28-1</t>
  </si>
  <si>
    <t>5214B</t>
  </si>
  <si>
    <t>A-52</t>
  </si>
  <si>
    <t>49644-29-1</t>
  </si>
  <si>
    <t>1569A</t>
  </si>
  <si>
    <t>A-53</t>
  </si>
  <si>
    <t>49645-18-1</t>
  </si>
  <si>
    <t>4997A</t>
  </si>
  <si>
    <t>A-54</t>
  </si>
  <si>
    <t>52711-02-2</t>
  </si>
  <si>
    <t>1569B</t>
  </si>
  <si>
    <t>A-55</t>
  </si>
  <si>
    <t>52712-10-2</t>
  </si>
  <si>
    <t>5215B</t>
  </si>
  <si>
    <t>A-56</t>
  </si>
  <si>
    <t>52712-12-1</t>
  </si>
  <si>
    <t>A-57</t>
  </si>
  <si>
    <t>52712-13-1</t>
  </si>
  <si>
    <t>4997B</t>
  </si>
  <si>
    <t>A-58</t>
  </si>
  <si>
    <t>52712-13-2</t>
  </si>
  <si>
    <t>A-59</t>
  </si>
  <si>
    <t>52712-14-1</t>
  </si>
  <si>
    <t>1571A</t>
  </si>
  <si>
    <t>A-60</t>
  </si>
  <si>
    <t>52712-16-1</t>
  </si>
  <si>
    <t>A-61</t>
  </si>
  <si>
    <t>52712-17-1</t>
  </si>
  <si>
    <t>A-62</t>
  </si>
  <si>
    <t>52712-17-2</t>
  </si>
  <si>
    <t>1571B</t>
  </si>
  <si>
    <t>A-63</t>
  </si>
  <si>
    <t>52712-18-1</t>
  </si>
  <si>
    <t>5217B</t>
  </si>
  <si>
    <t>A-64</t>
  </si>
  <si>
    <t>52712-18-2</t>
  </si>
  <si>
    <t>A-65</t>
  </si>
  <si>
    <t>52712-19-1</t>
  </si>
  <si>
    <t>A-66</t>
  </si>
  <si>
    <t>52712-19-2</t>
  </si>
  <si>
    <t>5002A</t>
  </si>
  <si>
    <t>A-67</t>
  </si>
  <si>
    <t>52716-16-4</t>
  </si>
  <si>
    <t>5002B</t>
  </si>
  <si>
    <t>A-68</t>
  </si>
  <si>
    <t>52716-17-1</t>
  </si>
  <si>
    <t>A-69</t>
  </si>
  <si>
    <t>52716-17-2</t>
  </si>
  <si>
    <t>1122B</t>
  </si>
  <si>
    <t>A-70</t>
  </si>
  <si>
    <t>52716-17-3</t>
  </si>
  <si>
    <t>A-71</t>
  </si>
  <si>
    <t>52716-18-1</t>
  </si>
  <si>
    <t>1124A</t>
  </si>
  <si>
    <t>A-72</t>
  </si>
  <si>
    <t>52950-30-2</t>
  </si>
  <si>
    <t>A-73</t>
  </si>
  <si>
    <t>52953-10-1</t>
  </si>
  <si>
    <t>A-74</t>
  </si>
  <si>
    <t>52953-10-2</t>
  </si>
  <si>
    <t>A-75</t>
  </si>
  <si>
    <t>52953-11-1</t>
  </si>
  <si>
    <t>A-76</t>
  </si>
  <si>
    <t>52953-11-2</t>
  </si>
  <si>
    <t>A-77</t>
  </si>
  <si>
    <t>52953-13-1</t>
  </si>
  <si>
    <t>5007B</t>
  </si>
  <si>
    <t>A-78</t>
  </si>
  <si>
    <t>52953-13-2</t>
  </si>
  <si>
    <t>5008A</t>
  </si>
  <si>
    <t>A-79</t>
  </si>
  <si>
    <t>52953-17-1</t>
  </si>
  <si>
    <t>5008B</t>
  </si>
  <si>
    <t>A-80</t>
  </si>
  <si>
    <t>52953-19-1</t>
  </si>
  <si>
    <t>1581A</t>
  </si>
  <si>
    <t>A-81</t>
  </si>
  <si>
    <t>52953-20-2</t>
  </si>
  <si>
    <t>5219A</t>
  </si>
  <si>
    <t>A-82</t>
  </si>
  <si>
    <t>52953-23-1</t>
  </si>
  <si>
    <t>A-83</t>
  </si>
  <si>
    <t>52953-23-2</t>
  </si>
  <si>
    <t>1581B</t>
  </si>
  <si>
    <t>A-84</t>
  </si>
  <si>
    <t>52953-25-1</t>
  </si>
  <si>
    <t>5219B</t>
  </si>
  <si>
    <t>A-85</t>
  </si>
  <si>
    <t>52953-25-2</t>
  </si>
  <si>
    <t>880A</t>
  </si>
  <si>
    <t>A-86</t>
  </si>
  <si>
    <t>52953-26-1</t>
  </si>
  <si>
    <t>A-87</t>
  </si>
  <si>
    <t>52953-26-2</t>
  </si>
  <si>
    <t>1582A</t>
  </si>
  <si>
    <t>A-88</t>
  </si>
  <si>
    <t>53298-16-1</t>
  </si>
  <si>
    <t>5220A</t>
  </si>
  <si>
    <t>A-89</t>
  </si>
  <si>
    <t>53298-16-2</t>
  </si>
  <si>
    <t>880B</t>
  </si>
  <si>
    <t>A-90</t>
  </si>
  <si>
    <t>53298-17-1</t>
  </si>
  <si>
    <t>4985A</t>
  </si>
  <si>
    <t>A-91</t>
  </si>
  <si>
    <t>53298-17-2</t>
  </si>
  <si>
    <t>1582B</t>
  </si>
  <si>
    <t>A-92</t>
  </si>
  <si>
    <t>53299-03-1</t>
  </si>
  <si>
    <t>4985B</t>
  </si>
  <si>
    <t>A-93</t>
  </si>
  <si>
    <t>53299-03-2</t>
  </si>
  <si>
    <t>A-94</t>
  </si>
  <si>
    <t>53299-04-2</t>
  </si>
  <si>
    <t>4771B</t>
  </si>
  <si>
    <t>A-95</t>
  </si>
  <si>
    <t>53299-05-1</t>
  </si>
  <si>
    <t>5221A</t>
  </si>
  <si>
    <t>A-96</t>
  </si>
  <si>
    <t>53299-05-2</t>
  </si>
  <si>
    <t>881B</t>
  </si>
  <si>
    <t>A-97</t>
  </si>
  <si>
    <t>53299-09-1</t>
  </si>
  <si>
    <t>4986A</t>
  </si>
  <si>
    <t>A-98</t>
  </si>
  <si>
    <t>53299-09-2</t>
  </si>
  <si>
    <t>1584A</t>
  </si>
  <si>
    <t>A-99</t>
  </si>
  <si>
    <t>53299-10-1</t>
  </si>
  <si>
    <t>5221B</t>
  </si>
  <si>
    <t>A-100</t>
  </si>
  <si>
    <t>53299-10-2</t>
  </si>
  <si>
    <t>A-101</t>
  </si>
  <si>
    <t>53299-14-2</t>
  </si>
  <si>
    <t>4986B</t>
  </si>
  <si>
    <t>A-102</t>
  </si>
  <si>
    <t>53299-27-1</t>
  </si>
  <si>
    <t>1584B</t>
  </si>
  <si>
    <t>A-103</t>
  </si>
  <si>
    <t>53299-29-1</t>
  </si>
  <si>
    <t>5222A</t>
  </si>
  <si>
    <t>A-104</t>
  </si>
  <si>
    <t>53299-29-2</t>
  </si>
  <si>
    <t>1119A</t>
  </si>
  <si>
    <t>A-105</t>
  </si>
  <si>
    <t>53446-09-1</t>
  </si>
  <si>
    <t>5222B</t>
  </si>
  <si>
    <t>A-106</t>
  </si>
  <si>
    <t>53446-12-1</t>
  </si>
  <si>
    <t>A-107</t>
  </si>
  <si>
    <t>53446-13-2</t>
  </si>
  <si>
    <t>A-108</t>
  </si>
  <si>
    <t>53446-22-1</t>
  </si>
  <si>
    <t>1587A</t>
  </si>
  <si>
    <t>A-109</t>
  </si>
  <si>
    <t>53446-25-1</t>
  </si>
  <si>
    <t>5096A</t>
  </si>
  <si>
    <t>A-110</t>
  </si>
  <si>
    <t>53447-07-1</t>
  </si>
  <si>
    <t>5224A</t>
  </si>
  <si>
    <t>A-111</t>
  </si>
  <si>
    <t>53447-07-2</t>
  </si>
  <si>
    <t>5096B</t>
  </si>
  <si>
    <t>A-112</t>
  </si>
  <si>
    <t>53447-17-1</t>
  </si>
  <si>
    <t>1121A</t>
  </si>
  <si>
    <t>A-113</t>
  </si>
  <si>
    <t>53447-17-2</t>
  </si>
  <si>
    <t>5097A</t>
  </si>
  <si>
    <t>A-114</t>
  </si>
  <si>
    <t>53447-18-1</t>
  </si>
  <si>
    <t>5225A</t>
  </si>
  <si>
    <t>A-115</t>
  </si>
  <si>
    <t>53447-18-2</t>
  </si>
  <si>
    <t>1121B</t>
  </si>
  <si>
    <t>A-116</t>
  </si>
  <si>
    <t>53447-29-1</t>
  </si>
  <si>
    <t>4962A</t>
  </si>
  <si>
    <t>A-117</t>
  </si>
  <si>
    <t>53447-29-2</t>
  </si>
  <si>
    <t>1589A</t>
  </si>
  <si>
    <t>A-118</t>
  </si>
  <si>
    <t>53447-30-1</t>
  </si>
  <si>
    <t>5097B</t>
  </si>
  <si>
    <t>A-119</t>
  </si>
  <si>
    <t>53447-30-2</t>
  </si>
  <si>
    <t>5225B</t>
  </si>
  <si>
    <t>A-120</t>
  </si>
  <si>
    <t>53448-03-1</t>
  </si>
  <si>
    <t>122A</t>
  </si>
  <si>
    <t>A-121</t>
  </si>
  <si>
    <t>53448-04-1</t>
  </si>
  <si>
    <t>4962B</t>
  </si>
  <si>
    <t>A-122</t>
  </si>
  <si>
    <t>53448-04-2</t>
  </si>
  <si>
    <t>1589B</t>
  </si>
  <si>
    <t>A-123</t>
  </si>
  <si>
    <t>53448-06-1</t>
  </si>
  <si>
    <t>4963A</t>
  </si>
  <si>
    <t>A-124</t>
  </si>
  <si>
    <t>53448-06-2</t>
  </si>
  <si>
    <t>A-125</t>
  </si>
  <si>
    <t>53448-09-1</t>
  </si>
  <si>
    <t>4963B</t>
  </si>
  <si>
    <t>A-126</t>
  </si>
  <si>
    <t>53449-13-1</t>
  </si>
  <si>
    <t>4964A</t>
  </si>
  <si>
    <t>A-127</t>
  </si>
  <si>
    <t>53449-13-2</t>
  </si>
  <si>
    <t>1591B</t>
  </si>
  <si>
    <t>A-128</t>
  </si>
  <si>
    <t>53449-26-1</t>
  </si>
  <si>
    <t>A-129</t>
  </si>
  <si>
    <t>53449-26-2</t>
  </si>
  <si>
    <t>4964B</t>
  </si>
  <si>
    <t>A-130</t>
  </si>
  <si>
    <t>53913-01-1</t>
  </si>
  <si>
    <t>5195A</t>
  </si>
  <si>
    <t>A-131</t>
  </si>
  <si>
    <t>53913-03-2</t>
  </si>
  <si>
    <t>A-132</t>
  </si>
  <si>
    <t>53913-04-1</t>
  </si>
  <si>
    <t>5196A</t>
  </si>
  <si>
    <t>A-133</t>
  </si>
  <si>
    <t>53913-04-3</t>
  </si>
  <si>
    <t>A-134</t>
  </si>
  <si>
    <t>53913-04-4</t>
  </si>
  <si>
    <t>5196B</t>
  </si>
  <si>
    <t>A-135</t>
  </si>
  <si>
    <t>53913-05-1</t>
  </si>
  <si>
    <t>5197A</t>
  </si>
  <si>
    <t>A-136</t>
  </si>
  <si>
    <t>53913-06-1</t>
  </si>
  <si>
    <t>A-137</t>
  </si>
  <si>
    <t>53913-08-1</t>
  </si>
  <si>
    <t>5197B</t>
  </si>
  <si>
    <t>A-138</t>
  </si>
  <si>
    <t>53913-08-2</t>
  </si>
  <si>
    <t>5198A</t>
  </si>
  <si>
    <t>A-139</t>
  </si>
  <si>
    <t>53913-11-1</t>
  </si>
  <si>
    <t>4969A</t>
  </si>
  <si>
    <t>A-140</t>
  </si>
  <si>
    <t>53913-11-3</t>
  </si>
  <si>
    <t>5198B</t>
  </si>
  <si>
    <t>A-141</t>
  </si>
  <si>
    <t>53913-11-4</t>
  </si>
  <si>
    <t>A-142</t>
  </si>
  <si>
    <t>53913-13-2</t>
  </si>
  <si>
    <t>4970A</t>
  </si>
  <si>
    <t>A-143</t>
  </si>
  <si>
    <t>53449-14-1</t>
  </si>
  <si>
    <t>A-144</t>
  </si>
  <si>
    <t>53913-14-1</t>
  </si>
  <si>
    <t>4970B</t>
  </si>
  <si>
    <t>A-145</t>
  </si>
  <si>
    <t>53913-14-2</t>
  </si>
  <si>
    <t>A-146</t>
  </si>
  <si>
    <t>53913-15-1</t>
  </si>
  <si>
    <t>4974A</t>
  </si>
  <si>
    <t>A-147</t>
  </si>
  <si>
    <t>53913-27-2</t>
  </si>
  <si>
    <t>A-148</t>
  </si>
  <si>
    <t>53913-27-3</t>
  </si>
  <si>
    <t>4974B</t>
  </si>
  <si>
    <t>A-149</t>
  </si>
  <si>
    <t>53913-29-1</t>
  </si>
  <si>
    <t>4975A</t>
  </si>
  <si>
    <t>A-150</t>
  </si>
  <si>
    <t>53913-29-2</t>
  </si>
  <si>
    <t>4975B</t>
  </si>
  <si>
    <t>A-151</t>
  </si>
  <si>
    <t>53914-29-1</t>
  </si>
  <si>
    <t>5205A</t>
  </si>
  <si>
    <t>A-152</t>
  </si>
  <si>
    <t>53915-07-2</t>
  </si>
  <si>
    <t>4976A</t>
  </si>
  <si>
    <t>A-153</t>
  </si>
  <si>
    <t>53915-12-2</t>
  </si>
  <si>
    <t>5205B</t>
  </si>
  <si>
    <t>A-154</t>
  </si>
  <si>
    <t>53915-16-1</t>
  </si>
  <si>
    <t>4976B</t>
  </si>
  <si>
    <t>A-155</t>
  </si>
  <si>
    <t>53915-17-1</t>
  </si>
  <si>
    <t>4977A</t>
  </si>
  <si>
    <t>A-156</t>
  </si>
  <si>
    <t>53915-17-2</t>
  </si>
  <si>
    <t>5207A</t>
  </si>
  <si>
    <t>A-157</t>
  </si>
  <si>
    <t>53915-19-1</t>
  </si>
  <si>
    <t>A-158</t>
  </si>
  <si>
    <t>53915-19-2</t>
  </si>
  <si>
    <t>5207B</t>
  </si>
  <si>
    <t>A-159</t>
  </si>
  <si>
    <t>53915-23-1</t>
  </si>
  <si>
    <t>5208A</t>
  </si>
  <si>
    <t>A-160</t>
  </si>
  <si>
    <t>53915-24-1</t>
  </si>
  <si>
    <t>4979B</t>
  </si>
  <si>
    <t>A-161</t>
  </si>
  <si>
    <t>53915-24-2</t>
  </si>
  <si>
    <t>5208B</t>
  </si>
  <si>
    <t>A-162</t>
  </si>
  <si>
    <t>53915-25-1</t>
  </si>
  <si>
    <t>4980A</t>
  </si>
  <si>
    <t>A-163</t>
  </si>
  <si>
    <t>53915-25-2</t>
  </si>
  <si>
    <t>5114A</t>
  </si>
  <si>
    <t>A-164</t>
  </si>
  <si>
    <t>53915-26-1</t>
  </si>
  <si>
    <t>5209A</t>
  </si>
  <si>
    <t>A-165</t>
  </si>
  <si>
    <t>53915-27-2</t>
  </si>
  <si>
    <t>4980B</t>
  </si>
  <si>
    <t>A-166</t>
  </si>
  <si>
    <t>53915-28-1</t>
  </si>
  <si>
    <t>5114B</t>
  </si>
  <si>
    <t>A-167</t>
  </si>
  <si>
    <t>53915-28-2</t>
  </si>
  <si>
    <t>5209B</t>
  </si>
  <si>
    <t>A-168</t>
  </si>
  <si>
    <t>53915-29-1</t>
  </si>
  <si>
    <t>5210A</t>
  </si>
  <si>
    <t>A-169</t>
  </si>
  <si>
    <t>53915-29-2</t>
  </si>
  <si>
    <t>5210B</t>
  </si>
  <si>
    <t>A-170</t>
  </si>
  <si>
    <t>53916-21-2</t>
  </si>
  <si>
    <t>5211A</t>
  </si>
  <si>
    <t>A-171</t>
  </si>
  <si>
    <t>53916-22-1</t>
  </si>
  <si>
    <t>4983A</t>
  </si>
  <si>
    <t>A-172</t>
  </si>
  <si>
    <t>53916-22-2</t>
  </si>
  <si>
    <t>4983B</t>
  </si>
  <si>
    <t>A-173</t>
  </si>
  <si>
    <t>53916-24-1</t>
  </si>
  <si>
    <t>5151A</t>
  </si>
  <si>
    <t>A-174</t>
  </si>
  <si>
    <t>53916-24-2</t>
  </si>
  <si>
    <t>978A</t>
  </si>
  <si>
    <t>A-175</t>
  </si>
  <si>
    <t>53917-25-1</t>
  </si>
  <si>
    <t>B-1</t>
  </si>
  <si>
    <t>36477-08-3</t>
  </si>
  <si>
    <t>5151B</t>
  </si>
  <si>
    <t>B-2</t>
  </si>
  <si>
    <t>37537-12-3</t>
  </si>
  <si>
    <t>978B</t>
  </si>
  <si>
    <t>B-3</t>
  </si>
  <si>
    <t>45301-11-1</t>
  </si>
  <si>
    <t>4952B</t>
  </si>
  <si>
    <t>B-4</t>
  </si>
  <si>
    <t>45302-14-1</t>
  </si>
  <si>
    <t>B-5</t>
  </si>
  <si>
    <t>45303-05-2</t>
  </si>
  <si>
    <t>979A</t>
  </si>
  <si>
    <t>B-6</t>
  </si>
  <si>
    <t>45303-10-1</t>
  </si>
  <si>
    <t>4953A</t>
  </si>
  <si>
    <t>B-7</t>
  </si>
  <si>
    <t>45303-16-1</t>
  </si>
  <si>
    <t>B-8</t>
  </si>
  <si>
    <t>45468-25-1</t>
  </si>
  <si>
    <t>4953B</t>
  </si>
  <si>
    <t>B-9</t>
  </si>
  <si>
    <t>45473-30-2</t>
  </si>
  <si>
    <t>5153B</t>
  </si>
  <si>
    <t>B-10</t>
  </si>
  <si>
    <t>45475-22-2</t>
  </si>
  <si>
    <t>B-11</t>
  </si>
  <si>
    <t>48359-03-2</t>
  </si>
  <si>
    <t>4954A</t>
  </si>
  <si>
    <t>B-12</t>
  </si>
  <si>
    <t>48360-29-2</t>
  </si>
  <si>
    <t>B-13</t>
  </si>
  <si>
    <t>48362-02-1</t>
  </si>
  <si>
    <t>4954B</t>
  </si>
  <si>
    <t>B-14</t>
  </si>
  <si>
    <t>48915-01-3</t>
  </si>
  <si>
    <t>5154B</t>
  </si>
  <si>
    <t>B-15</t>
  </si>
  <si>
    <t>48915-04-2</t>
  </si>
  <si>
    <t>4955A</t>
  </si>
  <si>
    <t>B-16</t>
  </si>
  <si>
    <t>48915-18-2</t>
  </si>
  <si>
    <t>5155A</t>
  </si>
  <si>
    <t>B-17</t>
  </si>
  <si>
    <t>48920-12-1</t>
  </si>
  <si>
    <t>4955B</t>
  </si>
  <si>
    <t>B-18</t>
  </si>
  <si>
    <t>48920-14-1</t>
  </si>
  <si>
    <t>5155B</t>
  </si>
  <si>
    <t>B-19</t>
  </si>
  <si>
    <t>48920-22-2</t>
  </si>
  <si>
    <t>983A</t>
  </si>
  <si>
    <t>B-20</t>
  </si>
  <si>
    <t>48920-23-1</t>
  </si>
  <si>
    <t>5156A</t>
  </si>
  <si>
    <t>B-21</t>
  </si>
  <si>
    <t>48920-28-1</t>
  </si>
  <si>
    <t>983B</t>
  </si>
  <si>
    <t>B-22</t>
  </si>
  <si>
    <t>48921-01-1</t>
  </si>
  <si>
    <t>B-23</t>
  </si>
  <si>
    <t>48921-01-2</t>
  </si>
  <si>
    <t>B-24</t>
  </si>
  <si>
    <t>48921-02-3</t>
  </si>
  <si>
    <t>5157A</t>
  </si>
  <si>
    <t>B-25</t>
  </si>
  <si>
    <t>48921-06-1</t>
  </si>
  <si>
    <t>985A</t>
  </si>
  <si>
    <t>B-26</t>
  </si>
  <si>
    <t>48921-08-2</t>
  </si>
  <si>
    <t>5157B</t>
  </si>
  <si>
    <t>B-27</t>
  </si>
  <si>
    <t>48921-12-1</t>
  </si>
  <si>
    <t>985B</t>
  </si>
  <si>
    <t>B-28</t>
  </si>
  <si>
    <t>48921-16-1</t>
  </si>
  <si>
    <t>4959A</t>
  </si>
  <si>
    <t>B-29</t>
  </si>
  <si>
    <t>48921-16-4</t>
  </si>
  <si>
    <t>986A</t>
  </si>
  <si>
    <t>B-30</t>
  </si>
  <si>
    <t>48921-27-1</t>
  </si>
  <si>
    <t>4959B</t>
  </si>
  <si>
    <t>B-31</t>
  </si>
  <si>
    <t>49638-07-1</t>
  </si>
  <si>
    <t>986B</t>
  </si>
  <si>
    <t>B-32</t>
  </si>
  <si>
    <t>49638-13-1</t>
  </si>
  <si>
    <t>4960A</t>
  </si>
  <si>
    <t>B-33</t>
  </si>
  <si>
    <t>49638-15-2</t>
  </si>
  <si>
    <t>B-34</t>
  </si>
  <si>
    <t>49638-22-2</t>
  </si>
  <si>
    <t>4960B</t>
  </si>
  <si>
    <t>B-35</t>
  </si>
  <si>
    <t>49638-23-2</t>
  </si>
  <si>
    <t>5160A</t>
  </si>
  <si>
    <t>B-36</t>
  </si>
  <si>
    <t>49638-25-2</t>
  </si>
  <si>
    <t>5160B</t>
  </si>
  <si>
    <t>B-37</t>
  </si>
  <si>
    <t>49638-27-1</t>
  </si>
  <si>
    <t>B-38</t>
  </si>
  <si>
    <t>49639-01-1</t>
  </si>
  <si>
    <t>B-39</t>
  </si>
  <si>
    <t>49639-06-1</t>
  </si>
  <si>
    <t>4935A</t>
  </si>
  <si>
    <t>B-40</t>
  </si>
  <si>
    <t>49639-12-1</t>
  </si>
  <si>
    <t>B-41</t>
  </si>
  <si>
    <t>49639-12-2</t>
  </si>
  <si>
    <t>4935B</t>
  </si>
  <si>
    <t>B-42</t>
  </si>
  <si>
    <t>49639-13-1</t>
  </si>
  <si>
    <t>5163A</t>
  </si>
  <si>
    <t>B-43</t>
  </si>
  <si>
    <t>49639-14-2</t>
  </si>
  <si>
    <t>B-44</t>
  </si>
  <si>
    <t>49639-17-1</t>
  </si>
  <si>
    <t>5163B</t>
  </si>
  <si>
    <t>B-45</t>
  </si>
  <si>
    <t>49639-19-2</t>
  </si>
  <si>
    <t>754B</t>
  </si>
  <si>
    <t>B-46</t>
  </si>
  <si>
    <t>49639-20-1</t>
  </si>
  <si>
    <t>B-47</t>
  </si>
  <si>
    <t>49639-20-2</t>
  </si>
  <si>
    <t>5164A</t>
  </si>
  <si>
    <t>B-48</t>
  </si>
  <si>
    <t>49639-20-3</t>
  </si>
  <si>
    <t>755A</t>
  </si>
  <si>
    <t>B-49</t>
  </si>
  <si>
    <t>49640-03-1</t>
  </si>
  <si>
    <t>5164B</t>
  </si>
  <si>
    <t>B-50</t>
  </si>
  <si>
    <t>49640-10-1</t>
  </si>
  <si>
    <t>755B</t>
  </si>
  <si>
    <t>B-51</t>
  </si>
  <si>
    <t>49640-10-2</t>
  </si>
  <si>
    <t>5162A</t>
  </si>
  <si>
    <t>B-52</t>
  </si>
  <si>
    <t>49640-13-2</t>
  </si>
  <si>
    <t>B-53</t>
  </si>
  <si>
    <t>49640-17-2</t>
  </si>
  <si>
    <t>B-54</t>
  </si>
  <si>
    <t>49640-19-1</t>
  </si>
  <si>
    <t>5166A</t>
  </si>
  <si>
    <t>B-55</t>
  </si>
  <si>
    <t>49641-03-2</t>
  </si>
  <si>
    <t>4726A</t>
  </si>
  <si>
    <t>B-56</t>
  </si>
  <si>
    <t>49641-04-2</t>
  </si>
  <si>
    <t>B-57</t>
  </si>
  <si>
    <t>49641-08-1</t>
  </si>
  <si>
    <t>5166B</t>
  </si>
  <si>
    <t>B-58</t>
  </si>
  <si>
    <t>49641-08-2</t>
  </si>
  <si>
    <t>B-59</t>
  </si>
  <si>
    <t>49641-17-2</t>
  </si>
  <si>
    <t>5168A</t>
  </si>
  <si>
    <t>B-60</t>
  </si>
  <si>
    <t>49641-18-1</t>
  </si>
  <si>
    <t>798A</t>
  </si>
  <si>
    <t>B-61</t>
  </si>
  <si>
    <t>49641-21-2</t>
  </si>
  <si>
    <t>5168B</t>
  </si>
  <si>
    <t>B-62</t>
  </si>
  <si>
    <t>49642-07-1</t>
  </si>
  <si>
    <t>798B</t>
  </si>
  <si>
    <t>B-63</t>
  </si>
  <si>
    <t>49642-08-1</t>
  </si>
  <si>
    <t>B-64</t>
  </si>
  <si>
    <t>49642-23-4</t>
  </si>
  <si>
    <t>799A</t>
  </si>
  <si>
    <t>B-65</t>
  </si>
  <si>
    <t>49643-05-3</t>
  </si>
  <si>
    <t>B-66</t>
  </si>
  <si>
    <t>49643-07-1</t>
  </si>
  <si>
    <t>799B</t>
  </si>
  <si>
    <t>B-67</t>
  </si>
  <si>
    <t>49643-09-2</t>
  </si>
  <si>
    <t>5170B</t>
  </si>
  <si>
    <t>B-68</t>
  </si>
  <si>
    <t>49643-10-1</t>
  </si>
  <si>
    <t>B-69</t>
  </si>
  <si>
    <t>49643-15-1</t>
  </si>
  <si>
    <t>901A</t>
  </si>
  <si>
    <t>B-70</t>
  </si>
  <si>
    <t>49644-01-1</t>
  </si>
  <si>
    <t>901B</t>
  </si>
  <si>
    <t>B-71</t>
  </si>
  <si>
    <t>49644-04-1</t>
  </si>
  <si>
    <t>790A</t>
  </si>
  <si>
    <t>B-72</t>
  </si>
  <si>
    <t>49644-04-2</t>
  </si>
  <si>
    <t>773A</t>
  </si>
  <si>
    <t>B-73</t>
  </si>
  <si>
    <t>49644-21-1</t>
  </si>
  <si>
    <t>4944A</t>
  </si>
  <si>
    <t>B-74</t>
  </si>
  <si>
    <t>49644-23-3</t>
  </si>
  <si>
    <t>B-75</t>
  </si>
  <si>
    <t>49644-29-2</t>
  </si>
  <si>
    <t>775A</t>
  </si>
  <si>
    <t>B-76</t>
  </si>
  <si>
    <t>49645-01-1</t>
  </si>
  <si>
    <t>4945A</t>
  </si>
  <si>
    <t>B-77</t>
  </si>
  <si>
    <t>49645-10-1</t>
  </si>
  <si>
    <t>4942B</t>
  </si>
  <si>
    <t>B-78</t>
  </si>
  <si>
    <t>49645-10-2</t>
  </si>
  <si>
    <t>B-79</t>
  </si>
  <si>
    <t>49645-13-2</t>
  </si>
  <si>
    <t>4946A</t>
  </si>
  <si>
    <t>B-80</t>
  </si>
  <si>
    <t>49645-14-1</t>
  </si>
  <si>
    <t>4946B</t>
  </si>
  <si>
    <t>B-81</t>
  </si>
  <si>
    <t>49645-20-2</t>
  </si>
  <si>
    <t>B-82</t>
  </si>
  <si>
    <t>52711-04-2</t>
  </si>
  <si>
    <t>B-83</t>
  </si>
  <si>
    <t>52711-14-1</t>
  </si>
  <si>
    <t>4948B</t>
  </si>
  <si>
    <t>B-84</t>
  </si>
  <si>
    <t>52711-15-1</t>
  </si>
  <si>
    <t>1526B</t>
  </si>
  <si>
    <t>B-85</t>
  </si>
  <si>
    <t>52711-15-2</t>
  </si>
  <si>
    <t>785A</t>
  </si>
  <si>
    <t>B-86</t>
  </si>
  <si>
    <t>52711-16-1</t>
  </si>
  <si>
    <t>4949A</t>
  </si>
  <si>
    <t>B-87</t>
  </si>
  <si>
    <t>52711-16-2</t>
  </si>
  <si>
    <t>1527A</t>
  </si>
  <si>
    <t>B-88</t>
  </si>
  <si>
    <t>52711-17-1</t>
  </si>
  <si>
    <t>4949B</t>
  </si>
  <si>
    <t>B-89</t>
  </si>
  <si>
    <t>52711-18-1</t>
  </si>
  <si>
    <t>1527B</t>
  </si>
  <si>
    <t>B-90</t>
  </si>
  <si>
    <t>52711-27-2</t>
  </si>
  <si>
    <t>B-91</t>
  </si>
  <si>
    <t>52711-30-1</t>
  </si>
  <si>
    <t>5110A</t>
  </si>
  <si>
    <t>B-92</t>
  </si>
  <si>
    <t>52712-08-1</t>
  </si>
  <si>
    <t>787A</t>
  </si>
  <si>
    <t>B-93</t>
  </si>
  <si>
    <t>52712-08-2</t>
  </si>
  <si>
    <t>B-94</t>
  </si>
  <si>
    <t>52712-10-1</t>
  </si>
  <si>
    <t>1529A</t>
  </si>
  <si>
    <t>B-95</t>
  </si>
  <si>
    <t>52712-11-2</t>
  </si>
  <si>
    <t>5110B</t>
  </si>
  <si>
    <t>B-96</t>
  </si>
  <si>
    <t>52712-21-2</t>
  </si>
  <si>
    <t>787B</t>
  </si>
  <si>
    <t>B-97</t>
  </si>
  <si>
    <t>52712-22-1</t>
  </si>
  <si>
    <t>4928B</t>
  </si>
  <si>
    <t>B-98</t>
  </si>
  <si>
    <t>52712-27-3</t>
  </si>
  <si>
    <t>1529B</t>
  </si>
  <si>
    <t>B-99</t>
  </si>
  <si>
    <t>52713-01-1</t>
  </si>
  <si>
    <t>B-100</t>
  </si>
  <si>
    <t>52713-01-2</t>
  </si>
  <si>
    <t>1530A</t>
  </si>
  <si>
    <t>B-101</t>
  </si>
  <si>
    <t>52713-02-1</t>
  </si>
  <si>
    <t>1530B</t>
  </si>
  <si>
    <t>B-102</t>
  </si>
  <si>
    <t>52713-02-2</t>
  </si>
  <si>
    <t>1531A</t>
  </si>
  <si>
    <t>B-103</t>
  </si>
  <si>
    <t>52713-03-1</t>
  </si>
  <si>
    <t>1531B</t>
  </si>
  <si>
    <t>B-104</t>
  </si>
  <si>
    <t>52713-03-2</t>
  </si>
  <si>
    <t>B-105</t>
  </si>
  <si>
    <t>52713-05-1</t>
  </si>
  <si>
    <t>4932A</t>
  </si>
  <si>
    <t>B-106</t>
  </si>
  <si>
    <t>52713-05-2</t>
  </si>
  <si>
    <t>4932B</t>
  </si>
  <si>
    <t>B-107</t>
  </si>
  <si>
    <t>52713-06-1</t>
  </si>
  <si>
    <t>1534A</t>
  </si>
  <si>
    <t>B-108</t>
  </si>
  <si>
    <t>52713-06-2</t>
  </si>
  <si>
    <t>1534B</t>
  </si>
  <si>
    <t>B-109</t>
  </si>
  <si>
    <t>52713-08-1</t>
  </si>
  <si>
    <t>1536A</t>
  </si>
  <si>
    <t>B-110</t>
  </si>
  <si>
    <t>52713-26-1</t>
  </si>
  <si>
    <t>1536B</t>
  </si>
  <si>
    <t>B-111</t>
  </si>
  <si>
    <t>52713-27-1</t>
  </si>
  <si>
    <t>B-112</t>
  </si>
  <si>
    <t>52716-16-3</t>
  </si>
  <si>
    <t>1538A</t>
  </si>
  <si>
    <t>B-113</t>
  </si>
  <si>
    <t>52716-17-4</t>
  </si>
  <si>
    <t>1538B</t>
  </si>
  <si>
    <t>B-114</t>
  </si>
  <si>
    <t>52950-01-1</t>
  </si>
  <si>
    <t>262A</t>
  </si>
  <si>
    <t>B-115</t>
  </si>
  <si>
    <t>52950-01-2</t>
  </si>
  <si>
    <t>1540A</t>
  </si>
  <si>
    <t>B-116</t>
  </si>
  <si>
    <t>52950-05-2</t>
  </si>
  <si>
    <t>262B</t>
  </si>
  <si>
    <t>B-117</t>
  </si>
  <si>
    <t>52950-06-1</t>
  </si>
  <si>
    <t>1540B</t>
  </si>
  <si>
    <t>B-118</t>
  </si>
  <si>
    <t>52950-06-2</t>
  </si>
  <si>
    <t>5123A</t>
  </si>
  <si>
    <t>B-119</t>
  </si>
  <si>
    <t>52950-07-1</t>
  </si>
  <si>
    <t>263A</t>
  </si>
  <si>
    <t>B-120</t>
  </si>
  <si>
    <t>52953-22-1</t>
  </si>
  <si>
    <t>1541A</t>
  </si>
  <si>
    <t>B-121</t>
  </si>
  <si>
    <t>52953-27-1</t>
  </si>
  <si>
    <t>5123B</t>
  </si>
  <si>
    <t>B-122</t>
  </si>
  <si>
    <t>52953-27-2</t>
  </si>
  <si>
    <t>B-123</t>
  </si>
  <si>
    <t>52953-28-1</t>
  </si>
  <si>
    <t>263B</t>
  </si>
  <si>
    <t>B-124</t>
  </si>
  <si>
    <t>52953-28-2</t>
  </si>
  <si>
    <t>1541B</t>
  </si>
  <si>
    <t>B-125</t>
  </si>
  <si>
    <t>52953-29-1</t>
  </si>
  <si>
    <t>5124A</t>
  </si>
  <si>
    <t>B-126</t>
  </si>
  <si>
    <t>52953-29-2</t>
  </si>
  <si>
    <t>264A</t>
  </si>
  <si>
    <t>B-127</t>
  </si>
  <si>
    <t>52953-30-1</t>
  </si>
  <si>
    <t>5124B</t>
  </si>
  <si>
    <t>B-128</t>
  </si>
  <si>
    <t>52953-30-2</t>
  </si>
  <si>
    <t>264B</t>
  </si>
  <si>
    <t>B-129</t>
  </si>
  <si>
    <t>53298-08-1</t>
  </si>
  <si>
    <t>5125A</t>
  </si>
  <si>
    <t>B-130</t>
  </si>
  <si>
    <t>53298-08-2</t>
  </si>
  <si>
    <t>5125B</t>
  </si>
  <si>
    <t>B-131</t>
  </si>
  <si>
    <t>53298-11-1</t>
  </si>
  <si>
    <t>1544A</t>
  </si>
  <si>
    <t>B-132</t>
  </si>
  <si>
    <t>53298-11-2</t>
  </si>
  <si>
    <t>B-133</t>
  </si>
  <si>
    <t>53298-12-1</t>
  </si>
  <si>
    <t>1544B</t>
  </si>
  <si>
    <t>B-134</t>
  </si>
  <si>
    <t>53298-21-1</t>
  </si>
  <si>
    <t>B-135</t>
  </si>
  <si>
    <t>53298-21-2</t>
  </si>
  <si>
    <t>5128A</t>
  </si>
  <si>
    <t>B-136</t>
  </si>
  <si>
    <t>53299-12-1</t>
  </si>
  <si>
    <t>5129A</t>
  </si>
  <si>
    <t>B-137</t>
  </si>
  <si>
    <t>53299-12-2</t>
  </si>
  <si>
    <t>1547A</t>
  </si>
  <si>
    <t>B-138</t>
  </si>
  <si>
    <t>53299-14-1</t>
  </si>
  <si>
    <t>5129B</t>
  </si>
  <si>
    <t>B-139</t>
  </si>
  <si>
    <t>53299-15-1</t>
  </si>
  <si>
    <t>1547B</t>
  </si>
  <si>
    <t>B-140</t>
  </si>
  <si>
    <t>53446-04-1</t>
  </si>
  <si>
    <t>5130A</t>
  </si>
  <si>
    <t>B-141</t>
  </si>
  <si>
    <t>53446-04-2</t>
  </si>
  <si>
    <t>B-142</t>
  </si>
  <si>
    <t>53446-05-1</t>
  </si>
  <si>
    <t>5130B</t>
  </si>
  <si>
    <t>B-143</t>
  </si>
  <si>
    <t>53446-05-2</t>
  </si>
  <si>
    <t>B-144</t>
  </si>
  <si>
    <t>53446-12-2</t>
  </si>
  <si>
    <t>5132A</t>
  </si>
  <si>
    <t>B-145</t>
  </si>
  <si>
    <t>53446-13-1</t>
  </si>
  <si>
    <t>5132B</t>
  </si>
  <si>
    <t>B-146</t>
  </si>
  <si>
    <t>53446-14-1</t>
  </si>
  <si>
    <t>1550B</t>
  </si>
  <si>
    <t>B-147</t>
  </si>
  <si>
    <t>53446-14-2</t>
  </si>
  <si>
    <t>B-148</t>
  </si>
  <si>
    <t>53446-15-1</t>
  </si>
  <si>
    <t>5134A</t>
  </si>
  <si>
    <t>B-149</t>
  </si>
  <si>
    <t>53446-17-1</t>
  </si>
  <si>
    <t>249B</t>
  </si>
  <si>
    <t>B-150</t>
  </si>
  <si>
    <t>53446-17-2</t>
  </si>
  <si>
    <t>5134B</t>
  </si>
  <si>
    <t>B-151</t>
  </si>
  <si>
    <t>53446-18-1</t>
  </si>
  <si>
    <t>742A</t>
  </si>
  <si>
    <t>B-152</t>
  </si>
  <si>
    <t>53446-18-2</t>
  </si>
  <si>
    <t>249A</t>
  </si>
  <si>
    <t>B-153</t>
  </si>
  <si>
    <t>53446-19-1</t>
  </si>
  <si>
    <t>5135A</t>
  </si>
  <si>
    <t>B-154</t>
  </si>
  <si>
    <t>53446-19-2</t>
  </si>
  <si>
    <t>742B</t>
  </si>
  <si>
    <t>B-155</t>
  </si>
  <si>
    <t>53447-28-1</t>
  </si>
  <si>
    <t>5135B</t>
  </si>
  <si>
    <t>C-1</t>
  </si>
  <si>
    <t>34956-28-2</t>
  </si>
  <si>
    <t>C-2</t>
  </si>
  <si>
    <t>36481-19-2</t>
  </si>
  <si>
    <t>248A</t>
  </si>
  <si>
    <t>C-3</t>
  </si>
  <si>
    <t>37536-23-2</t>
  </si>
  <si>
    <t>5136A</t>
  </si>
  <si>
    <t>C-4</t>
  </si>
  <si>
    <t>38160-09-2</t>
  </si>
  <si>
    <t>5136B</t>
  </si>
  <si>
    <t>C-5</t>
  </si>
  <si>
    <t>44359-30-2</t>
  </si>
  <si>
    <t>4896A</t>
  </si>
  <si>
    <t>C-6</t>
  </si>
  <si>
    <t>45302-12-1</t>
  </si>
  <si>
    <t>5137A</t>
  </si>
  <si>
    <t>C-7</t>
  </si>
  <si>
    <t>45302-14-2</t>
  </si>
  <si>
    <t>745A</t>
  </si>
  <si>
    <t>C-8</t>
  </si>
  <si>
    <t>45304-11-2</t>
  </si>
  <si>
    <t>C-9</t>
  </si>
  <si>
    <t>45308-14-2</t>
  </si>
  <si>
    <t>5137B</t>
  </si>
  <si>
    <t>C-10</t>
  </si>
  <si>
    <t>45464-06-1</t>
  </si>
  <si>
    <t>745B</t>
  </si>
  <si>
    <t>C-11</t>
  </si>
  <si>
    <t>48356-13-1</t>
  </si>
  <si>
    <t>C-12</t>
  </si>
  <si>
    <t>48362-02-2</t>
  </si>
  <si>
    <t>C-13</t>
  </si>
  <si>
    <t>48920-24-1</t>
  </si>
  <si>
    <t>C-14</t>
  </si>
  <si>
    <t>48920-25-1</t>
  </si>
  <si>
    <t>C-15</t>
  </si>
  <si>
    <t>48920-26-1</t>
  </si>
  <si>
    <t>5140A</t>
  </si>
  <si>
    <t>C-16</t>
  </si>
  <si>
    <t>48920-26-2</t>
  </si>
  <si>
    <t>C-17</t>
  </si>
  <si>
    <t>48921-26-1</t>
  </si>
  <si>
    <t>244B</t>
  </si>
  <si>
    <t>C-18</t>
  </si>
  <si>
    <t>49638-06-2</t>
  </si>
  <si>
    <t>5140B</t>
  </si>
  <si>
    <t>C-19</t>
  </si>
  <si>
    <t>49639-06-2</t>
  </si>
  <si>
    <t>747A</t>
  </si>
  <si>
    <t>C-20</t>
  </si>
  <si>
    <t>49639-08-2</t>
  </si>
  <si>
    <t>5141A</t>
  </si>
  <si>
    <t>C-21</t>
  </si>
  <si>
    <t>49639-21-1</t>
  </si>
  <si>
    <t>747B</t>
  </si>
  <si>
    <t>C-22</t>
  </si>
  <si>
    <t>49640-05-1</t>
  </si>
  <si>
    <t>5141B</t>
  </si>
  <si>
    <t>C-23</t>
  </si>
  <si>
    <t>49640-08-1</t>
  </si>
  <si>
    <t>5142A</t>
  </si>
  <si>
    <t>C-24</t>
  </si>
  <si>
    <t>49640-09-1</t>
  </si>
  <si>
    <t>749A</t>
  </si>
  <si>
    <t>C-25</t>
  </si>
  <si>
    <t>52712-16-2</t>
  </si>
  <si>
    <t>C-26</t>
  </si>
  <si>
    <t>52950-02-1</t>
  </si>
  <si>
    <t>5142B</t>
  </si>
  <si>
    <t>C-27</t>
  </si>
  <si>
    <t>52950-02-2</t>
  </si>
  <si>
    <t>749B</t>
  </si>
  <si>
    <t>C-28</t>
  </si>
  <si>
    <t>52950-30-1</t>
  </si>
  <si>
    <t>5143A</t>
  </si>
  <si>
    <t>C-29</t>
  </si>
  <si>
    <t>52951-11-1</t>
  </si>
  <si>
    <t>4872A</t>
  </si>
  <si>
    <t>C-30</t>
  </si>
  <si>
    <t>52953-03-1</t>
  </si>
  <si>
    <t>5143B</t>
  </si>
  <si>
    <t>C-31</t>
  </si>
  <si>
    <t>52953-03-2</t>
  </si>
  <si>
    <t>4872B</t>
  </si>
  <si>
    <t>C-32</t>
  </si>
  <si>
    <t>52953-04-1</t>
  </si>
  <si>
    <t>254A</t>
  </si>
  <si>
    <t>C-33</t>
  </si>
  <si>
    <t>52953-08-2</t>
  </si>
  <si>
    <t>5144A</t>
  </si>
  <si>
    <t>C-34</t>
  </si>
  <si>
    <t>53298-12-2</t>
  </si>
  <si>
    <t>C-35</t>
  </si>
  <si>
    <t>53298-23-1</t>
  </si>
  <si>
    <t>254B</t>
  </si>
  <si>
    <t>C-36</t>
  </si>
  <si>
    <t>53298-27-1</t>
  </si>
  <si>
    <t>5144B</t>
  </si>
  <si>
    <t>C-37</t>
  </si>
  <si>
    <t>53298-27-2</t>
  </si>
  <si>
    <t>255A</t>
  </si>
  <si>
    <t>C-38</t>
  </si>
  <si>
    <t>53298-28-2</t>
  </si>
  <si>
    <t>5145A</t>
  </si>
  <si>
    <t>C-39</t>
  </si>
  <si>
    <t>53298-29-1</t>
  </si>
  <si>
    <t>759A</t>
  </si>
  <si>
    <t>C-40</t>
  </si>
  <si>
    <t>53298-29-2</t>
  </si>
  <si>
    <t>4879B</t>
  </si>
  <si>
    <t>C-41</t>
  </si>
  <si>
    <t>53299-01-1</t>
  </si>
  <si>
    <t>C-42</t>
  </si>
  <si>
    <t>53299-01-2</t>
  </si>
  <si>
    <t>5145B</t>
  </si>
  <si>
    <t>C-43</t>
  </si>
  <si>
    <t>53299-02-1</t>
  </si>
  <si>
    <t>759B</t>
  </si>
  <si>
    <t>C-44</t>
  </si>
  <si>
    <t>53299-02-2</t>
  </si>
  <si>
    <t>4874B</t>
  </si>
  <si>
    <t>C-45</t>
  </si>
  <si>
    <t>53299-04-1</t>
  </si>
  <si>
    <t>256A</t>
  </si>
  <si>
    <t>C-46</t>
  </si>
  <si>
    <t>53299-06-1</t>
  </si>
  <si>
    <t>1568A</t>
  </si>
  <si>
    <t>C-47</t>
  </si>
  <si>
    <t>53299-06-2</t>
  </si>
  <si>
    <t>5146A</t>
  </si>
  <si>
    <t>C-48</t>
  </si>
  <si>
    <t>53299-06-3</t>
  </si>
  <si>
    <t>789A</t>
  </si>
  <si>
    <t>C-49</t>
  </si>
  <si>
    <t>53299-18-1</t>
  </si>
  <si>
    <t>256B</t>
  </si>
  <si>
    <t>C-50</t>
  </si>
  <si>
    <t>53299-18-2</t>
  </si>
  <si>
    <t>1568B</t>
  </si>
  <si>
    <t>C-51</t>
  </si>
  <si>
    <t>53299-21-2</t>
  </si>
  <si>
    <t>5146B</t>
  </si>
  <si>
    <t>C-52</t>
  </si>
  <si>
    <t>53446-03-1</t>
  </si>
  <si>
    <t>789B</t>
  </si>
  <si>
    <t>C-53</t>
  </si>
  <si>
    <t>53446-09-2</t>
  </si>
  <si>
    <t>257A</t>
  </si>
  <si>
    <t>C-54</t>
  </si>
  <si>
    <t>53446-23-2</t>
  </si>
  <si>
    <t>C-55</t>
  </si>
  <si>
    <t>53447-01-2</t>
  </si>
  <si>
    <t>5147A</t>
  </si>
  <si>
    <t>C-56</t>
  </si>
  <si>
    <t>53447-02-1</t>
  </si>
  <si>
    <t>257B</t>
  </si>
  <si>
    <t>C-57</t>
  </si>
  <si>
    <t>53449-01-1</t>
  </si>
  <si>
    <t>5147B</t>
  </si>
  <si>
    <t>C-58</t>
  </si>
  <si>
    <t>53449-01-2</t>
  </si>
  <si>
    <t>C-59</t>
  </si>
  <si>
    <t>53449-02-1</t>
  </si>
  <si>
    <t>4877A</t>
  </si>
  <si>
    <t>C-60</t>
  </si>
  <si>
    <t>53449-02-2</t>
  </si>
  <si>
    <t>258A</t>
  </si>
  <si>
    <t>C-61</t>
  </si>
  <si>
    <t>53449-03-1</t>
  </si>
  <si>
    <t>5148A</t>
  </si>
  <si>
    <t>C-62</t>
  </si>
  <si>
    <t>53449-03-2</t>
  </si>
  <si>
    <t>4877B</t>
  </si>
  <si>
    <t>C-63</t>
  </si>
  <si>
    <t>53449-05-1</t>
  </si>
  <si>
    <t>258B</t>
  </si>
  <si>
    <t>C-64</t>
  </si>
  <si>
    <t>53449-05-2</t>
  </si>
  <si>
    <t>5148B</t>
  </si>
  <si>
    <t>C-65</t>
  </si>
  <si>
    <t>53449-06-1</t>
  </si>
  <si>
    <t>4878A</t>
  </si>
  <si>
    <t>C-66</t>
  </si>
  <si>
    <t>53449-06-2</t>
  </si>
  <si>
    <t>5149A</t>
  </si>
  <si>
    <t>C-67</t>
  </si>
  <si>
    <t>53449-08-1</t>
  </si>
  <si>
    <t>4878B</t>
  </si>
  <si>
    <t>C-68</t>
  </si>
  <si>
    <t>53449-08-2</t>
  </si>
  <si>
    <t>5149B</t>
  </si>
  <si>
    <t>C-69</t>
  </si>
  <si>
    <t>53449-09-1</t>
  </si>
  <si>
    <t>4879A</t>
  </si>
  <si>
    <t>C-70</t>
  </si>
  <si>
    <t>53449-09-2</t>
  </si>
  <si>
    <t>260A</t>
  </si>
  <si>
    <t>C-71</t>
  </si>
  <si>
    <t>53449-10-1</t>
  </si>
  <si>
    <t>C-72</t>
  </si>
  <si>
    <t>53449-10-2</t>
  </si>
  <si>
    <t>C-73</t>
  </si>
  <si>
    <t>53449-28-1</t>
  </si>
  <si>
    <t>4880A</t>
  </si>
  <si>
    <t>C-74</t>
  </si>
  <si>
    <t>53913-02-1</t>
  </si>
  <si>
    <t>1485A</t>
  </si>
  <si>
    <t>C-75</t>
  </si>
  <si>
    <t>53913-02-2</t>
  </si>
  <si>
    <t>4880B</t>
  </si>
  <si>
    <t>C-76</t>
  </si>
  <si>
    <t>53913-03-1</t>
  </si>
  <si>
    <t>1485B</t>
  </si>
  <si>
    <t>C-77</t>
  </si>
  <si>
    <t>53913-05-2</t>
  </si>
  <si>
    <t>C-78</t>
  </si>
  <si>
    <t>53915-16-2</t>
  </si>
  <si>
    <t>C-79</t>
  </si>
  <si>
    <t>53915-23-2</t>
  </si>
  <si>
    <t>5171A</t>
  </si>
  <si>
    <t>C-80</t>
  </si>
  <si>
    <t>53916-01-1</t>
  </si>
  <si>
    <t>4883A</t>
  </si>
  <si>
    <t>C-81</t>
  </si>
  <si>
    <t>53916-01-2</t>
  </si>
  <si>
    <t>5171B</t>
  </si>
  <si>
    <t>C-82</t>
  </si>
  <si>
    <t>53916-03-1</t>
  </si>
  <si>
    <t>4883B</t>
  </si>
  <si>
    <t>C-83</t>
  </si>
  <si>
    <t>53916-03-2</t>
  </si>
  <si>
    <t>303A</t>
  </si>
  <si>
    <t>C-84</t>
  </si>
  <si>
    <t>53916-04-1</t>
  </si>
  <si>
    <t>5172A</t>
  </si>
  <si>
    <t>C-85</t>
  </si>
  <si>
    <t>53916-05-1</t>
  </si>
  <si>
    <t>C-86</t>
  </si>
  <si>
    <t>53916-06-1</t>
  </si>
  <si>
    <t>5172B</t>
  </si>
  <si>
    <t>C-87</t>
  </si>
  <si>
    <t>53916-06-2</t>
  </si>
  <si>
    <t>4884B</t>
  </si>
  <si>
    <t>C-88</t>
  </si>
  <si>
    <t>53916-08-1</t>
  </si>
  <si>
    <t>5173A</t>
  </si>
  <si>
    <t>C-89</t>
  </si>
  <si>
    <t>53916-08-2</t>
  </si>
  <si>
    <t>C-90</t>
  </si>
  <si>
    <t>53916-09-1</t>
  </si>
  <si>
    <t>5173B</t>
  </si>
  <si>
    <t>C-91</t>
  </si>
  <si>
    <t>53916-09-2</t>
  </si>
  <si>
    <t>C-92</t>
  </si>
  <si>
    <t>53916-10-1</t>
  </si>
  <si>
    <t>5176A</t>
  </si>
  <si>
    <t>C-93</t>
  </si>
  <si>
    <t>53916-10-2</t>
  </si>
  <si>
    <t>C-94</t>
  </si>
  <si>
    <t>53916-23-1</t>
  </si>
  <si>
    <t>5174B</t>
  </si>
  <si>
    <t>C-95</t>
  </si>
  <si>
    <t>53917-16-1</t>
  </si>
  <si>
    <t>4887A</t>
  </si>
  <si>
    <t>C-96</t>
  </si>
  <si>
    <t>53917-16-2</t>
  </si>
  <si>
    <t>5175A</t>
  </si>
  <si>
    <t>C-97</t>
  </si>
  <si>
    <t>53917-23-1</t>
  </si>
  <si>
    <t>307B</t>
  </si>
  <si>
    <t>C-98</t>
  </si>
  <si>
    <t>53919-15-1</t>
  </si>
  <si>
    <t>5175B</t>
  </si>
  <si>
    <t>C-99</t>
  </si>
  <si>
    <t>53919-15-2</t>
  </si>
  <si>
    <t>4887C</t>
  </si>
  <si>
    <t>C-100</t>
  </si>
  <si>
    <t>53919-16-1</t>
  </si>
  <si>
    <t>1494A</t>
  </si>
  <si>
    <t>C-101</t>
  </si>
  <si>
    <t>53919-16-2</t>
  </si>
  <si>
    <t>C-102</t>
  </si>
  <si>
    <t>53920-05-1</t>
  </si>
  <si>
    <t>1494B</t>
  </si>
  <si>
    <t>C-103</t>
  </si>
  <si>
    <t>53920-05-2</t>
  </si>
  <si>
    <t>5176B</t>
  </si>
  <si>
    <t>C-104</t>
  </si>
  <si>
    <t>53920-28-1</t>
  </si>
  <si>
    <t>488B</t>
  </si>
  <si>
    <t>C-105</t>
  </si>
  <si>
    <t>53920-28-2</t>
  </si>
  <si>
    <t>5177A</t>
  </si>
  <si>
    <t>C-106</t>
  </si>
  <si>
    <t>54396-07-1</t>
  </si>
  <si>
    <t>C-107</t>
  </si>
  <si>
    <t>54396-07-2</t>
  </si>
  <si>
    <t>C-108</t>
  </si>
  <si>
    <t>54396-08-1</t>
  </si>
  <si>
    <t>5178A</t>
  </si>
  <si>
    <t>C-109</t>
  </si>
  <si>
    <t>54396-12-1</t>
  </si>
  <si>
    <t>4891A</t>
  </si>
  <si>
    <t>C-110</t>
  </si>
  <si>
    <t>54396-12-2</t>
  </si>
  <si>
    <t>1497A</t>
  </si>
  <si>
    <t>C-111</t>
  </si>
  <si>
    <t>54399-15-1</t>
  </si>
  <si>
    <t>5178B</t>
  </si>
  <si>
    <t>C-112</t>
  </si>
  <si>
    <t>54399-17-2</t>
  </si>
  <si>
    <t>4891B</t>
  </si>
  <si>
    <t>C-113</t>
  </si>
  <si>
    <t>54399-19-1</t>
  </si>
  <si>
    <t>1497B</t>
  </si>
  <si>
    <t>C-114</t>
  </si>
  <si>
    <t>54400-03-1</t>
  </si>
  <si>
    <t>C-115</t>
  </si>
  <si>
    <t>54400-04-1</t>
  </si>
  <si>
    <t>C-116</t>
  </si>
  <si>
    <t>54400-04-2</t>
  </si>
  <si>
    <t>C-117</t>
  </si>
  <si>
    <t>54400-05-1</t>
  </si>
  <si>
    <t>5179B</t>
  </si>
  <si>
    <t>C-118</t>
  </si>
  <si>
    <t>54400-05-2</t>
  </si>
  <si>
    <t>4869A</t>
  </si>
  <si>
    <t>C-119</t>
  </si>
  <si>
    <t>54400-07-1</t>
  </si>
  <si>
    <t>C-120</t>
  </si>
  <si>
    <t>54400-07-2</t>
  </si>
  <si>
    <t>5180A</t>
  </si>
  <si>
    <t>C-121</t>
  </si>
  <si>
    <t>54400-08-1</t>
  </si>
  <si>
    <t>4869B</t>
  </si>
  <si>
    <t>C-122</t>
  </si>
  <si>
    <t>54400-08-2</t>
  </si>
  <si>
    <t>5180B</t>
  </si>
  <si>
    <t>C-123</t>
  </si>
  <si>
    <t>54400-18-1</t>
  </si>
  <si>
    <t>C-124</t>
  </si>
  <si>
    <t>54400-18-2</t>
  </si>
  <si>
    <t>4871A</t>
  </si>
  <si>
    <t>C-125</t>
  </si>
  <si>
    <t>54400-20-1</t>
  </si>
  <si>
    <t>1554A</t>
  </si>
  <si>
    <t>C-126</t>
  </si>
  <si>
    <t>54400-20-2</t>
  </si>
  <si>
    <t>5181B</t>
  </si>
  <si>
    <t>C-127</t>
  </si>
  <si>
    <t>54400-22-1</t>
  </si>
  <si>
    <t>1554B</t>
  </si>
  <si>
    <t>C-128</t>
  </si>
  <si>
    <t>54400-22-2</t>
  </si>
  <si>
    <t>C-129</t>
  </si>
  <si>
    <t>54400-23-1</t>
  </si>
  <si>
    <t>5111A</t>
  </si>
  <si>
    <t>C-130</t>
  </si>
  <si>
    <t>54400-24-1</t>
  </si>
  <si>
    <t>315B</t>
  </si>
  <si>
    <t>C-131</t>
  </si>
  <si>
    <t>54402-24-1</t>
  </si>
  <si>
    <t>C-132</t>
  </si>
  <si>
    <t>54403-06-1</t>
  </si>
  <si>
    <t>5183A</t>
  </si>
  <si>
    <t>C-133</t>
  </si>
  <si>
    <t>54403-14-1</t>
  </si>
  <si>
    <t>5111B</t>
  </si>
  <si>
    <t>C-134</t>
  </si>
  <si>
    <t>54403-14-2</t>
  </si>
  <si>
    <t>5183B</t>
  </si>
  <si>
    <t>C-135</t>
  </si>
  <si>
    <t>54403-21-1</t>
  </si>
  <si>
    <t>5112A</t>
  </si>
  <si>
    <t>C-136</t>
  </si>
  <si>
    <t>54403-24-1</t>
  </si>
  <si>
    <t>316B</t>
  </si>
  <si>
    <t>C-137</t>
  </si>
  <si>
    <t>54403-24-2</t>
  </si>
  <si>
    <t>C-138</t>
  </si>
  <si>
    <t>54403-24-4</t>
  </si>
  <si>
    <t>317A</t>
  </si>
  <si>
    <t>C-139</t>
  </si>
  <si>
    <t>54403-25-1</t>
  </si>
  <si>
    <t>C-140</t>
  </si>
  <si>
    <t>54403-25-2</t>
  </si>
  <si>
    <t>4847A</t>
  </si>
  <si>
    <t>C-141</t>
  </si>
  <si>
    <t>54403-28-1</t>
  </si>
  <si>
    <t>317B</t>
  </si>
  <si>
    <t>C-142</t>
  </si>
  <si>
    <t>54403-28-2</t>
  </si>
  <si>
    <t>C-143</t>
  </si>
  <si>
    <t>54403-29-1</t>
  </si>
  <si>
    <t>4847B</t>
  </si>
  <si>
    <t>C-144</t>
  </si>
  <si>
    <t>54403-29-2</t>
  </si>
  <si>
    <t>318A</t>
  </si>
  <si>
    <t>C-145</t>
  </si>
  <si>
    <t>54404-03-4</t>
  </si>
  <si>
    <t>C-146</t>
  </si>
  <si>
    <t>54404-20-1</t>
  </si>
  <si>
    <t>C-147</t>
  </si>
  <si>
    <t>54404-21-1</t>
  </si>
  <si>
    <t>318B</t>
  </si>
  <si>
    <t>D-1</t>
  </si>
  <si>
    <t>34956-28-1</t>
  </si>
  <si>
    <t>D-2</t>
  </si>
  <si>
    <t>45302-04-1</t>
  </si>
  <si>
    <t>4849A</t>
  </si>
  <si>
    <t>D-3</t>
  </si>
  <si>
    <t>45302-12-2</t>
  </si>
  <si>
    <t>319A</t>
  </si>
  <si>
    <t>D-4</t>
  </si>
  <si>
    <t>45468-20-2</t>
  </si>
  <si>
    <t>5189A</t>
  </si>
  <si>
    <t>D-5</t>
  </si>
  <si>
    <t>45468-24-1</t>
  </si>
  <si>
    <t>4849B</t>
  </si>
  <si>
    <t>D-6</t>
  </si>
  <si>
    <t>45468-25-2</t>
  </si>
  <si>
    <t>5189B</t>
  </si>
  <si>
    <t>D-7</t>
  </si>
  <si>
    <t>48356-12-1</t>
  </si>
  <si>
    <t>D-8</t>
  </si>
  <si>
    <t>48915-11-4</t>
  </si>
  <si>
    <t>D-9</t>
  </si>
  <si>
    <t>48915-17-2</t>
  </si>
  <si>
    <t>4851A</t>
  </si>
  <si>
    <t>D-10</t>
  </si>
  <si>
    <t>48915-19-2</t>
  </si>
  <si>
    <t>4851B</t>
  </si>
  <si>
    <t>D-11</t>
  </si>
  <si>
    <t>48915-21-1</t>
  </si>
  <si>
    <t>D-12</t>
  </si>
  <si>
    <t>48915-27-2</t>
  </si>
  <si>
    <t>322A</t>
  </si>
  <si>
    <t>D-13</t>
  </si>
  <si>
    <t>48917-28-1</t>
  </si>
  <si>
    <t>D-14</t>
  </si>
  <si>
    <t>48920-16-1</t>
  </si>
  <si>
    <t>3035B</t>
  </si>
  <si>
    <t>D-15</t>
  </si>
  <si>
    <t>48920-22-1</t>
  </si>
  <si>
    <t>D-16</t>
  </si>
  <si>
    <t>48920-25-2</t>
  </si>
  <si>
    <t>4864B</t>
  </si>
  <si>
    <t>D-17</t>
  </si>
  <si>
    <t>48920-28-2</t>
  </si>
  <si>
    <t>4865A</t>
  </si>
  <si>
    <t>D-18</t>
  </si>
  <si>
    <t>48920-29-1</t>
  </si>
  <si>
    <t>4865B</t>
  </si>
  <si>
    <t>D-19</t>
  </si>
  <si>
    <t>48921-08-1</t>
  </si>
  <si>
    <t>324A</t>
  </si>
  <si>
    <t>D-20</t>
  </si>
  <si>
    <t>49638-17-1</t>
  </si>
  <si>
    <t>4866A</t>
  </si>
  <si>
    <t>D-21</t>
  </si>
  <si>
    <t>49638-27-2</t>
  </si>
  <si>
    <t>324B</t>
  </si>
  <si>
    <t>D-22</t>
  </si>
  <si>
    <t>49640-19-2</t>
  </si>
  <si>
    <t>D-23</t>
  </si>
  <si>
    <t>49645-06-1</t>
  </si>
  <si>
    <t>326A</t>
  </si>
  <si>
    <t>D-24</t>
  </si>
  <si>
    <t>52713-13-1</t>
  </si>
  <si>
    <t>4867A</t>
  </si>
  <si>
    <t>D-25</t>
  </si>
  <si>
    <t>52713-13-2</t>
  </si>
  <si>
    <t>326B</t>
  </si>
  <si>
    <t>D-26</t>
  </si>
  <si>
    <t>52713-14-1</t>
  </si>
  <si>
    <t>4867B</t>
  </si>
  <si>
    <t>D-27</t>
  </si>
  <si>
    <t>52713-15-1</t>
  </si>
  <si>
    <t>327A</t>
  </si>
  <si>
    <t>D-28</t>
  </si>
  <si>
    <t>52713-16-1</t>
  </si>
  <si>
    <t>327B</t>
  </si>
  <si>
    <t>D-29</t>
  </si>
  <si>
    <t>52713-17-1</t>
  </si>
  <si>
    <t>4854A</t>
  </si>
  <si>
    <t>D-30</t>
  </si>
  <si>
    <t>52713-18-1</t>
  </si>
  <si>
    <t>4854B</t>
  </si>
  <si>
    <t>D-31</t>
  </si>
  <si>
    <t>52713-18-2</t>
  </si>
  <si>
    <t>4855A</t>
  </si>
  <si>
    <t>D-32</t>
  </si>
  <si>
    <t>52713-19-1</t>
  </si>
  <si>
    <t>4855B</t>
  </si>
  <si>
    <t>D-33</t>
  </si>
  <si>
    <t>52713-20-1</t>
  </si>
  <si>
    <t>D-34</t>
  </si>
  <si>
    <t>52713-20-2</t>
  </si>
  <si>
    <t>D-35</t>
  </si>
  <si>
    <t>52713-21-1</t>
  </si>
  <si>
    <t>D-36</t>
  </si>
  <si>
    <t>52713-22-1</t>
  </si>
  <si>
    <t>D-37</t>
  </si>
  <si>
    <t>52713-22-2</t>
  </si>
  <si>
    <t>D-38</t>
  </si>
  <si>
    <t>52713-24-1</t>
  </si>
  <si>
    <t>234B</t>
  </si>
  <si>
    <t>D-39</t>
  </si>
  <si>
    <t>52950-10-1</t>
  </si>
  <si>
    <t>D-40</t>
  </si>
  <si>
    <t>52950-11-1</t>
  </si>
  <si>
    <t>4860A</t>
  </si>
  <si>
    <t>D-41</t>
  </si>
  <si>
    <t>52950-12-1</t>
  </si>
  <si>
    <t>4659A</t>
  </si>
  <si>
    <t>D-42</t>
  </si>
  <si>
    <t>52950-17-1</t>
  </si>
  <si>
    <t>4862A</t>
  </si>
  <si>
    <t>D-43</t>
  </si>
  <si>
    <t>52950-18-1</t>
  </si>
  <si>
    <t>072A</t>
  </si>
  <si>
    <t>D-44</t>
  </si>
  <si>
    <t>52950-19-1</t>
  </si>
  <si>
    <t>4862B</t>
  </si>
  <si>
    <t>D-45</t>
  </si>
  <si>
    <t>52950-20-1</t>
  </si>
  <si>
    <t>072B</t>
  </si>
  <si>
    <t>D-46</t>
  </si>
  <si>
    <t>52950-20-2</t>
  </si>
  <si>
    <t>073A</t>
  </si>
  <si>
    <t>D-47</t>
  </si>
  <si>
    <t>52950-22-2</t>
  </si>
  <si>
    <t>073B</t>
  </si>
  <si>
    <t>D-48</t>
  </si>
  <si>
    <t>52950-23-2</t>
  </si>
  <si>
    <t>075A</t>
  </si>
  <si>
    <t>D-49</t>
  </si>
  <si>
    <t>52950-29-1</t>
  </si>
  <si>
    <t>075B</t>
  </si>
  <si>
    <t>D-50</t>
  </si>
  <si>
    <t>52950-29-2</t>
  </si>
  <si>
    <t>076A</t>
  </si>
  <si>
    <t>D-51</t>
  </si>
  <si>
    <t>52953-01-1</t>
  </si>
  <si>
    <t>076B</t>
  </si>
  <si>
    <t>D-52</t>
  </si>
  <si>
    <t>52953-02-1</t>
  </si>
  <si>
    <t>D-53</t>
  </si>
  <si>
    <t>53298-23-2</t>
  </si>
  <si>
    <t>D-54</t>
  </si>
  <si>
    <t>53446-30-1</t>
  </si>
  <si>
    <t>D-55</t>
  </si>
  <si>
    <t>53447-01-1</t>
  </si>
  <si>
    <t>D-56</t>
  </si>
  <si>
    <t>53447-02-2</t>
  </si>
  <si>
    <t>081A</t>
  </si>
  <si>
    <t>D-57</t>
  </si>
  <si>
    <t>53448-10-1</t>
  </si>
  <si>
    <t>081B</t>
  </si>
  <si>
    <t>D-58</t>
  </si>
  <si>
    <t>53448-12-1</t>
  </si>
  <si>
    <t>082B</t>
  </si>
  <si>
    <t>D-59</t>
  </si>
  <si>
    <t>53448-12-2</t>
  </si>
  <si>
    <t>083B</t>
  </si>
  <si>
    <t>D-60</t>
  </si>
  <si>
    <t>53448-15-1</t>
  </si>
  <si>
    <t>D-61</t>
  </si>
  <si>
    <t>53448-20-1</t>
  </si>
  <si>
    <t>085A</t>
  </si>
  <si>
    <t>D-62</t>
  </si>
  <si>
    <t>53448-21-1</t>
  </si>
  <si>
    <t>085B</t>
  </si>
  <si>
    <t>D-63</t>
  </si>
  <si>
    <t>53449-28-2</t>
  </si>
  <si>
    <t>1270A</t>
  </si>
  <si>
    <t>D-64</t>
  </si>
  <si>
    <t>53912-13-1</t>
  </si>
  <si>
    <t>5085B</t>
  </si>
  <si>
    <t>D-65</t>
  </si>
  <si>
    <t>53912-19-1</t>
  </si>
  <si>
    <t>1270B</t>
  </si>
  <si>
    <t>D-66</t>
  </si>
  <si>
    <t>53912-20-1</t>
  </si>
  <si>
    <t>D-67</t>
  </si>
  <si>
    <t>53912-21-1</t>
  </si>
  <si>
    <t>5087A</t>
  </si>
  <si>
    <t>D-68</t>
  </si>
  <si>
    <t>53912-22-1</t>
  </si>
  <si>
    <t>088B</t>
  </si>
  <si>
    <t>D-69</t>
  </si>
  <si>
    <t>53912-22-2</t>
  </si>
  <si>
    <t>089A</t>
  </si>
  <si>
    <t>D-70</t>
  </si>
  <si>
    <t>53912-23-1</t>
  </si>
  <si>
    <t>089B</t>
  </si>
  <si>
    <t>D-71</t>
  </si>
  <si>
    <t>53912-29-1</t>
  </si>
  <si>
    <t>D-72</t>
  </si>
  <si>
    <t>53913-13-1</t>
  </si>
  <si>
    <t>D-73</t>
  </si>
  <si>
    <t>53913-18-1</t>
  </si>
  <si>
    <t>1277A</t>
  </si>
  <si>
    <t>D-74</t>
  </si>
  <si>
    <t>53913-19-1</t>
  </si>
  <si>
    <t>1277B</t>
  </si>
  <si>
    <t>D-75</t>
  </si>
  <si>
    <t>53913-19-2</t>
  </si>
  <si>
    <t>D-76</t>
  </si>
  <si>
    <t>53913-20-1</t>
  </si>
  <si>
    <t>D-77</t>
  </si>
  <si>
    <t>53913-21-1</t>
  </si>
  <si>
    <t>D-78</t>
  </si>
  <si>
    <t>53913-21-2</t>
  </si>
  <si>
    <t>D-79</t>
  </si>
  <si>
    <t>53913-22-1</t>
  </si>
  <si>
    <t>D-80</t>
  </si>
  <si>
    <t>53913-23-1</t>
  </si>
  <si>
    <t>1284A</t>
  </si>
  <si>
    <t>D-81</t>
  </si>
  <si>
    <t>53913-23-2</t>
  </si>
  <si>
    <t>093A</t>
  </si>
  <si>
    <t>D-82</t>
  </si>
  <si>
    <t>53913-24-1</t>
  </si>
  <si>
    <t>1284B</t>
  </si>
  <si>
    <t>D-83</t>
  </si>
  <si>
    <t>53913-24-2</t>
  </si>
  <si>
    <t>093B</t>
  </si>
  <si>
    <t>D-84</t>
  </si>
  <si>
    <t>53913-25-1</t>
  </si>
  <si>
    <t>D-85</t>
  </si>
  <si>
    <t>53913-25-2</t>
  </si>
  <si>
    <t>1286A</t>
  </si>
  <si>
    <t>D-86</t>
  </si>
  <si>
    <t>53913-26-1</t>
  </si>
  <si>
    <t>4737A</t>
  </si>
  <si>
    <t>D-87</t>
  </si>
  <si>
    <t>53913-26-2</t>
  </si>
  <si>
    <t>1286B</t>
  </si>
  <si>
    <t>D-88</t>
  </si>
  <si>
    <t>53915-26-2</t>
  </si>
  <si>
    <t>095A</t>
  </si>
  <si>
    <t>D-89</t>
  </si>
  <si>
    <t>53916-16-2</t>
  </si>
  <si>
    <t>095B</t>
  </si>
  <si>
    <t>D-90</t>
  </si>
  <si>
    <t>53916-20-1</t>
  </si>
  <si>
    <t>1288A</t>
  </si>
  <si>
    <t>D-91</t>
  </si>
  <si>
    <t>53917-10-1</t>
  </si>
  <si>
    <t>096A</t>
  </si>
  <si>
    <t>D-92</t>
  </si>
  <si>
    <t>53917-10-2</t>
  </si>
  <si>
    <t>1443B</t>
  </si>
  <si>
    <t>D-93</t>
  </si>
  <si>
    <t>53917-11-2</t>
  </si>
  <si>
    <t>096B</t>
  </si>
  <si>
    <t>D-94</t>
  </si>
  <si>
    <t>53917-12-1</t>
  </si>
  <si>
    <t>1445A</t>
  </si>
  <si>
    <t>D-95</t>
  </si>
  <si>
    <t>53917-12-2</t>
  </si>
  <si>
    <t>1445B</t>
  </si>
  <si>
    <t>D-96</t>
  </si>
  <si>
    <t>53917-13-1</t>
  </si>
  <si>
    <t>D-97</t>
  </si>
  <si>
    <t>53917-13-2</t>
  </si>
  <si>
    <t>099A</t>
  </si>
  <si>
    <t>D-98</t>
  </si>
  <si>
    <t>53917-15-2</t>
  </si>
  <si>
    <t>099B</t>
  </si>
  <si>
    <t>D-99</t>
  </si>
  <si>
    <t>53917-17-1</t>
  </si>
  <si>
    <t>155A</t>
  </si>
  <si>
    <t>D-100</t>
  </si>
  <si>
    <t>53917-18-1</t>
  </si>
  <si>
    <t>155B</t>
  </si>
  <si>
    <t>D-101</t>
  </si>
  <si>
    <t>53917-18-2</t>
  </si>
  <si>
    <t>D-102</t>
  </si>
  <si>
    <t>53917-19-1</t>
  </si>
  <si>
    <t>164A</t>
  </si>
  <si>
    <t>D-103</t>
  </si>
  <si>
    <t>53917-20-1</t>
  </si>
  <si>
    <t>164B</t>
  </si>
  <si>
    <t>D-104</t>
  </si>
  <si>
    <t>53917-20-2</t>
  </si>
  <si>
    <t>190A</t>
  </si>
  <si>
    <t>D-105</t>
  </si>
  <si>
    <t>53917-21-1</t>
  </si>
  <si>
    <t>190B</t>
  </si>
  <si>
    <t>D-106</t>
  </si>
  <si>
    <t>53917-21-2</t>
  </si>
  <si>
    <t>203A</t>
  </si>
  <si>
    <t>D-107</t>
  </si>
  <si>
    <t>53917-23-2</t>
  </si>
  <si>
    <t>207A</t>
  </si>
  <si>
    <t>D-108</t>
  </si>
  <si>
    <t>53917-03-1</t>
  </si>
  <si>
    <t>207B</t>
  </si>
  <si>
    <t>D-109</t>
  </si>
  <si>
    <t>53917-06-1</t>
  </si>
  <si>
    <t>5099A</t>
  </si>
  <si>
    <t>D-110</t>
  </si>
  <si>
    <t>53917-06-2</t>
  </si>
  <si>
    <t>5099B</t>
  </si>
  <si>
    <t>D-111</t>
  </si>
  <si>
    <t>53917-07-2</t>
  </si>
  <si>
    <t>1129B</t>
  </si>
  <si>
    <t>D-112</t>
  </si>
  <si>
    <t>53919-13-1</t>
  </si>
  <si>
    <t>D-113</t>
  </si>
  <si>
    <t>53919-28-2</t>
  </si>
  <si>
    <t>D-114</t>
  </si>
  <si>
    <t>54396-23-1</t>
  </si>
  <si>
    <t>D-115</t>
  </si>
  <si>
    <t>54396-25-1</t>
  </si>
  <si>
    <t>5102A</t>
  </si>
  <si>
    <t>D-116</t>
  </si>
  <si>
    <t>54396-25-2</t>
  </si>
  <si>
    <t>D-117</t>
  </si>
  <si>
    <t>54396-26-1</t>
  </si>
  <si>
    <t>146A</t>
  </si>
  <si>
    <t>D-118</t>
  </si>
  <si>
    <t>54396-26-2</t>
  </si>
  <si>
    <t>146B</t>
  </si>
  <si>
    <t>D-119</t>
  </si>
  <si>
    <t>54396-27-1</t>
  </si>
  <si>
    <t>147A</t>
  </si>
  <si>
    <t>D-120</t>
  </si>
  <si>
    <t>54399-10-1</t>
  </si>
  <si>
    <t>D-121</t>
  </si>
  <si>
    <t>54399-02-1</t>
  </si>
  <si>
    <t>4729A</t>
  </si>
  <si>
    <t>D-122</t>
  </si>
  <si>
    <t>54400-14-1</t>
  </si>
  <si>
    <t>147B</t>
  </si>
  <si>
    <t>D-123</t>
  </si>
  <si>
    <t>54400-03-2</t>
  </si>
  <si>
    <t>1136A</t>
  </si>
  <si>
    <t>D-124</t>
  </si>
  <si>
    <t>54400-27-1</t>
  </si>
  <si>
    <t>148A</t>
  </si>
  <si>
    <t>D-125</t>
  </si>
  <si>
    <t>54400-30-1</t>
  </si>
  <si>
    <t>1136B</t>
  </si>
  <si>
    <t>D-126</t>
  </si>
  <si>
    <t>54401-01-1</t>
  </si>
  <si>
    <t>148B</t>
  </si>
  <si>
    <t>D-127</t>
  </si>
  <si>
    <t>54401-12-1</t>
  </si>
  <si>
    <t>D-128</t>
  </si>
  <si>
    <t>54401-12-2</t>
  </si>
  <si>
    <t>150A</t>
  </si>
  <si>
    <t>D-129</t>
  </si>
  <si>
    <t>54401-14-1</t>
  </si>
  <si>
    <t>150B</t>
  </si>
  <si>
    <t>D-130</t>
  </si>
  <si>
    <t>54401-14-2</t>
  </si>
  <si>
    <t>151A</t>
  </si>
  <si>
    <t>D-131</t>
  </si>
  <si>
    <t>54401-16-1</t>
  </si>
  <si>
    <t>151B</t>
  </si>
  <si>
    <t>D-132</t>
  </si>
  <si>
    <t>54401-16-2</t>
  </si>
  <si>
    <t>D-133</t>
  </si>
  <si>
    <t>54401-19-1</t>
  </si>
  <si>
    <t>152A</t>
  </si>
  <si>
    <t>D-134</t>
  </si>
  <si>
    <t>54401-02-1</t>
  </si>
  <si>
    <t>152B</t>
  </si>
  <si>
    <t>D-135</t>
  </si>
  <si>
    <t>54401-02-2</t>
  </si>
  <si>
    <t>153A</t>
  </si>
  <si>
    <t>D-136</t>
  </si>
  <si>
    <t>54401-20-1</t>
  </si>
  <si>
    <t>153B</t>
  </si>
  <si>
    <t>D-137</t>
  </si>
  <si>
    <t>54401-21-1</t>
  </si>
  <si>
    <t>D-138</t>
  </si>
  <si>
    <t>54401-21-2</t>
  </si>
  <si>
    <t>4841A</t>
  </si>
  <si>
    <t>D-139</t>
  </si>
  <si>
    <t>54401-22-1</t>
  </si>
  <si>
    <t>D-140</t>
  </si>
  <si>
    <t>54401-22-2</t>
  </si>
  <si>
    <t>4779B</t>
  </si>
  <si>
    <t>D-141</t>
  </si>
  <si>
    <t>54401-23-1</t>
  </si>
  <si>
    <t>D-142</t>
  </si>
  <si>
    <t>54401-23-2</t>
  </si>
  <si>
    <t>4844A</t>
  </si>
  <si>
    <t>D-143</t>
  </si>
  <si>
    <t>54401-26-1</t>
  </si>
  <si>
    <t>4782B</t>
  </si>
  <si>
    <t>D-144</t>
  </si>
  <si>
    <t>54401-27-1</t>
  </si>
  <si>
    <t>D-145</t>
  </si>
  <si>
    <t>54401-28-1</t>
  </si>
  <si>
    <t>008A</t>
  </si>
  <si>
    <t>D-146</t>
  </si>
  <si>
    <t>54401-28-2</t>
  </si>
  <si>
    <t>008B</t>
  </si>
  <si>
    <t>D-147</t>
  </si>
  <si>
    <t>54401-29-1</t>
  </si>
  <si>
    <t>009A</t>
  </si>
  <si>
    <t>D-148</t>
  </si>
  <si>
    <t>54401-04-1</t>
  </si>
  <si>
    <t>D-149</t>
  </si>
  <si>
    <t>54402-19-1</t>
  </si>
  <si>
    <t>009B</t>
  </si>
  <si>
    <t>D-150</t>
  </si>
  <si>
    <t>54402-23-1</t>
  </si>
  <si>
    <t>D-151</t>
  </si>
  <si>
    <t>54402-23-2</t>
  </si>
  <si>
    <t>D-152</t>
  </si>
  <si>
    <t>54402-25-1</t>
  </si>
  <si>
    <t>D-153</t>
  </si>
  <si>
    <t>54402-25-2</t>
  </si>
  <si>
    <t>4787A</t>
  </si>
  <si>
    <t>D-154</t>
  </si>
  <si>
    <t>54402-27-1</t>
  </si>
  <si>
    <t>023A</t>
  </si>
  <si>
    <t>D-155</t>
  </si>
  <si>
    <t>54402-27-2</t>
  </si>
  <si>
    <t>4787B</t>
  </si>
  <si>
    <t>D-156</t>
  </si>
  <si>
    <t>54402-28-1</t>
  </si>
  <si>
    <t>023B</t>
  </si>
  <si>
    <t>D-157</t>
  </si>
  <si>
    <t>54402-08-1</t>
  </si>
  <si>
    <t>024A</t>
  </si>
  <si>
    <t>D-158</t>
  </si>
  <si>
    <t>54402-01-1</t>
  </si>
  <si>
    <t>4789A</t>
  </si>
  <si>
    <t>D-159</t>
  </si>
  <si>
    <t>54402-01-2</t>
  </si>
  <si>
    <t>024B</t>
  </si>
  <si>
    <t>D-160</t>
  </si>
  <si>
    <t>54402-01-3</t>
  </si>
  <si>
    <t>4789B</t>
  </si>
  <si>
    <t>D-161</t>
  </si>
  <si>
    <t>54402-14-1</t>
  </si>
  <si>
    <t>1157A</t>
  </si>
  <si>
    <t>D-162</t>
  </si>
  <si>
    <t>54402-17-1</t>
  </si>
  <si>
    <t>026A</t>
  </si>
  <si>
    <t>D-163</t>
  </si>
  <si>
    <t>54402-17-2</t>
  </si>
  <si>
    <t>1157B</t>
  </si>
  <si>
    <t>D-164</t>
  </si>
  <si>
    <t>54403-01-1</t>
  </si>
  <si>
    <t>026B</t>
  </si>
  <si>
    <t>D-165</t>
  </si>
  <si>
    <t>54403-02-1</t>
  </si>
  <si>
    <t>D-166</t>
  </si>
  <si>
    <t>54404-03-1</t>
  </si>
  <si>
    <t>D-167</t>
  </si>
  <si>
    <t>54405-01-1</t>
  </si>
  <si>
    <t>028A</t>
  </si>
  <si>
    <t>D-168</t>
  </si>
  <si>
    <t>54405-01-2</t>
  </si>
  <si>
    <t>028B</t>
  </si>
  <si>
    <t>D-169</t>
  </si>
  <si>
    <t>54405-10-1</t>
  </si>
  <si>
    <t>1161A</t>
  </si>
  <si>
    <t>D-170</t>
  </si>
  <si>
    <t>54405-02-1</t>
  </si>
  <si>
    <t>1161B</t>
  </si>
  <si>
    <t>D-171</t>
  </si>
  <si>
    <t>54405-03-1</t>
  </si>
  <si>
    <t>1162A</t>
  </si>
  <si>
    <t>D-172</t>
  </si>
  <si>
    <t>54405-03-2</t>
  </si>
  <si>
    <t>032A</t>
  </si>
  <si>
    <t>D-173</t>
  </si>
  <si>
    <t>54405-04-1</t>
  </si>
  <si>
    <t>1162B</t>
  </si>
  <si>
    <t>D-174</t>
  </si>
  <si>
    <t>54405-04-2</t>
  </si>
  <si>
    <t>032B</t>
  </si>
  <si>
    <t>D-175</t>
  </si>
  <si>
    <t>54405-05-1</t>
  </si>
  <si>
    <t>012A</t>
  </si>
  <si>
    <t>D-176</t>
  </si>
  <si>
    <t>54405-22-1</t>
  </si>
  <si>
    <t>1164A</t>
  </si>
  <si>
    <t>D-177</t>
  </si>
  <si>
    <t>54405-24-1</t>
  </si>
  <si>
    <t>D-178</t>
  </si>
  <si>
    <t>54405-25-1</t>
  </si>
  <si>
    <t>012B</t>
  </si>
  <si>
    <t>D-179</t>
  </si>
  <si>
    <t>54405-25-2</t>
  </si>
  <si>
    <t>1164B</t>
  </si>
  <si>
    <t>D-180</t>
  </si>
  <si>
    <t>54405-26-1</t>
  </si>
  <si>
    <t>D-181</t>
  </si>
  <si>
    <t>54405-28-1</t>
  </si>
  <si>
    <t>013A</t>
  </si>
  <si>
    <t>D-182</t>
  </si>
  <si>
    <t>54405-28-2</t>
  </si>
  <si>
    <t>1165A</t>
  </si>
  <si>
    <t>D-183</t>
  </si>
  <si>
    <t>54405-28-4</t>
  </si>
  <si>
    <t>013B</t>
  </si>
  <si>
    <t>D-184</t>
  </si>
  <si>
    <t>54405-29-1</t>
  </si>
  <si>
    <t>1165B</t>
  </si>
  <si>
    <t>2117B</t>
  </si>
  <si>
    <t>1167A</t>
  </si>
  <si>
    <t>VOL</t>
  </si>
  <si>
    <t>VOLUME (CBM</t>
  </si>
  <si>
    <t>AD002LGC</t>
  </si>
  <si>
    <t>AFZ-Doussie</t>
  </si>
  <si>
    <t>AD867LAR</t>
  </si>
  <si>
    <t>AD017LG1</t>
  </si>
  <si>
    <t>ENTA-Tiama</t>
  </si>
  <si>
    <t>AD037LGZ</t>
  </si>
  <si>
    <t>AD239LGQ</t>
  </si>
  <si>
    <t>AD503LAC</t>
  </si>
  <si>
    <t>AD504LAA</t>
  </si>
  <si>
    <t>AD569LAT</t>
  </si>
  <si>
    <t>AD570LAB</t>
  </si>
  <si>
    <t>AD660FY5</t>
  </si>
  <si>
    <t>AD661FY3</t>
  </si>
  <si>
    <t>AD662FY1</t>
  </si>
  <si>
    <t>AD957LL3</t>
  </si>
  <si>
    <t>AD063LG4</t>
  </si>
  <si>
    <t>ENTU-Sipo</t>
  </si>
  <si>
    <t>AD068LGT</t>
  </si>
  <si>
    <t>AD069LGR</t>
  </si>
  <si>
    <t>AD074LG1</t>
  </si>
  <si>
    <t>AD075LGZ</t>
  </si>
  <si>
    <t>AD421LAG</t>
  </si>
  <si>
    <t>AD428LA2</t>
  </si>
  <si>
    <t>AD516LA5</t>
  </si>
  <si>
    <t>AD619LAX</t>
  </si>
  <si>
    <t>AD943LA0</t>
  </si>
  <si>
    <t>AD032LG9</t>
  </si>
  <si>
    <t>ERY-Tali</t>
  </si>
  <si>
    <t>AD053LG5</t>
  </si>
  <si>
    <t>AD295LA5</t>
  </si>
  <si>
    <t>AD334LAB</t>
  </si>
  <si>
    <t>AD514LA9</t>
  </si>
  <si>
    <t>AD532LAB</t>
  </si>
  <si>
    <t>AD877LL3</t>
  </si>
  <si>
    <t>AD910LLM</t>
  </si>
  <si>
    <t>AD041LDG</t>
  </si>
  <si>
    <t>GIL-Limbali</t>
  </si>
  <si>
    <t>AD042LDE</t>
  </si>
  <si>
    <t>AD054LD9</t>
  </si>
  <si>
    <t>AD057LD3</t>
  </si>
  <si>
    <t>AD058LD1</t>
  </si>
  <si>
    <t>AD060LDG</t>
  </si>
  <si>
    <t>AD064LD8</t>
  </si>
  <si>
    <t>AD067LD2</t>
  </si>
  <si>
    <t>AD075FZ4</t>
  </si>
  <si>
    <t>AD287LDW</t>
  </si>
  <si>
    <t>AD288LDT</t>
  </si>
  <si>
    <t>AD289LDR</t>
  </si>
  <si>
    <t>AD290LD9</t>
  </si>
  <si>
    <t>AD291LD7</t>
  </si>
  <si>
    <t>AD345LMJ</t>
  </si>
  <si>
    <t>AD353LD5</t>
  </si>
  <si>
    <t>AD353LMM</t>
  </si>
  <si>
    <t>AD356LMF</t>
  </si>
  <si>
    <t>AD359LM9</t>
  </si>
  <si>
    <t>AD363LML</t>
  </si>
  <si>
    <t>AD389LM6</t>
  </si>
  <si>
    <t>AD392LMK</t>
  </si>
  <si>
    <t>AD395LMD</t>
  </si>
  <si>
    <t>AD608LDT</t>
  </si>
  <si>
    <t>AD609LDR</t>
  </si>
  <si>
    <t>AD611LD7</t>
  </si>
  <si>
    <t>AD612LD5</t>
  </si>
  <si>
    <t>AD613LD3</t>
  </si>
  <si>
    <t>AD617LDV</t>
  </si>
  <si>
    <t>AD696LM5</t>
  </si>
  <si>
    <t>AD724FYZ</t>
  </si>
  <si>
    <t>AD733FY0</t>
  </si>
  <si>
    <t>AD735FYW</t>
  </si>
  <si>
    <t>AD736FYT</t>
  </si>
  <si>
    <t>AD737FYR</t>
  </si>
  <si>
    <t>AD738FYP</t>
  </si>
  <si>
    <t>AD740FY5</t>
  </si>
  <si>
    <t>AD742LMG</t>
  </si>
  <si>
    <t>AD744LMC</t>
  </si>
  <si>
    <t>AD745FYV</t>
  </si>
  <si>
    <t>AD745LMA</t>
  </si>
  <si>
    <t>AD749LM2</t>
  </si>
  <si>
    <t>AD764FYV</t>
  </si>
  <si>
    <t>AD766FYQ</t>
  </si>
  <si>
    <t>AD768FYL</t>
  </si>
  <si>
    <t>AD771FY0</t>
  </si>
  <si>
    <t>AD774LM9</t>
  </si>
  <si>
    <t>AD785LM6</t>
  </si>
  <si>
    <t>AD795FYP</t>
  </si>
  <si>
    <t>AD803FY1</t>
  </si>
  <si>
    <t>AD808FYQ</t>
  </si>
  <si>
    <t>AD808LM6</t>
  </si>
  <si>
    <t>AD813FY0</t>
  </si>
  <si>
    <t>AD835FYT</t>
  </si>
  <si>
    <t>AD840FY3</t>
  </si>
  <si>
    <t>AD841FY1</t>
  </si>
  <si>
    <t>AD842FYZ</t>
  </si>
  <si>
    <t>AD848FYL</t>
  </si>
  <si>
    <t>AD849FYJ</t>
  </si>
  <si>
    <t>AD871FYY</t>
  </si>
  <si>
    <t>AD873FYT</t>
  </si>
  <si>
    <t>AD876FYM</t>
  </si>
  <si>
    <t>AD881FYX</t>
  </si>
  <si>
    <t>AD882FYV</t>
  </si>
  <si>
    <t>AD898FYF</t>
  </si>
  <si>
    <t>AD284LA8</t>
  </si>
  <si>
    <t>GUA-Bosse</t>
  </si>
  <si>
    <t>AD285LA6</t>
  </si>
  <si>
    <t>AD001LN1</t>
  </si>
  <si>
    <t>LOP-Azobe</t>
  </si>
  <si>
    <t>AD001NBN</t>
  </si>
  <si>
    <t>AD002NBL</t>
  </si>
  <si>
    <t>AD004LLZ</t>
  </si>
  <si>
    <t>AD005LLX</t>
  </si>
  <si>
    <t>AD005NBE</t>
  </si>
  <si>
    <t>AD006LLV</t>
  </si>
  <si>
    <t>AD006NBC</t>
  </si>
  <si>
    <t>AD007LLS</t>
  </si>
  <si>
    <t>AD008LAC</t>
  </si>
  <si>
    <t>AD008LLQ</t>
  </si>
  <si>
    <t>AD008LNL</t>
  </si>
  <si>
    <t>AD009LLN</t>
  </si>
  <si>
    <t>AD010LL6</t>
  </si>
  <si>
    <t>AD011LAR</t>
  </si>
  <si>
    <t>AD011LN0</t>
  </si>
  <si>
    <t>AD012LAP</t>
  </si>
  <si>
    <t>AD012LNY</t>
  </si>
  <si>
    <t>AD013LAM</t>
  </si>
  <si>
    <t>AD013LNW</t>
  </si>
  <si>
    <t>AD014LAK</t>
  </si>
  <si>
    <t>AD014LNT</t>
  </si>
  <si>
    <t>AD015LAH</t>
  </si>
  <si>
    <t>AD015LLW</t>
  </si>
  <si>
    <t>AD015LNR</t>
  </si>
  <si>
    <t>AD016LLT</t>
  </si>
  <si>
    <t>AD016LNP</t>
  </si>
  <si>
    <t>AD017LNM</t>
  </si>
  <si>
    <t>AD018LNK</t>
  </si>
  <si>
    <t>AD019LLM</t>
  </si>
  <si>
    <t>AD019LNH</t>
  </si>
  <si>
    <t>AD020LL5</t>
  </si>
  <si>
    <t>AD021LL3</t>
  </si>
  <si>
    <t>AD021LNZ</t>
  </si>
  <si>
    <t>AD022LL1</t>
  </si>
  <si>
    <t>AD022LNX</t>
  </si>
  <si>
    <t>AD023LAL</t>
  </si>
  <si>
    <t>AD023LEC</t>
  </si>
  <si>
    <t>AD023LNV</t>
  </si>
  <si>
    <t>AD024LAJ</t>
  </si>
  <si>
    <t>AD024LEA</t>
  </si>
  <si>
    <t>AD025LAG</t>
  </si>
  <si>
    <t>AD025LE8</t>
  </si>
  <si>
    <t>AD026LAE</t>
  </si>
  <si>
    <t>AD026LE6</t>
  </si>
  <si>
    <t>AD026LMQ</t>
  </si>
  <si>
    <t>AD026LNN</t>
  </si>
  <si>
    <t>AD027LAC</t>
  </si>
  <si>
    <t>AD027LE4</t>
  </si>
  <si>
    <t>AD027LMN</t>
  </si>
  <si>
    <t>AD027LNL</t>
  </si>
  <si>
    <t>AD028LE2</t>
  </si>
  <si>
    <t>AD028LML</t>
  </si>
  <si>
    <t>AD029LA8</t>
  </si>
  <si>
    <t>AD029LE0</t>
  </si>
  <si>
    <t>AD029LLL</t>
  </si>
  <si>
    <t>AD029LMJ</t>
  </si>
  <si>
    <t>AD030LAR</t>
  </si>
  <si>
    <t>AD030LEH</t>
  </si>
  <si>
    <t>AD030LL4</t>
  </si>
  <si>
    <t>AD031LAP</t>
  </si>
  <si>
    <t>AD031LL2</t>
  </si>
  <si>
    <t>AD032LAM</t>
  </si>
  <si>
    <t>AD032LL0</t>
  </si>
  <si>
    <t>AD033LAK</t>
  </si>
  <si>
    <t>AD033LLY</t>
  </si>
  <si>
    <t>AD034LAH</t>
  </si>
  <si>
    <t>AD034LE9</t>
  </si>
  <si>
    <t>AD034LLW</t>
  </si>
  <si>
    <t>AD035LE7</t>
  </si>
  <si>
    <t>AD036LLR</t>
  </si>
  <si>
    <t>AD037LAB</t>
  </si>
  <si>
    <t>AD037LLP</t>
  </si>
  <si>
    <t>AD038LA9</t>
  </si>
  <si>
    <t>AD039LLK</t>
  </si>
  <si>
    <t>AD041LAN</t>
  </si>
  <si>
    <t>AD041LEE</t>
  </si>
  <si>
    <t>AD042LEC</t>
  </si>
  <si>
    <t>AD042LLZ</t>
  </si>
  <si>
    <t>AD043LEA</t>
  </si>
  <si>
    <t>AD043LLX</t>
  </si>
  <si>
    <t>AD044LAG</t>
  </si>
  <si>
    <t>AD044LE8</t>
  </si>
  <si>
    <t>AD044LLV</t>
  </si>
  <si>
    <t>AD045LLS</t>
  </si>
  <si>
    <t>AD046LAC</t>
  </si>
  <si>
    <t>AD046LE4</t>
  </si>
  <si>
    <t>AD046LLQ</t>
  </si>
  <si>
    <t>AD047LAA</t>
  </si>
  <si>
    <t>AD047LE2</t>
  </si>
  <si>
    <t>AD048LLL</t>
  </si>
  <si>
    <t>AD049LA6</t>
  </si>
  <si>
    <t>AD050LAP</t>
  </si>
  <si>
    <t>AD050LL2</t>
  </si>
  <si>
    <t>AD051LAM</t>
  </si>
  <si>
    <t>AD051LED</t>
  </si>
  <si>
    <t>AD051LL0</t>
  </si>
  <si>
    <t>AD052LAK</t>
  </si>
  <si>
    <t>AD052LLY</t>
  </si>
  <si>
    <t>AD053LAH</t>
  </si>
  <si>
    <t>AD053LLW</t>
  </si>
  <si>
    <t>AD054LAF</t>
  </si>
  <si>
    <t>AD054LE7</t>
  </si>
  <si>
    <t>AD054LLT</t>
  </si>
  <si>
    <t>AD055LAD</t>
  </si>
  <si>
    <t>AD055LE5</t>
  </si>
  <si>
    <t>AD055LLR</t>
  </si>
  <si>
    <t>AD056LAB</t>
  </si>
  <si>
    <t>AD056LLP</t>
  </si>
  <si>
    <t>AD057LLM</t>
  </si>
  <si>
    <t>AD058LA7</t>
  </si>
  <si>
    <t>AD058LEZ</t>
  </si>
  <si>
    <t>AD058LLK</t>
  </si>
  <si>
    <t>AD059LEX</t>
  </si>
  <si>
    <t>AD059LLH</t>
  </si>
  <si>
    <t>AD060LEE</t>
  </si>
  <si>
    <t>AD061LEC</t>
  </si>
  <si>
    <t>AD061LLZ</t>
  </si>
  <si>
    <t>AD062LAJ</t>
  </si>
  <si>
    <t>AD062LEA</t>
  </si>
  <si>
    <t>AD062LLX</t>
  </si>
  <si>
    <t>AD063LAG</t>
  </si>
  <si>
    <t>AD063LE8</t>
  </si>
  <si>
    <t>AD063LLV</t>
  </si>
  <si>
    <t>AD064LAE</t>
  </si>
  <si>
    <t>AD064LE6</t>
  </si>
  <si>
    <t>AD065LAC</t>
  </si>
  <si>
    <t>AD065LE4</t>
  </si>
  <si>
    <t>AD065LLQ</t>
  </si>
  <si>
    <t>AD066LAA</t>
  </si>
  <si>
    <t>AD066LE2</t>
  </si>
  <si>
    <t>AD066LLN</t>
  </si>
  <si>
    <t>AD067LA8</t>
  </si>
  <si>
    <t>AD067LLL</t>
  </si>
  <si>
    <t>AD068LLJ</t>
  </si>
  <si>
    <t>AD069LLG</t>
  </si>
  <si>
    <t>AD070LAM</t>
  </si>
  <si>
    <t>AD070LED</t>
  </si>
  <si>
    <t>AD071LEB</t>
  </si>
  <si>
    <t>AD071LLY</t>
  </si>
  <si>
    <t>AD072LE9</t>
  </si>
  <si>
    <t>AD073LAF</t>
  </si>
  <si>
    <t>AD073LE7</t>
  </si>
  <si>
    <t>AD074LAD</t>
  </si>
  <si>
    <t>AD074LE5</t>
  </si>
  <si>
    <t>AD074LLR</t>
  </si>
  <si>
    <t>AD075LE3</t>
  </si>
  <si>
    <t>AD075LLP</t>
  </si>
  <si>
    <t>AD076LE1</t>
  </si>
  <si>
    <t>AD077LA7</t>
  </si>
  <si>
    <t>AD077LEZ</t>
  </si>
  <si>
    <t>AD077LLK</t>
  </si>
  <si>
    <t>AD078LA5</t>
  </si>
  <si>
    <t>AD078LEX</t>
  </si>
  <si>
    <t>AD078LLH</t>
  </si>
  <si>
    <t>AD079LEV</t>
  </si>
  <si>
    <t>AD079LLF</t>
  </si>
  <si>
    <t>AD080LEC</t>
  </si>
  <si>
    <t>AD080LLZ</t>
  </si>
  <si>
    <t>AD081LEA</t>
  </si>
  <si>
    <t>AD081LLX</t>
  </si>
  <si>
    <t>AD082LE8</t>
  </si>
  <si>
    <t>AD082LLV</t>
  </si>
  <si>
    <t>AD082LMS</t>
  </si>
  <si>
    <t>AD083LLS</t>
  </si>
  <si>
    <t>AD085LAA</t>
  </si>
  <si>
    <t>AD085LLN</t>
  </si>
  <si>
    <t>AD086LA8</t>
  </si>
  <si>
    <t>AD086LE0</t>
  </si>
  <si>
    <t>AD087LLJ</t>
  </si>
  <si>
    <t>AD088LLG</t>
  </si>
  <si>
    <t>AD090LLY</t>
  </si>
  <si>
    <t>AD092LAF</t>
  </si>
  <si>
    <t>AD093LAD</t>
  </si>
  <si>
    <t>AD098LA3</t>
  </si>
  <si>
    <t>AD099LA1</t>
  </si>
  <si>
    <t>AD100LAS</t>
  </si>
  <si>
    <t>AD101LAQ</t>
  </si>
  <si>
    <t>AD102LAN</t>
  </si>
  <si>
    <t>AD102LNX</t>
  </si>
  <si>
    <t>AD103LNV</t>
  </si>
  <si>
    <t>AD105LNQ</t>
  </si>
  <si>
    <t>AD106LAE</t>
  </si>
  <si>
    <t>AD106LNN</t>
  </si>
  <si>
    <t>AD107LAC</t>
  </si>
  <si>
    <t>AD107LE4</t>
  </si>
  <si>
    <t>AD108LAA</t>
  </si>
  <si>
    <t>AD109LNG</t>
  </si>
  <si>
    <t>AD110LN0</t>
  </si>
  <si>
    <t>AD111LNY</t>
  </si>
  <si>
    <t>AD112LNW</t>
  </si>
  <si>
    <t>AD114LAH</t>
  </si>
  <si>
    <t>AD115LNP</t>
  </si>
  <si>
    <t>AD116LNM</t>
  </si>
  <si>
    <t>AD117LAB</t>
  </si>
  <si>
    <t>AD119LEZ</t>
  </si>
  <si>
    <t>AD119LNF</t>
  </si>
  <si>
    <t>AD120LEG</t>
  </si>
  <si>
    <t>AD120LNZ</t>
  </si>
  <si>
    <t>AD121LAN</t>
  </si>
  <si>
    <t>AD121LEE</t>
  </si>
  <si>
    <t>AD121LMZ</t>
  </si>
  <si>
    <t>AD122LAL</t>
  </si>
  <si>
    <t>AD122LEC</t>
  </si>
  <si>
    <t>AD122LNV</t>
  </si>
  <si>
    <t>AD123LAJ</t>
  </si>
  <si>
    <t>AD123LEA</t>
  </si>
  <si>
    <t>AD124LAG</t>
  </si>
  <si>
    <t>AD124LE8</t>
  </si>
  <si>
    <t>AD124LNQ</t>
  </si>
  <si>
    <t>AD125LAE</t>
  </si>
  <si>
    <t>AD125LE6</t>
  </si>
  <si>
    <t>AD125LNN</t>
  </si>
  <si>
    <t>AD126LAC</t>
  </si>
  <si>
    <t>AD126LNL</t>
  </si>
  <si>
    <t>AD127LAA</t>
  </si>
  <si>
    <t>AD127LNJ</t>
  </si>
  <si>
    <t>AD128LE0</t>
  </si>
  <si>
    <t>AD128LNG</t>
  </si>
  <si>
    <t>AD129LA6</t>
  </si>
  <si>
    <t>AD129LEY</t>
  </si>
  <si>
    <t>AD130LAP</t>
  </si>
  <si>
    <t>AD131LED</t>
  </si>
  <si>
    <t>AD131LNW</t>
  </si>
  <si>
    <t>AD132LEB</t>
  </si>
  <si>
    <t>AD132LNT</t>
  </si>
  <si>
    <t>AD133LNR</t>
  </si>
  <si>
    <t>AD135LAD</t>
  </si>
  <si>
    <t>AD136LAB</t>
  </si>
  <si>
    <t>AD138LEZ</t>
  </si>
  <si>
    <t>AD138LNF</t>
  </si>
  <si>
    <t>AD139LA5</t>
  </si>
  <si>
    <t>AD139LEX</t>
  </si>
  <si>
    <t>AD139LND</t>
  </si>
  <si>
    <t>AD140LAN</t>
  </si>
  <si>
    <t>AD140LNX</t>
  </si>
  <si>
    <t>AD141LNV</t>
  </si>
  <si>
    <t>AD142LNS</t>
  </si>
  <si>
    <t>AD143LNQ</t>
  </si>
  <si>
    <t>AD144LNN</t>
  </si>
  <si>
    <t>AD145LNL</t>
  </si>
  <si>
    <t>AD146LNJ</t>
  </si>
  <si>
    <t>AD147LE0</t>
  </si>
  <si>
    <t>AD148LA6</t>
  </si>
  <si>
    <t>AD148LEY</t>
  </si>
  <si>
    <t>AD148LNE</t>
  </si>
  <si>
    <t>AD150LNW</t>
  </si>
  <si>
    <t>AD151LNT</t>
  </si>
  <si>
    <t>AD152LNR</t>
  </si>
  <si>
    <t>AD153LAF</t>
  </si>
  <si>
    <t>AD153LNP</t>
  </si>
  <si>
    <t>AD154LNM</t>
  </si>
  <si>
    <t>AD155LNK</t>
  </si>
  <si>
    <t>AD156LNH</t>
  </si>
  <si>
    <t>AD157LA7</t>
  </si>
  <si>
    <t>AD157LNF</t>
  </si>
  <si>
    <t>AD158LND</t>
  </si>
  <si>
    <t>AD160LLZ</t>
  </si>
  <si>
    <t>AD160LNV</t>
  </si>
  <si>
    <t>AD161LNS</t>
  </si>
  <si>
    <t>AD162LNQ</t>
  </si>
  <si>
    <t>AD163LNN</t>
  </si>
  <si>
    <t>AD166LA8</t>
  </si>
  <si>
    <t>AD166LNG</t>
  </si>
  <si>
    <t>AD167LNE</t>
  </si>
  <si>
    <t>AD170LNT</t>
  </si>
  <si>
    <t>AD171LNR</t>
  </si>
  <si>
    <t>AD172LNP</t>
  </si>
  <si>
    <t>AD173LNM</t>
  </si>
  <si>
    <t>AD179LN9</t>
  </si>
  <si>
    <t>AD180LNS</t>
  </si>
  <si>
    <t>AD181LNQ</t>
  </si>
  <si>
    <t>AD182LNN</t>
  </si>
  <si>
    <t>AD185LNG</t>
  </si>
  <si>
    <t>AD186LNE</t>
  </si>
  <si>
    <t>AD187LNC</t>
  </si>
  <si>
    <t>AD188LNA</t>
  </si>
  <si>
    <t>AD189LN8</t>
  </si>
  <si>
    <t>AD190LNR</t>
  </si>
  <si>
    <t>AD191LNP</t>
  </si>
  <si>
    <t>AD192LNM</t>
  </si>
  <si>
    <t>AD194LNH</t>
  </si>
  <si>
    <t>AD195LNF</t>
  </si>
  <si>
    <t>AD196LND</t>
  </si>
  <si>
    <t>AD199LN7</t>
  </si>
  <si>
    <t>AD200LNZ</t>
  </si>
  <si>
    <t>AD202LNV</t>
  </si>
  <si>
    <t>AD203LNS</t>
  </si>
  <si>
    <t>AD204LAG</t>
  </si>
  <si>
    <t>AD204LNQ</t>
  </si>
  <si>
    <t>AD205LNN</t>
  </si>
  <si>
    <t>AD206LNL</t>
  </si>
  <si>
    <t>AD207LNJ</t>
  </si>
  <si>
    <t>AD208LNG</t>
  </si>
  <si>
    <t>AD211LAM</t>
  </si>
  <si>
    <t>AD211LED</t>
  </si>
  <si>
    <t>AD211LNW</t>
  </si>
  <si>
    <t>AD212LEB</t>
  </si>
  <si>
    <t>AD212LNT</t>
  </si>
  <si>
    <t>AD213LNR</t>
  </si>
  <si>
    <t>AD214LNP</t>
  </si>
  <si>
    <t>AD215LNM</t>
  </si>
  <si>
    <t>AD216LE3</t>
  </si>
  <si>
    <t>AD216LNK</t>
  </si>
  <si>
    <t>AD217LGX</t>
  </si>
  <si>
    <t>AD219LEX</t>
  </si>
  <si>
    <t>AD220LEE</t>
  </si>
  <si>
    <t>AD220LNX</t>
  </si>
  <si>
    <t>AD222LNS</t>
  </si>
  <si>
    <t>AD223LE8</t>
  </si>
  <si>
    <t>AD223LNQ</t>
  </si>
  <si>
    <t>AD224LE6</t>
  </si>
  <si>
    <t>AD224LNN</t>
  </si>
  <si>
    <t>AD225LE4</t>
  </si>
  <si>
    <t>AD227LNG</t>
  </si>
  <si>
    <t>AD228LNE</t>
  </si>
  <si>
    <t>AD231LNT</t>
  </si>
  <si>
    <t>AD232LNR</t>
  </si>
  <si>
    <t>AD235LNK</t>
  </si>
  <si>
    <t>AD237LA7</t>
  </si>
  <si>
    <t>AD238LEX</t>
  </si>
  <si>
    <t>AD239LA3</t>
  </si>
  <si>
    <t>AD240LAL</t>
  </si>
  <si>
    <t>AD242LE8</t>
  </si>
  <si>
    <t>AD244LE4</t>
  </si>
  <si>
    <t>AD245LE2</t>
  </si>
  <si>
    <t>AD248LEW</t>
  </si>
  <si>
    <t>AD248LLG</t>
  </si>
  <si>
    <t>AD249LLE</t>
  </si>
  <si>
    <t>AD251LE9</t>
  </si>
  <si>
    <t>AD251LLW</t>
  </si>
  <si>
    <t>AD252LE7</t>
  </si>
  <si>
    <t>AD253LE5</t>
  </si>
  <si>
    <t>AD254LE3</t>
  </si>
  <si>
    <t>AD254LLP</t>
  </si>
  <si>
    <t>AD255LE1</t>
  </si>
  <si>
    <t>AD255LLM</t>
  </si>
  <si>
    <t>AD256LEZ</t>
  </si>
  <si>
    <t>AD256LLK</t>
  </si>
  <si>
    <t>AD257LEX</t>
  </si>
  <si>
    <t>AD257LLH</t>
  </si>
  <si>
    <t>AD259LLD</t>
  </si>
  <si>
    <t>AD260LEA</t>
  </si>
  <si>
    <t>AD260LLX</t>
  </si>
  <si>
    <t>AD261LE8</t>
  </si>
  <si>
    <t>AD261LLV</t>
  </si>
  <si>
    <t>AD261LNQ</t>
  </si>
  <si>
    <t>AD262LE6</t>
  </si>
  <si>
    <t>AD262LLS</t>
  </si>
  <si>
    <t>AD262LNN</t>
  </si>
  <si>
    <t>AD263LE4</t>
  </si>
  <si>
    <t>AD263LLQ</t>
  </si>
  <si>
    <t>AD263LNL</t>
  </si>
  <si>
    <t>AD264LE2</t>
  </si>
  <si>
    <t>AD264LNJ</t>
  </si>
  <si>
    <t>AD265LE0</t>
  </si>
  <si>
    <t>AD265LNG</t>
  </si>
  <si>
    <t>AD266LEY</t>
  </si>
  <si>
    <t>AD266LNE</t>
  </si>
  <si>
    <t>AD267LEW</t>
  </si>
  <si>
    <t>AD267LNC</t>
  </si>
  <si>
    <t>AD268LET</t>
  </si>
  <si>
    <t>AD268LNA</t>
  </si>
  <si>
    <t>AD269LN8</t>
  </si>
  <si>
    <t>AD270LE9</t>
  </si>
  <si>
    <t>AD270LNR</t>
  </si>
  <si>
    <t>AD271LE7</t>
  </si>
  <si>
    <t>AD271LLT</t>
  </si>
  <si>
    <t>AD272LE5</t>
  </si>
  <si>
    <t>AD273LE3</t>
  </si>
  <si>
    <t>AD273LNK</t>
  </si>
  <si>
    <t>AD274LE1</t>
  </si>
  <si>
    <t>AD274LNH</t>
  </si>
  <si>
    <t>AD275LNF</t>
  </si>
  <si>
    <t>AD276LEX</t>
  </si>
  <si>
    <t>AD277LEV</t>
  </si>
  <si>
    <t>AD278LN9</t>
  </si>
  <si>
    <t>AD279LN7</t>
  </si>
  <si>
    <t>AD280LNQ</t>
  </si>
  <si>
    <t>AD281LE6</t>
  </si>
  <si>
    <t>AD281LNN</t>
  </si>
  <si>
    <t>AD282LLQ</t>
  </si>
  <si>
    <t>AD282LNL</t>
  </si>
  <si>
    <t>AD283LLN</t>
  </si>
  <si>
    <t>AD283LNJ</t>
  </si>
  <si>
    <t>AD284LLL</t>
  </si>
  <si>
    <t>AD285LLJ</t>
  </si>
  <si>
    <t>AD286LLG</t>
  </si>
  <si>
    <t>AD287LNA</t>
  </si>
  <si>
    <t>AD288LLC</t>
  </si>
  <si>
    <t>AD288LN8</t>
  </si>
  <si>
    <t>AD289LEP</t>
  </si>
  <si>
    <t>AD290LE7</t>
  </si>
  <si>
    <t>AD291LNM</t>
  </si>
  <si>
    <t>AD292LLP</t>
  </si>
  <si>
    <t>AD292LNK</t>
  </si>
  <si>
    <t>AD293LLM</t>
  </si>
  <si>
    <t>AD295LLH</t>
  </si>
  <si>
    <t>AD295LND</t>
  </si>
  <si>
    <t>AD296LEV</t>
  </si>
  <si>
    <t>AD296LLF</t>
  </si>
  <si>
    <t>AD296LNB</t>
  </si>
  <si>
    <t>AD297LES</t>
  </si>
  <si>
    <t>AD298LLB</t>
  </si>
  <si>
    <t>AD299LEN</t>
  </si>
  <si>
    <t>AD299LL9</t>
  </si>
  <si>
    <t>AD300LEE</t>
  </si>
  <si>
    <t>AD300LL1</t>
  </si>
  <si>
    <t>AD301LLZ</t>
  </si>
  <si>
    <t>AD302LAJ</t>
  </si>
  <si>
    <t>AD302LLX</t>
  </si>
  <si>
    <t>AD303LLV</t>
  </si>
  <si>
    <t>AD304LLS</t>
  </si>
  <si>
    <t>AD304LNN</t>
  </si>
  <si>
    <t>AD305LLQ</t>
  </si>
  <si>
    <t>AD306LE2</t>
  </si>
  <si>
    <t>AD307LE0</t>
  </si>
  <si>
    <t>AD307LLL</t>
  </si>
  <si>
    <t>AD308LEY</t>
  </si>
  <si>
    <t>AD308LLJ</t>
  </si>
  <si>
    <t>AD309LEW</t>
  </si>
  <si>
    <t>AD309LLG</t>
  </si>
  <si>
    <t>AD310LED</t>
  </si>
  <si>
    <t>AD311LEB</t>
  </si>
  <si>
    <t>AD311LLY</t>
  </si>
  <si>
    <t>AD311LNT</t>
  </si>
  <si>
    <t>AD312LLW</t>
  </si>
  <si>
    <t>AD313LNP</t>
  </si>
  <si>
    <t>AD314LLR</t>
  </si>
  <si>
    <t>AD314LNM</t>
  </si>
  <si>
    <t>AD318LEX</t>
  </si>
  <si>
    <t>AD319LEV</t>
  </si>
  <si>
    <t>AD319LNB</t>
  </si>
  <si>
    <t>AD320LEC</t>
  </si>
  <si>
    <t>AD320LLZ</t>
  </si>
  <si>
    <t>AD320LNV</t>
  </si>
  <si>
    <t>AD321LEA</t>
  </si>
  <si>
    <t>AD321LLX</t>
  </si>
  <si>
    <t>AD321LNS</t>
  </si>
  <si>
    <t>AD322LLV</t>
  </si>
  <si>
    <t>AD322LNQ</t>
  </si>
  <si>
    <t>AD323LE6</t>
  </si>
  <si>
    <t>AD324LE4</t>
  </si>
  <si>
    <t>AD324LLQ</t>
  </si>
  <si>
    <t>AD325LLN</t>
  </si>
  <si>
    <t>AD326LLL</t>
  </si>
  <si>
    <t>AD326LNG</t>
  </si>
  <si>
    <t>AD327LNE</t>
  </si>
  <si>
    <t>AD328LLG</t>
  </si>
  <si>
    <t>AD329LLE</t>
  </si>
  <si>
    <t>AD329LNA</t>
  </si>
  <si>
    <t>AD330LEB</t>
  </si>
  <si>
    <t>AD330LNT</t>
  </si>
  <si>
    <t>AD331LE9</t>
  </si>
  <si>
    <t>AD331LLW</t>
  </si>
  <si>
    <t>AD332LLT</t>
  </si>
  <si>
    <t>AD333LE5</t>
  </si>
  <si>
    <t>AD333LNM</t>
  </si>
  <si>
    <t>AD334LE3</t>
  </si>
  <si>
    <t>AD334LLP</t>
  </si>
  <si>
    <t>AD334LNK</t>
  </si>
  <si>
    <t>AD335LE1</t>
  </si>
  <si>
    <t>AD335LLM</t>
  </si>
  <si>
    <t>AD335LNH</t>
  </si>
  <si>
    <t>AD338LEV</t>
  </si>
  <si>
    <t>AD339LES</t>
  </si>
  <si>
    <t>AD340LLX</t>
  </si>
  <si>
    <t>AD341LLV</t>
  </si>
  <si>
    <t>AD342LE6</t>
  </si>
  <si>
    <t>AD345LE0</t>
  </si>
  <si>
    <t>AD346LEY</t>
  </si>
  <si>
    <t>AD347LEW</t>
  </si>
  <si>
    <t>AD347LLG</t>
  </si>
  <si>
    <t>AD347LNC</t>
  </si>
  <si>
    <t>AD348LA2</t>
  </si>
  <si>
    <t>AD348LET</t>
  </si>
  <si>
    <t>AD348LNA</t>
  </si>
  <si>
    <t>AD349LA0</t>
  </si>
  <si>
    <t>AD349LER</t>
  </si>
  <si>
    <t>AD349LN8</t>
  </si>
  <si>
    <t>AD350LNR</t>
  </si>
  <si>
    <t>AD351LAF</t>
  </si>
  <si>
    <t>AD351LLT</t>
  </si>
  <si>
    <t>AD352LLR</t>
  </si>
  <si>
    <t>AD353LNK</t>
  </si>
  <si>
    <t>AD354LNH</t>
  </si>
  <si>
    <t>AD355LA7</t>
  </si>
  <si>
    <t>AD355LNF</t>
  </si>
  <si>
    <t>AD356LA5</t>
  </si>
  <si>
    <t>AD356LND</t>
  </si>
  <si>
    <t>AD359LN7</t>
  </si>
  <si>
    <t>AD360LNQ</t>
  </si>
  <si>
    <t>AD361LNN</t>
  </si>
  <si>
    <t>AD362LE4</t>
  </si>
  <si>
    <t>AD362LLQ</t>
  </si>
  <si>
    <t>AD362LNL</t>
  </si>
  <si>
    <t>AD378LGL</t>
  </si>
  <si>
    <t>AD378LN7</t>
  </si>
  <si>
    <t>AD379LN5</t>
  </si>
  <si>
    <t>AD380LNN</t>
  </si>
  <si>
    <t>AD381LNL</t>
  </si>
  <si>
    <t>AD382LNJ</t>
  </si>
  <si>
    <t>AD384LEY</t>
  </si>
  <si>
    <t>AD385LEW</t>
  </si>
  <si>
    <t>AD385LNC</t>
  </si>
  <si>
    <t>AD386LET</t>
  </si>
  <si>
    <t>AD386LNA</t>
  </si>
  <si>
    <t>AD387LN8</t>
  </si>
  <si>
    <t>AD388LEP</t>
  </si>
  <si>
    <t>AD388LN6</t>
  </si>
  <si>
    <t>AD389LEM</t>
  </si>
  <si>
    <t>AD389LN4</t>
  </si>
  <si>
    <t>AD392LNH</t>
  </si>
  <si>
    <t>AD393LNF</t>
  </si>
  <si>
    <t>AD393NB3</t>
  </si>
  <si>
    <t>AD394LND</t>
  </si>
  <si>
    <t>AD394NB1</t>
  </si>
  <si>
    <t>AD395NBZ</t>
  </si>
  <si>
    <t>AD396NBX</t>
  </si>
  <si>
    <t>AD397LN7</t>
  </si>
  <si>
    <t>AD398LN5</t>
  </si>
  <si>
    <t>AD398NBS</t>
  </si>
  <si>
    <t>AD402LLV</t>
  </si>
  <si>
    <t>AD403LLS</t>
  </si>
  <si>
    <t>AD403NBA</t>
  </si>
  <si>
    <t>AD404LLQ</t>
  </si>
  <si>
    <t>AD404LNL</t>
  </si>
  <si>
    <t>AD404NB8</t>
  </si>
  <si>
    <t>AD405LNJ</t>
  </si>
  <si>
    <t>AD406LLL</t>
  </si>
  <si>
    <t>AD407LLJ</t>
  </si>
  <si>
    <t>AD408LLG</t>
  </si>
  <si>
    <t>AD409LLE</t>
  </si>
  <si>
    <t>AD409LNA</t>
  </si>
  <si>
    <t>AD410LLY</t>
  </si>
  <si>
    <t>AD411LLW</t>
  </si>
  <si>
    <t>AD411LNR</t>
  </si>
  <si>
    <t>AD412LLT</t>
  </si>
  <si>
    <t>AD412LNP</t>
  </si>
  <si>
    <t>AD413LLR</t>
  </si>
  <si>
    <t>AD413LNM</t>
  </si>
  <si>
    <t>AD414LLP</t>
  </si>
  <si>
    <t>AD414LNK</t>
  </si>
  <si>
    <t>AD415LLM</t>
  </si>
  <si>
    <t>AD416LLK</t>
  </si>
  <si>
    <t>AD417LLH</t>
  </si>
  <si>
    <t>AD417LND</t>
  </si>
  <si>
    <t>AD418LLF</t>
  </si>
  <si>
    <t>AD418LNB</t>
  </si>
  <si>
    <t>AD420LLX</t>
  </si>
  <si>
    <t>AD421LLV</t>
  </si>
  <si>
    <t>AD422LLS</t>
  </si>
  <si>
    <t>AD422LNN</t>
  </si>
  <si>
    <t>AD423LLQ</t>
  </si>
  <si>
    <t>AD423LNL</t>
  </si>
  <si>
    <t>AD424LLN</t>
  </si>
  <si>
    <t>AD425LE0</t>
  </si>
  <si>
    <t>AD426LEY</t>
  </si>
  <si>
    <t>AD426NEW</t>
  </si>
  <si>
    <t>AD427LNC</t>
  </si>
  <si>
    <t>AD427NET</t>
  </si>
  <si>
    <t>AD428LET</t>
  </si>
  <si>
    <t>AD428LLE</t>
  </si>
  <si>
    <t>AD428LNA</t>
  </si>
  <si>
    <t>AD429LER</t>
  </si>
  <si>
    <t>AD429NEP</t>
  </si>
  <si>
    <t>AD430LE9</t>
  </si>
  <si>
    <t>AD430LNR</t>
  </si>
  <si>
    <t>AD430NE7</t>
  </si>
  <si>
    <t>AD431LE7</t>
  </si>
  <si>
    <t>AD431LNP</t>
  </si>
  <si>
    <t>AD431NE5</t>
  </si>
  <si>
    <t>AD433LNK</t>
  </si>
  <si>
    <t>AD434LNH</t>
  </si>
  <si>
    <t>AD437LLF</t>
  </si>
  <si>
    <t>AD438LLD</t>
  </si>
  <si>
    <t>AD441LE6</t>
  </si>
  <si>
    <t>AD441LLS</t>
  </si>
  <si>
    <t>AD441LNN</t>
  </si>
  <si>
    <t>AD442LE4</t>
  </si>
  <si>
    <t>AD442LLQ</t>
  </si>
  <si>
    <t>AD442LNL</t>
  </si>
  <si>
    <t>AD443LE2</t>
  </si>
  <si>
    <t>AD443LNJ</t>
  </si>
  <si>
    <t>AD444LNG</t>
  </si>
  <si>
    <t>AD445LNE</t>
  </si>
  <si>
    <t>AD445NEW</t>
  </si>
  <si>
    <t>AD446LEW</t>
  </si>
  <si>
    <t>AD446LNC</t>
  </si>
  <si>
    <t>AD446NET</t>
  </si>
  <si>
    <t>AD447LET</t>
  </si>
  <si>
    <t>AD447LLE</t>
  </si>
  <si>
    <t>AD447LNA</t>
  </si>
  <si>
    <t>AD447NER</t>
  </si>
  <si>
    <t>AD448LER</t>
  </si>
  <si>
    <t>AD448LLC</t>
  </si>
  <si>
    <t>AD448LN8</t>
  </si>
  <si>
    <t>AD448NEP</t>
  </si>
  <si>
    <t>AD449LN6</t>
  </si>
  <si>
    <t>AD449NEM</t>
  </si>
  <si>
    <t>AD450GAK</t>
  </si>
  <si>
    <t>AD450LE7</t>
  </si>
  <si>
    <t>AD450LLT</t>
  </si>
  <si>
    <t>AD450LNP</t>
  </si>
  <si>
    <t>AD450NE5</t>
  </si>
  <si>
    <t>AD451LE5</t>
  </si>
  <si>
    <t>AD451LLR</t>
  </si>
  <si>
    <t>AD451LNM</t>
  </si>
  <si>
    <t>AD451NE3</t>
  </si>
  <si>
    <t>AD452LE3</t>
  </si>
  <si>
    <t>AD452LLP</t>
  </si>
  <si>
    <t>AD453LE1</t>
  </si>
  <si>
    <t>AD454LA7</t>
  </si>
  <si>
    <t>AD454LEZ</t>
  </si>
  <si>
    <t>AD454NEX</t>
  </si>
  <si>
    <t>AD455LA5</t>
  </si>
  <si>
    <t>AD455LEX</t>
  </si>
  <si>
    <t>AD456LA3</t>
  </si>
  <si>
    <t>AD456LLF</t>
  </si>
  <si>
    <t>AD457LA1</t>
  </si>
  <si>
    <t>AD457LES</t>
  </si>
  <si>
    <t>AD457LLD</t>
  </si>
  <si>
    <t>AD457LN9</t>
  </si>
  <si>
    <t>AD457NEQ</t>
  </si>
  <si>
    <t>AD458LAZ</t>
  </si>
  <si>
    <t>AD458LEQ</t>
  </si>
  <si>
    <t>AD458LLB</t>
  </si>
  <si>
    <t>AD458LN7</t>
  </si>
  <si>
    <t>AD458NEN</t>
  </si>
  <si>
    <t>AD459LN5</t>
  </si>
  <si>
    <t>AD459NEL</t>
  </si>
  <si>
    <t>AD460LNN</t>
  </si>
  <si>
    <t>AD461LNL</t>
  </si>
  <si>
    <t>AD461NE2</t>
  </si>
  <si>
    <t>AD462LE2</t>
  </si>
  <si>
    <t>AD462LNJ</t>
  </si>
  <si>
    <t>AD463LE0</t>
  </si>
  <si>
    <t>AD463LNG</t>
  </si>
  <si>
    <t>AD464LEY</t>
  </si>
  <si>
    <t>AD464LNE</t>
  </si>
  <si>
    <t>AD465LEW</t>
  </si>
  <si>
    <t>AD466LET</t>
  </si>
  <si>
    <t>AD466LNA</t>
  </si>
  <si>
    <t>AD467LER</t>
  </si>
  <si>
    <t>AD468LEP</t>
  </si>
  <si>
    <t>AD468LN6</t>
  </si>
  <si>
    <t>AD469LEM</t>
  </si>
  <si>
    <t>AD470LE5</t>
  </si>
  <si>
    <t>AD470LNM</t>
  </si>
  <si>
    <t>AD471LE3</t>
  </si>
  <si>
    <t>AD471LNK</t>
  </si>
  <si>
    <t>AD474LND</t>
  </si>
  <si>
    <t>AD475LNB</t>
  </si>
  <si>
    <t>AD476LES</t>
  </si>
  <si>
    <t>AD476LN9</t>
  </si>
  <si>
    <t>AD477LN7</t>
  </si>
  <si>
    <t>AD478LN5</t>
  </si>
  <si>
    <t>AD479LEL</t>
  </si>
  <si>
    <t>AD479LN3</t>
  </si>
  <si>
    <t>AD480LE4</t>
  </si>
  <si>
    <t>AD480LNL</t>
  </si>
  <si>
    <t>AD481LNJ</t>
  </si>
  <si>
    <t>AD483LEY</t>
  </si>
  <si>
    <t>AD483LNE</t>
  </si>
  <si>
    <t>AD484LEW</t>
  </si>
  <si>
    <t>AD485LET</t>
  </si>
  <si>
    <t>AD485LNA</t>
  </si>
  <si>
    <t>AD486LER</t>
  </si>
  <si>
    <t>AD486LN8</t>
  </si>
  <si>
    <t>AD487LAY</t>
  </si>
  <si>
    <t>AD487LEP</t>
  </si>
  <si>
    <t>AD487LN6</t>
  </si>
  <si>
    <t>AD488LAW</t>
  </si>
  <si>
    <t>AD488LEM</t>
  </si>
  <si>
    <t>AD489LEK</t>
  </si>
  <si>
    <t>AD490LE3</t>
  </si>
  <si>
    <t>AD491LE1</t>
  </si>
  <si>
    <t>AD491LNH</t>
  </si>
  <si>
    <t>AD492LNF</t>
  </si>
  <si>
    <t>AD495LES</t>
  </si>
  <si>
    <t>AD495LLD</t>
  </si>
  <si>
    <t>AD495LN9</t>
  </si>
  <si>
    <t>AD496LEQ</t>
  </si>
  <si>
    <t>AD496LLB</t>
  </si>
  <si>
    <t>AD496LN7</t>
  </si>
  <si>
    <t>AD497LEN</t>
  </si>
  <si>
    <t>AD497LL9</t>
  </si>
  <si>
    <t>AD497LN5</t>
  </si>
  <si>
    <t>AD498LEL</t>
  </si>
  <si>
    <t>AD498LN3</t>
  </si>
  <si>
    <t>AD499LEJ</t>
  </si>
  <si>
    <t>AD499LL5</t>
  </si>
  <si>
    <t>AD499LN1</t>
  </si>
  <si>
    <t>AD500LLX</t>
  </si>
  <si>
    <t>AD500LNS</t>
  </si>
  <si>
    <t>AD501LE8</t>
  </si>
  <si>
    <t>AD501LNQ</t>
  </si>
  <si>
    <t>AD502LE6</t>
  </si>
  <si>
    <t>AD502LNN</t>
  </si>
  <si>
    <t>AD503LE4</t>
  </si>
  <si>
    <t>AD503LLQ</t>
  </si>
  <si>
    <t>AD504LE2</t>
  </si>
  <si>
    <t>AD504LLN</t>
  </si>
  <si>
    <t>AD504LNJ</t>
  </si>
  <si>
    <t>AD505LLL</t>
  </si>
  <si>
    <t>AD506LEY</t>
  </si>
  <si>
    <t>AD506LLJ</t>
  </si>
  <si>
    <t>AD507LEW</t>
  </si>
  <si>
    <t>AD507LLG</t>
  </si>
  <si>
    <t>AD507LNC</t>
  </si>
  <si>
    <t>AD508LLE</t>
  </si>
  <si>
    <t>AD508LNA</t>
  </si>
  <si>
    <t>AD509LLC</t>
  </si>
  <si>
    <t>AD509LN8</t>
  </si>
  <si>
    <t>AD510LE9</t>
  </si>
  <si>
    <t>AD510LNR</t>
  </si>
  <si>
    <t>AD511LE7</t>
  </si>
  <si>
    <t>AD512LE5</t>
  </si>
  <si>
    <t>AD512LLR</t>
  </si>
  <si>
    <t>AD513LE3</t>
  </si>
  <si>
    <t>AD513LNK</t>
  </si>
  <si>
    <t>AD514LE1</t>
  </si>
  <si>
    <t>AD514LNH</t>
  </si>
  <si>
    <t>AD515LEZ</t>
  </si>
  <si>
    <t>AD515LNF</t>
  </si>
  <si>
    <t>AD516LEX</t>
  </si>
  <si>
    <t>AD516LLH</t>
  </si>
  <si>
    <t>AD516LND</t>
  </si>
  <si>
    <t>AD517LEV</t>
  </si>
  <si>
    <t>AD517LLF</t>
  </si>
  <si>
    <t>AD518LES</t>
  </si>
  <si>
    <t>AD518LLD</t>
  </si>
  <si>
    <t>AD519LEQ</t>
  </si>
  <si>
    <t>AD519LLB</t>
  </si>
  <si>
    <t>AD520LMS</t>
  </si>
  <si>
    <t>AD521LE6</t>
  </si>
  <si>
    <t>AD521LMQ</t>
  </si>
  <si>
    <t>AD521LNN</t>
  </si>
  <si>
    <t>AD522LE4</t>
  </si>
  <si>
    <t>AD523LE2</t>
  </si>
  <si>
    <t>AD524LE0</t>
  </si>
  <si>
    <t>AD524LLL</t>
  </si>
  <si>
    <t>AD525LEY</t>
  </si>
  <si>
    <t>AD525LLJ</t>
  </si>
  <si>
    <t>AD526LEW</t>
  </si>
  <si>
    <t>AD526LLG</t>
  </si>
  <si>
    <t>AD527LET</t>
  </si>
  <si>
    <t>AD527LLE</t>
  </si>
  <si>
    <t>AD528LER</t>
  </si>
  <si>
    <t>AD528LLC</t>
  </si>
  <si>
    <t>AD529LLA</t>
  </si>
  <si>
    <t>AD530LLT</t>
  </si>
  <si>
    <t>AD531LLR</t>
  </si>
  <si>
    <t>AD532LLP</t>
  </si>
  <si>
    <t>AD533LNH</t>
  </si>
  <si>
    <t>AD534LLK</t>
  </si>
  <si>
    <t>AD535LLH</t>
  </si>
  <si>
    <t>AD535LND</t>
  </si>
  <si>
    <t>AD536LNB</t>
  </si>
  <si>
    <t>AD537LLD</t>
  </si>
  <si>
    <t>AD537LN9</t>
  </si>
  <si>
    <t>AD538LN7</t>
  </si>
  <si>
    <t>AD541LLQ</t>
  </si>
  <si>
    <t>AD541LNL</t>
  </si>
  <si>
    <t>AD542LNJ</t>
  </si>
  <si>
    <t>AD542NE0</t>
  </si>
  <si>
    <t>AD543LLL</t>
  </si>
  <si>
    <t>AD543LNG</t>
  </si>
  <si>
    <t>AD543NEY</t>
  </si>
  <si>
    <t>AD544LNE</t>
  </si>
  <si>
    <t>AD544NEW</t>
  </si>
  <si>
    <t>AD546LA2</t>
  </si>
  <si>
    <t>AD547LA0</t>
  </si>
  <si>
    <t>AD547LLC</t>
  </si>
  <si>
    <t>AD547LN8</t>
  </si>
  <si>
    <t>AD547NEP</t>
  </si>
  <si>
    <t>AD548LAY</t>
  </si>
  <si>
    <t>AD548LLA</t>
  </si>
  <si>
    <t>AD548LN6</t>
  </si>
  <si>
    <t>AD548NEM</t>
  </si>
  <si>
    <t>AD549LN4</t>
  </si>
  <si>
    <t>AD549NEK</t>
  </si>
  <si>
    <t>AD550NE3</t>
  </si>
  <si>
    <t>AD551NE1</t>
  </si>
  <si>
    <t>AD552NEZ</t>
  </si>
  <si>
    <t>AD553NEX</t>
  </si>
  <si>
    <t>AD554LND</t>
  </si>
  <si>
    <t>AD555LNB</t>
  </si>
  <si>
    <t>AD556NEQ</t>
  </si>
  <si>
    <t>AD557NEN</t>
  </si>
  <si>
    <t>AD559NEJ</t>
  </si>
  <si>
    <t>AD560NE2</t>
  </si>
  <si>
    <t>AD561NE0</t>
  </si>
  <si>
    <t>AD562NEY</t>
  </si>
  <si>
    <t>AD563NEW</t>
  </si>
  <si>
    <t>AD565NBY</t>
  </si>
  <si>
    <t>AD565NER</t>
  </si>
  <si>
    <t>AD566NBW</t>
  </si>
  <si>
    <t>AD566NEP</t>
  </si>
  <si>
    <t>AD567LEP</t>
  </si>
  <si>
    <t>AD567NBT</t>
  </si>
  <si>
    <t>AD567NEM</t>
  </si>
  <si>
    <t>AD568LEM</t>
  </si>
  <si>
    <t>AD568LN4</t>
  </si>
  <si>
    <t>AD568NBR</t>
  </si>
  <si>
    <t>AD568NEK</t>
  </si>
  <si>
    <t>AD569LEK</t>
  </si>
  <si>
    <t>AD569NBP</t>
  </si>
  <si>
    <t>AD570LE3</t>
  </si>
  <si>
    <t>AD570NB7</t>
  </si>
  <si>
    <t>AD571LE1</t>
  </si>
  <si>
    <t>AD572LEZ</t>
  </si>
  <si>
    <t>AD572NEX</t>
  </si>
  <si>
    <t>AD573LEX</t>
  </si>
  <si>
    <t>AD573NEV</t>
  </si>
  <si>
    <t>AD574NES</t>
  </si>
  <si>
    <t>AD575LES</t>
  </si>
  <si>
    <t>AD577LEN</t>
  </si>
  <si>
    <t>AD577NEL</t>
  </si>
  <si>
    <t>AD578LEL</t>
  </si>
  <si>
    <t>AD578NEJ</t>
  </si>
  <si>
    <t>AD579LEJ</t>
  </si>
  <si>
    <t>AD579NEG</t>
  </si>
  <si>
    <t>AD580LE2</t>
  </si>
  <si>
    <t>AD581LE0</t>
  </si>
  <si>
    <t>AD582LEY</t>
  </si>
  <si>
    <t>AD583LEW</t>
  </si>
  <si>
    <t>AD583NET</t>
  </si>
  <si>
    <t>AD584LET</t>
  </si>
  <si>
    <t>AD585LER</t>
  </si>
  <si>
    <t>AD585NBW</t>
  </si>
  <si>
    <t>AD586LEP</t>
  </si>
  <si>
    <t>AD586LLA</t>
  </si>
  <si>
    <t>AD586NBT</t>
  </si>
  <si>
    <t>AD587LEM</t>
  </si>
  <si>
    <t>AD587LL8</t>
  </si>
  <si>
    <t>AD588LEK</t>
  </si>
  <si>
    <t>AD588LL6</t>
  </si>
  <si>
    <t>AD588NBP</t>
  </si>
  <si>
    <t>AD589LEH</t>
  </si>
  <si>
    <t>AD590LE1</t>
  </si>
  <si>
    <t>AD590LNH</t>
  </si>
  <si>
    <t>AD591LEZ</t>
  </si>
  <si>
    <t>AD591LLK</t>
  </si>
  <si>
    <t>AD591LNF</t>
  </si>
  <si>
    <t>AD592LEX</t>
  </si>
  <si>
    <t>AD592LLH</t>
  </si>
  <si>
    <t>AD593LEV</t>
  </si>
  <si>
    <t>AD593LNB</t>
  </si>
  <si>
    <t>AD594LES</t>
  </si>
  <si>
    <t>AD594LN9</t>
  </si>
  <si>
    <t>AD595LEQ</t>
  </si>
  <si>
    <t>AD595LN7</t>
  </si>
  <si>
    <t>AD595NBV</t>
  </si>
  <si>
    <t>AD596LEN</t>
  </si>
  <si>
    <t>AD596LL9</t>
  </si>
  <si>
    <t>AD597LEL</t>
  </si>
  <si>
    <t>AD597LL7</t>
  </si>
  <si>
    <t>AD598LEJ</t>
  </si>
  <si>
    <t>AD599LEG</t>
  </si>
  <si>
    <t>AD599LL3</t>
  </si>
  <si>
    <t>AD599NBL</t>
  </si>
  <si>
    <t>AD600LE8</t>
  </si>
  <si>
    <t>AD600LLV</t>
  </si>
  <si>
    <t>AD601LE6</t>
  </si>
  <si>
    <t>AD601LNN</t>
  </si>
  <si>
    <t>AD602LE4</t>
  </si>
  <si>
    <t>AD602LNL</t>
  </si>
  <si>
    <t>AD602NB8</t>
  </si>
  <si>
    <t>AD603LE2</t>
  </si>
  <si>
    <t>AD603LLN</t>
  </si>
  <si>
    <t>AD603NB6</t>
  </si>
  <si>
    <t>AD604LE0</t>
  </si>
  <si>
    <t>AD604NB4</t>
  </si>
  <si>
    <t>AD605LEY</t>
  </si>
  <si>
    <t>AD605LLJ</t>
  </si>
  <si>
    <t>AD605LNE</t>
  </si>
  <si>
    <t>AD605NEW</t>
  </si>
  <si>
    <t>AD606LEW</t>
  </si>
  <si>
    <t>AD606LLG</t>
  </si>
  <si>
    <t>AD606LNC</t>
  </si>
  <si>
    <t>AD606NB0</t>
  </si>
  <si>
    <t>AD606NET</t>
  </si>
  <si>
    <t>AD607LET</t>
  </si>
  <si>
    <t>AD607LLE</t>
  </si>
  <si>
    <t>AD607NBY</t>
  </si>
  <si>
    <t>AD607NER</t>
  </si>
  <si>
    <t>AD608LER</t>
  </si>
  <si>
    <t>AD608LLC</t>
  </si>
  <si>
    <t>AD608NBW</t>
  </si>
  <si>
    <t>AD608NEP</t>
  </si>
  <si>
    <t>AD609LEP</t>
  </si>
  <si>
    <t>AD609NBT</t>
  </si>
  <si>
    <t>AD610LE7</t>
  </si>
  <si>
    <t>AD610LLT</t>
  </si>
  <si>
    <t>AD610LNP</t>
  </si>
  <si>
    <t>AD610NBB</t>
  </si>
  <si>
    <t>AD611LE5</t>
  </si>
  <si>
    <t>AD611LNM</t>
  </si>
  <si>
    <t>AD611NB9</t>
  </si>
  <si>
    <t>AD612LE3</t>
  </si>
  <si>
    <t>AD612LNK</t>
  </si>
  <si>
    <t>AD613LE1</t>
  </si>
  <si>
    <t>AD613LNH</t>
  </si>
  <si>
    <t>AD614LEZ</t>
  </si>
  <si>
    <t>AD614LNF</t>
  </si>
  <si>
    <t>AD614NB3</t>
  </si>
  <si>
    <t>AD615LEX</t>
  </si>
  <si>
    <t>AD615NEV</t>
  </si>
  <si>
    <t>AD616LNB</t>
  </si>
  <si>
    <t>AD616NES</t>
  </si>
  <si>
    <t>AD617LN9</t>
  </si>
  <si>
    <t>AD617NEQ</t>
  </si>
  <si>
    <t>AD618LN7</t>
  </si>
  <si>
    <t>AD618NEN</t>
  </si>
  <si>
    <t>AD621LE4</t>
  </si>
  <si>
    <t>AD621LNL</t>
  </si>
  <si>
    <t>AD622LE2</t>
  </si>
  <si>
    <t>AD622LNJ</t>
  </si>
  <si>
    <t>AD622NB6</t>
  </si>
  <si>
    <t>AD623LE0</t>
  </si>
  <si>
    <t>AD623LNG</t>
  </si>
  <si>
    <t>AD624LEY</t>
  </si>
  <si>
    <t>AD624LNE</t>
  </si>
  <si>
    <t>AD625LEW</t>
  </si>
  <si>
    <t>AD625NET</t>
  </si>
  <si>
    <t>AD626LET</t>
  </si>
  <si>
    <t>AD626NER</t>
  </si>
  <si>
    <t>AD627LER</t>
  </si>
  <si>
    <t>AD627LN8</t>
  </si>
  <si>
    <t>AD628LEP</t>
  </si>
  <si>
    <t>AD628LN6</t>
  </si>
  <si>
    <t>AD629LEM</t>
  </si>
  <si>
    <t>AD629NBR</t>
  </si>
  <si>
    <t>AD630LE5</t>
  </si>
  <si>
    <t>AD630LNM</t>
  </si>
  <si>
    <t>AD630NE3</t>
  </si>
  <si>
    <t>AD631LE3</t>
  </si>
  <si>
    <t>AD631NE1</t>
  </si>
  <si>
    <t>AD632LE1</t>
  </si>
  <si>
    <t>AD632LNH</t>
  </si>
  <si>
    <t>AD633LEZ</t>
  </si>
  <si>
    <t>AD634LND</t>
  </si>
  <si>
    <t>AD634NEV</t>
  </si>
  <si>
    <t>AD635LEV</t>
  </si>
  <si>
    <t>AD635LNB</t>
  </si>
  <si>
    <t>AD635NES</t>
  </si>
  <si>
    <t>AD636LES</t>
  </si>
  <si>
    <t>AD636LN9</t>
  </si>
  <si>
    <t>AD636NEQ</t>
  </si>
  <si>
    <t>AD637LEQ</t>
  </si>
  <si>
    <t>AD637LN7</t>
  </si>
  <si>
    <t>AD637NEN</t>
  </si>
  <si>
    <t>AD638LEN</t>
  </si>
  <si>
    <t>AD638LN5</t>
  </si>
  <si>
    <t>AD638NEL</t>
  </si>
  <si>
    <t>AD639LEL</t>
  </si>
  <si>
    <t>AD639LN3</t>
  </si>
  <si>
    <t>AD640LE4</t>
  </si>
  <si>
    <t>AD640LNL</t>
  </si>
  <si>
    <t>AD641LNJ</t>
  </si>
  <si>
    <t>AD641NE0</t>
  </si>
  <si>
    <t>AD642LE0</t>
  </si>
  <si>
    <t>AD642NEY</t>
  </si>
  <si>
    <t>AD643LEY</t>
  </si>
  <si>
    <t>AD643LNE</t>
  </si>
  <si>
    <t>AD643NB2</t>
  </si>
  <si>
    <t>AD643NEW</t>
  </si>
  <si>
    <t>AD644LEW</t>
  </si>
  <si>
    <t>AD644LNC</t>
  </si>
  <si>
    <t>AD645LET</t>
  </si>
  <si>
    <t>AD645LNA</t>
  </si>
  <si>
    <t>AD645NBY</t>
  </si>
  <si>
    <t>AD646LN8</t>
  </si>
  <si>
    <t>AD646NBW</t>
  </si>
  <si>
    <t>AD647LEP</t>
  </si>
  <si>
    <t>AD647LN6</t>
  </si>
  <si>
    <t>AD647NBT</t>
  </si>
  <si>
    <t>AD648LEM</t>
  </si>
  <si>
    <t>AD648LN4</t>
  </si>
  <si>
    <t>AD648NBR</t>
  </si>
  <si>
    <t>AD649LEK</t>
  </si>
  <si>
    <t>AD649LN2</t>
  </si>
  <si>
    <t>AD649NBP</t>
  </si>
  <si>
    <t>AD650LE3</t>
  </si>
  <si>
    <t>AD650LNK</t>
  </si>
  <si>
    <t>AD650NB7</t>
  </si>
  <si>
    <t>AD651LE1</t>
  </si>
  <si>
    <t>AD651LNH</t>
  </si>
  <si>
    <t>AD652LEZ</t>
  </si>
  <si>
    <t>AD652LNF</t>
  </si>
  <si>
    <t>AD653LEX</t>
  </si>
  <si>
    <t>AD653LND</t>
  </si>
  <si>
    <t>AD654LNB</t>
  </si>
  <si>
    <t>AD655LN9</t>
  </si>
  <si>
    <t>AD655NBX</t>
  </si>
  <si>
    <t>AD656LAZ</t>
  </si>
  <si>
    <t>AD656LM9</t>
  </si>
  <si>
    <t>AD656LN7</t>
  </si>
  <si>
    <t>AD657LN5</t>
  </si>
  <si>
    <t>AD658LN3</t>
  </si>
  <si>
    <t>AD659LN1</t>
  </si>
  <si>
    <t>AD659NBN</t>
  </si>
  <si>
    <t>AD660LNJ</t>
  </si>
  <si>
    <t>AD660NB6</t>
  </si>
  <si>
    <t>AD661LNG</t>
  </si>
  <si>
    <t>AD661NB4</t>
  </si>
  <si>
    <t>AD662LNE</t>
  </si>
  <si>
    <t>AD662NB2</t>
  </si>
  <si>
    <t>AD663LNC</t>
  </si>
  <si>
    <t>AD663NB0</t>
  </si>
  <si>
    <t>AD664NBY</t>
  </si>
  <si>
    <t>AD667LN4</t>
  </si>
  <si>
    <t>AD668LN2</t>
  </si>
  <si>
    <t>AD669LN0</t>
  </si>
  <si>
    <t>AD670LNH</t>
  </si>
  <si>
    <t>AD671LNF</t>
  </si>
  <si>
    <t>AD672LA5</t>
  </si>
  <si>
    <t>AD672LND</t>
  </si>
  <si>
    <t>AD673LA3</t>
  </si>
  <si>
    <t>AD674LA1</t>
  </si>
  <si>
    <t>AD674NBX</t>
  </si>
  <si>
    <t>AD675NBV</t>
  </si>
  <si>
    <t>AD677LN3</t>
  </si>
  <si>
    <t>AD678LN1</t>
  </si>
  <si>
    <t>AD680LNG</t>
  </si>
  <si>
    <t>AD680NB4</t>
  </si>
  <si>
    <t>AD681LNE</t>
  </si>
  <si>
    <t>AD681NB2</t>
  </si>
  <si>
    <t>AD682NB0</t>
  </si>
  <si>
    <t>AD683NBY</t>
  </si>
  <si>
    <t>AD685NBT</t>
  </si>
  <si>
    <t>AD686NBR</t>
  </si>
  <si>
    <t>AD687NBP</t>
  </si>
  <si>
    <t>AD688NBM</t>
  </si>
  <si>
    <t>AD689NBK</t>
  </si>
  <si>
    <t>AD690NB3</t>
  </si>
  <si>
    <t>AD691NB1</t>
  </si>
  <si>
    <t>AD692NBZ</t>
  </si>
  <si>
    <t>AD693NBX</t>
  </si>
  <si>
    <t>AD694NBV</t>
  </si>
  <si>
    <t>AD696NBQ</t>
  </si>
  <si>
    <t>AD698NBL</t>
  </si>
  <si>
    <t>AD699NBJ</t>
  </si>
  <si>
    <t>AD700NBA</t>
  </si>
  <si>
    <t>AD701NB8</t>
  </si>
  <si>
    <t>AD704NEW</t>
  </si>
  <si>
    <t>AD705LME</t>
  </si>
  <si>
    <t>AD705NET</t>
  </si>
  <si>
    <t>AD706NER</t>
  </si>
  <si>
    <t>AD707LMA</t>
  </si>
  <si>
    <t>AD707NBW</t>
  </si>
  <si>
    <t>AD708NBT</t>
  </si>
  <si>
    <t>AD709NBR</t>
  </si>
  <si>
    <t>AD709NEK</t>
  </si>
  <si>
    <t>AD710NE3</t>
  </si>
  <si>
    <t>AD713NEX</t>
  </si>
  <si>
    <t>AD714NEV</t>
  </si>
  <si>
    <t>AD715NES</t>
  </si>
  <si>
    <t>AD716NEQ</t>
  </si>
  <si>
    <t>AD717NEN</t>
  </si>
  <si>
    <t>AD719NEJ</t>
  </si>
  <si>
    <t>AD720NE2</t>
  </si>
  <si>
    <t>AD721NE0</t>
  </si>
  <si>
    <t>AD722NB4</t>
  </si>
  <si>
    <t>AD722NEY</t>
  </si>
  <si>
    <t>AD723NB2</t>
  </si>
  <si>
    <t>AD723NEW</t>
  </si>
  <si>
    <t>AD724NET</t>
  </si>
  <si>
    <t>AD725LCY</t>
  </si>
  <si>
    <t>AD725NER</t>
  </si>
  <si>
    <t>AD726NBW</t>
  </si>
  <si>
    <t>AD727NBT</t>
  </si>
  <si>
    <t>AD727NEM</t>
  </si>
  <si>
    <t>AD728NBR</t>
  </si>
  <si>
    <t>AD728NEK</t>
  </si>
  <si>
    <t>AD729NBP</t>
  </si>
  <si>
    <t>AD730NE1</t>
  </si>
  <si>
    <t>AD731NEZ</t>
  </si>
  <si>
    <t>AD732NEX</t>
  </si>
  <si>
    <t>AD733NB1</t>
  </si>
  <si>
    <t>AD734NBZ</t>
  </si>
  <si>
    <t>AD737NBS</t>
  </si>
  <si>
    <t>AD738NBQ</t>
  </si>
  <si>
    <t>AD743NB0</t>
  </si>
  <si>
    <t>AD749NBM</t>
  </si>
  <si>
    <t>AD750NB5</t>
  </si>
  <si>
    <t>AD759NBL</t>
  </si>
  <si>
    <t>AD760NB4</t>
  </si>
  <si>
    <t>AD763NBY</t>
  </si>
  <si>
    <t>AD769NBK</t>
  </si>
  <si>
    <t>AD770NB3</t>
  </si>
  <si>
    <t>AD773FYW</t>
  </si>
  <si>
    <t>AD774FYT</t>
  </si>
  <si>
    <t>AD774NEN</t>
  </si>
  <si>
    <t>AD775FYR</t>
  </si>
  <si>
    <t>AD775NEL</t>
  </si>
  <si>
    <t>AD776FYP</t>
  </si>
  <si>
    <t>AD777FYM</t>
  </si>
  <si>
    <t>AD781LC0</t>
  </si>
  <si>
    <t>AD781NB0</t>
  </si>
  <si>
    <t>AD782NBY</t>
  </si>
  <si>
    <t>AD783NBW</t>
  </si>
  <si>
    <t>AD783NEP</t>
  </si>
  <si>
    <t>AD784LCT</t>
  </si>
  <si>
    <t>AD784NBT</t>
  </si>
  <si>
    <t>AD784NEM</t>
  </si>
  <si>
    <t>AD785NBR</t>
  </si>
  <si>
    <t>AD785NEK</t>
  </si>
  <si>
    <t>AD786NBP</t>
  </si>
  <si>
    <t>AD787NBM</t>
  </si>
  <si>
    <t>AD788NBK</t>
  </si>
  <si>
    <t>AD789NBH</t>
  </si>
  <si>
    <t>AD790NB1</t>
  </si>
  <si>
    <t>AD791NBZ</t>
  </si>
  <si>
    <t>AD791NES</t>
  </si>
  <si>
    <t>AD792NBX</t>
  </si>
  <si>
    <t>AD793NBV</t>
  </si>
  <si>
    <t>AD794NBS</t>
  </si>
  <si>
    <t>AD795NBQ</t>
  </si>
  <si>
    <t>AD799LLZ</t>
  </si>
  <si>
    <t>AD800LLQ</t>
  </si>
  <si>
    <t>AD800NB8</t>
  </si>
  <si>
    <t>AD801LLN</t>
  </si>
  <si>
    <t>AD802LLL</t>
  </si>
  <si>
    <t>AD804LLG</t>
  </si>
  <si>
    <t>AD805LLE</t>
  </si>
  <si>
    <t>AD807LLA</t>
  </si>
  <si>
    <t>AD807NBT</t>
  </si>
  <si>
    <t>AD808NBR</t>
  </si>
  <si>
    <t>AD809NBP</t>
  </si>
  <si>
    <t>AD810LLP</t>
  </si>
  <si>
    <t>AD810NB7</t>
  </si>
  <si>
    <t>AD811LLM</t>
  </si>
  <si>
    <t>AD811NEZ</t>
  </si>
  <si>
    <t>AD813NB1</t>
  </si>
  <si>
    <t>AD815LLD</t>
  </si>
  <si>
    <t>AD815NBX</t>
  </si>
  <si>
    <t>AD816LLB</t>
  </si>
  <si>
    <t>AD816NBV</t>
  </si>
  <si>
    <t>AD817NBS</t>
  </si>
  <si>
    <t>AD818LL7</t>
  </si>
  <si>
    <t>AD818NBQ</t>
  </si>
  <si>
    <t>AD819LL5</t>
  </si>
  <si>
    <t>AD819NEG</t>
  </si>
  <si>
    <t>AD820NB6</t>
  </si>
  <si>
    <t>AD820NE0</t>
  </si>
  <si>
    <t>AD821NB4</t>
  </si>
  <si>
    <t>AD822LLJ</t>
  </si>
  <si>
    <t>AD822NB2</t>
  </si>
  <si>
    <t>AD823NB0</t>
  </si>
  <si>
    <t>AD824NBY</t>
  </si>
  <si>
    <t>AD827NEK</t>
  </si>
  <si>
    <t>AD828NEH</t>
  </si>
  <si>
    <t>AD829NEF</t>
  </si>
  <si>
    <t>AD830NB5</t>
  </si>
  <si>
    <t>AD830NEZ</t>
  </si>
  <si>
    <t>AD831NB3</t>
  </si>
  <si>
    <t>AD832NB1</t>
  </si>
  <si>
    <t>AD832NEV</t>
  </si>
  <si>
    <t>AD833LLF</t>
  </si>
  <si>
    <t>AD833NBZ</t>
  </si>
  <si>
    <t>AD833NES</t>
  </si>
  <si>
    <t>AD834LLD</t>
  </si>
  <si>
    <t>AD834NBX</t>
  </si>
  <si>
    <t>AD834NEQ</t>
  </si>
  <si>
    <t>AD835NBV</t>
  </si>
  <si>
    <t>AD835NEN</t>
  </si>
  <si>
    <t>AD836GCX</t>
  </si>
  <si>
    <t>AD837LL7</t>
  </si>
  <si>
    <t>AD838NEG</t>
  </si>
  <si>
    <t>AD839NEE</t>
  </si>
  <si>
    <t>AD841NEW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</si>
</sst>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\ _€"/>
    <numFmt numFmtId="166" formatCode="0.0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ptos Slab"/>
      <family val="2"/>
    </font>
    <font>
      <sz val="12"/>
      <name val="Aptos Slab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top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/>
    <xf numFmtId="1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164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2" fillId="0" borderId="1" xfId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3" fillId="0" borderId="0" xfId="0" applyFont="1" applyFill="1"/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wrapText="1"/>
    </xf>
    <xf numFmtId="0" fontId="3" fillId="0" borderId="1" xfId="1" applyFont="1" applyFill="1" applyBorder="1" applyAlignment="1">
      <alignment horizontal="center" vertical="top"/>
    </xf>
    <xf numFmtId="2" fontId="3" fillId="0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/>
    <xf numFmtId="0" fontId="3" fillId="0" borderId="1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 applyProtection="1">
      <alignment horizontal="center"/>
      <protection locked="0"/>
    </xf>
    <xf numFmtId="2" fontId="3" fillId="0" borderId="1" xfId="0" applyNumberFormat="1" applyFont="1" applyFill="1" applyBorder="1" applyAlignment="1">
      <alignment horizontal="center"/>
    </xf>
    <xf numFmtId="1" fontId="3" fillId="0" borderId="1" xfId="0" applyNumberFormat="1" applyFont="1" applyFill="1" applyBorder="1" applyAlignment="1" applyProtection="1">
      <alignment horizontal="center"/>
      <protection locked="0"/>
    </xf>
    <xf numFmtId="165" fontId="3" fillId="0" borderId="1" xfId="0" applyNumberFormat="1" applyFont="1" applyFill="1" applyBorder="1" applyAlignment="1">
      <alignment horizontal="center"/>
    </xf>
    <xf numFmtId="2" fontId="3" fillId="0" borderId="2" xfId="0" applyNumberFormat="1" applyFont="1" applyFill="1" applyBorder="1" applyAlignment="1">
      <alignment horizontal="center" vertical="center"/>
    </xf>
    <xf numFmtId="164" fontId="3" fillId="0" borderId="2" xfId="0" applyNumberFormat="1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166" fontId="3" fillId="0" borderId="1" xfId="0" applyNumberFormat="1" applyFont="1" applyFill="1" applyBorder="1" applyAlignment="1">
      <alignment horizontal="center" vertical="center"/>
    </xf>
    <xf numFmtId="166" fontId="3" fillId="0" borderId="2" xfId="0" applyNumberFormat="1" applyFont="1" applyFill="1" applyBorder="1" applyAlignment="1">
      <alignment horizontal="center" vertical="center"/>
    </xf>
    <xf numFmtId="2" fontId="3" fillId="0" borderId="2" xfId="0" applyNumberFormat="1" applyFont="1" applyFill="1" applyBorder="1" applyAlignment="1">
      <alignment horizontal="center"/>
    </xf>
    <xf numFmtId="164" fontId="2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3" fillId="0" borderId="0" xfId="1" applyFont="1" applyFill="1" applyAlignment="1">
      <alignment horizontal="center"/>
    </xf>
  </cellXfs>
  <cellStyles count="2">
    <cellStyle name="Normal" xfId="0" builtinId="0"/>
    <cellStyle name="Normal 2" xfId="1" xr:uid="{347AD85A-E725-4992-B040-BE8347452C02}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8D15-4303-4E5B-AE8F-0CE5819BE6C9}">
  <dimension ref="A1:P1268"/>
  <sheetViews>
    <sheetView tabSelected="1" zoomScaleNormal="100" workbookViewId="0">
      <selection sqref="A1:XFD1048576"/>
    </sheetView>
  </sheetViews>
  <sheetFormatPr defaultColWidth="8.85546875" defaultRowHeight="15.75" x14ac:dyDescent="0.25"/>
  <cols>
    <col min="1" max="1" width="7.7109375" style="25" bestFit="1" customWidth="1"/>
    <col min="2" max="2" width="8" style="25" bestFit="1" customWidth="1"/>
    <col min="3" max="3" width="13.85546875" style="25" bestFit="1" customWidth="1"/>
    <col min="4" max="4" width="12.5703125" style="48" bestFit="1" customWidth="1"/>
    <col min="5" max="5" width="10.28515625" style="25" bestFit="1" customWidth="1"/>
    <col min="6" max="6" width="10.42578125" style="25" bestFit="1" customWidth="1"/>
    <col min="7" max="7" width="10.28515625" style="25" bestFit="1" customWidth="1"/>
    <col min="8" max="9" width="5.140625" style="25" bestFit="1" customWidth="1"/>
    <col min="10" max="10" width="6.85546875" style="25" bestFit="1" customWidth="1"/>
    <col min="11" max="11" width="7.42578125" style="25" bestFit="1" customWidth="1"/>
    <col min="12" max="12" width="10" style="25" bestFit="1" customWidth="1"/>
    <col min="13" max="13" width="22.85546875" style="25" bestFit="1" customWidth="1"/>
    <col min="14" max="14" width="18.140625" style="25" bestFit="1" customWidth="1"/>
    <col min="15" max="15" width="12.140625" style="47" bestFit="1" customWidth="1"/>
    <col min="16" max="16" width="22.85546875" style="25" bestFit="1" customWidth="1"/>
    <col min="17" max="16384" width="8.85546875" style="25"/>
  </cols>
  <sheetData>
    <row r="1" spans="1:16" x14ac:dyDescent="0.25">
      <c r="A1" s="21" t="s">
        <v>0</v>
      </c>
      <c r="B1" s="22" t="s">
        <v>1</v>
      </c>
      <c r="C1" s="23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3" t="s">
        <v>7</v>
      </c>
      <c r="I1" s="23" t="s">
        <v>8</v>
      </c>
      <c r="J1" s="24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</row>
    <row r="2" spans="1:16" x14ac:dyDescent="0.25">
      <c r="A2" s="26">
        <v>1</v>
      </c>
      <c r="B2" s="27">
        <v>5001</v>
      </c>
      <c r="C2" s="26" t="s">
        <v>16</v>
      </c>
      <c r="D2" s="28" t="s">
        <v>17</v>
      </c>
      <c r="E2" s="26" t="s">
        <v>18</v>
      </c>
      <c r="F2" s="26"/>
      <c r="G2" s="29">
        <v>12</v>
      </c>
      <c r="H2" s="26">
        <v>88</v>
      </c>
      <c r="I2" s="26">
        <v>73</v>
      </c>
      <c r="J2" s="26">
        <f t="shared" ref="J2:J65" si="0">ROUNDDOWN((H2+I2)/2,0)</f>
        <v>80</v>
      </c>
      <c r="K2" s="26"/>
      <c r="L2" s="26"/>
      <c r="M2" s="29">
        <f t="shared" ref="M2:M65" si="1">G2-K2</f>
        <v>12</v>
      </c>
      <c r="N2" s="30">
        <f t="shared" ref="N2:N65" si="2">J2*J2*M2*0.7854/10000</f>
        <v>6.0318719999999999</v>
      </c>
      <c r="O2" s="26"/>
      <c r="P2" s="31" t="s">
        <v>19</v>
      </c>
    </row>
    <row r="3" spans="1:16" x14ac:dyDescent="0.25">
      <c r="A3" s="26">
        <v>2</v>
      </c>
      <c r="B3" s="27">
        <v>5002</v>
      </c>
      <c r="C3" s="26" t="s">
        <v>20</v>
      </c>
      <c r="D3" s="28">
        <v>4417</v>
      </c>
      <c r="E3" s="26" t="s">
        <v>18</v>
      </c>
      <c r="F3" s="26"/>
      <c r="G3" s="29">
        <v>9.1999999999999993</v>
      </c>
      <c r="H3" s="26">
        <v>112</v>
      </c>
      <c r="I3" s="26">
        <v>103</v>
      </c>
      <c r="J3" s="26">
        <f t="shared" si="0"/>
        <v>107</v>
      </c>
      <c r="K3" s="26">
        <v>0.3</v>
      </c>
      <c r="L3" s="26"/>
      <c r="M3" s="29">
        <f t="shared" si="1"/>
        <v>8.8999999999999986</v>
      </c>
      <c r="N3" s="30">
        <f t="shared" si="2"/>
        <v>8.0029196939999974</v>
      </c>
      <c r="O3" s="26" t="s">
        <v>21</v>
      </c>
      <c r="P3" s="31" t="s">
        <v>19</v>
      </c>
    </row>
    <row r="4" spans="1:16" x14ac:dyDescent="0.25">
      <c r="A4" s="26">
        <v>3</v>
      </c>
      <c r="B4" s="27">
        <v>5003</v>
      </c>
      <c r="C4" s="26" t="s">
        <v>22</v>
      </c>
      <c r="D4" s="28">
        <v>4249</v>
      </c>
      <c r="E4" s="26" t="s">
        <v>18</v>
      </c>
      <c r="F4" s="26"/>
      <c r="G4" s="29">
        <v>12</v>
      </c>
      <c r="H4" s="26">
        <v>96</v>
      </c>
      <c r="I4" s="26">
        <v>76</v>
      </c>
      <c r="J4" s="26">
        <f t="shared" si="0"/>
        <v>86</v>
      </c>
      <c r="K4" s="26"/>
      <c r="L4" s="26"/>
      <c r="M4" s="29">
        <f t="shared" si="1"/>
        <v>12</v>
      </c>
      <c r="N4" s="30">
        <f t="shared" si="2"/>
        <v>6.9705820799999998</v>
      </c>
      <c r="O4" s="26"/>
      <c r="P4" s="31" t="s">
        <v>19</v>
      </c>
    </row>
    <row r="5" spans="1:16" x14ac:dyDescent="0.25">
      <c r="A5" s="26">
        <v>4</v>
      </c>
      <c r="B5" s="27">
        <v>5004</v>
      </c>
      <c r="C5" s="26" t="s">
        <v>23</v>
      </c>
      <c r="D5" s="28">
        <v>4240</v>
      </c>
      <c r="E5" s="26" t="s">
        <v>18</v>
      </c>
      <c r="F5" s="26"/>
      <c r="G5" s="29">
        <v>8.6</v>
      </c>
      <c r="H5" s="26">
        <v>90</v>
      </c>
      <c r="I5" s="26">
        <v>87</v>
      </c>
      <c r="J5" s="26">
        <f t="shared" si="0"/>
        <v>88</v>
      </c>
      <c r="K5" s="26"/>
      <c r="L5" s="26"/>
      <c r="M5" s="29">
        <f t="shared" si="1"/>
        <v>8.6</v>
      </c>
      <c r="N5" s="30">
        <f t="shared" si="2"/>
        <v>5.2306383359999993</v>
      </c>
      <c r="O5" s="26"/>
      <c r="P5" s="31" t="s">
        <v>19</v>
      </c>
    </row>
    <row r="6" spans="1:16" x14ac:dyDescent="0.25">
      <c r="A6" s="26">
        <v>5</v>
      </c>
      <c r="B6" s="27">
        <v>5005</v>
      </c>
      <c r="C6" s="26" t="s">
        <v>24</v>
      </c>
      <c r="D6" s="28" t="s">
        <v>25</v>
      </c>
      <c r="E6" s="26" t="s">
        <v>18</v>
      </c>
      <c r="F6" s="26"/>
      <c r="G6" s="29">
        <v>12.2</v>
      </c>
      <c r="H6" s="26">
        <v>119</v>
      </c>
      <c r="I6" s="26">
        <v>107</v>
      </c>
      <c r="J6" s="26">
        <f t="shared" si="0"/>
        <v>113</v>
      </c>
      <c r="K6" s="26"/>
      <c r="L6" s="26"/>
      <c r="M6" s="29">
        <f t="shared" si="1"/>
        <v>12.2</v>
      </c>
      <c r="N6" s="30">
        <f t="shared" si="2"/>
        <v>12.235102571999999</v>
      </c>
      <c r="O6" s="26"/>
      <c r="P6" s="31" t="s">
        <v>19</v>
      </c>
    </row>
    <row r="7" spans="1:16" x14ac:dyDescent="0.25">
      <c r="A7" s="26">
        <v>6</v>
      </c>
      <c r="B7" s="27">
        <v>5006</v>
      </c>
      <c r="C7" s="26" t="s">
        <v>26</v>
      </c>
      <c r="D7" s="28" t="s">
        <v>27</v>
      </c>
      <c r="E7" s="26" t="s">
        <v>18</v>
      </c>
      <c r="F7" s="26"/>
      <c r="G7" s="29">
        <v>12.2</v>
      </c>
      <c r="H7" s="26">
        <v>106</v>
      </c>
      <c r="I7" s="26">
        <v>99</v>
      </c>
      <c r="J7" s="26">
        <f t="shared" si="0"/>
        <v>102</v>
      </c>
      <c r="K7" s="26"/>
      <c r="L7" s="26"/>
      <c r="M7" s="29">
        <f t="shared" si="1"/>
        <v>12.2</v>
      </c>
      <c r="N7" s="30">
        <f t="shared" si="2"/>
        <v>9.9689879519999991</v>
      </c>
      <c r="O7" s="26"/>
      <c r="P7" s="31" t="s">
        <v>19</v>
      </c>
    </row>
    <row r="8" spans="1:16" x14ac:dyDescent="0.25">
      <c r="A8" s="26">
        <v>7</v>
      </c>
      <c r="B8" s="27">
        <v>5007</v>
      </c>
      <c r="C8" s="26" t="s">
        <v>28</v>
      </c>
      <c r="D8" s="28" t="s">
        <v>29</v>
      </c>
      <c r="E8" s="26" t="s">
        <v>18</v>
      </c>
      <c r="F8" s="26"/>
      <c r="G8" s="29">
        <v>12</v>
      </c>
      <c r="H8" s="26">
        <v>106</v>
      </c>
      <c r="I8" s="26">
        <v>97</v>
      </c>
      <c r="J8" s="26">
        <f t="shared" si="0"/>
        <v>101</v>
      </c>
      <c r="K8" s="26"/>
      <c r="L8" s="26"/>
      <c r="M8" s="29">
        <f t="shared" si="1"/>
        <v>12</v>
      </c>
      <c r="N8" s="30">
        <f t="shared" si="2"/>
        <v>9.6142384799999991</v>
      </c>
      <c r="O8" s="26"/>
      <c r="P8" s="31" t="s">
        <v>30</v>
      </c>
    </row>
    <row r="9" spans="1:16" x14ac:dyDescent="0.25">
      <c r="A9" s="26">
        <v>8</v>
      </c>
      <c r="B9" s="27">
        <v>5008</v>
      </c>
      <c r="C9" s="26" t="s">
        <v>31</v>
      </c>
      <c r="D9" s="28" t="s">
        <v>32</v>
      </c>
      <c r="E9" s="26" t="s">
        <v>18</v>
      </c>
      <c r="F9" s="26"/>
      <c r="G9" s="29">
        <v>12</v>
      </c>
      <c r="H9" s="26">
        <v>103</v>
      </c>
      <c r="I9" s="26">
        <v>89</v>
      </c>
      <c r="J9" s="26">
        <f t="shared" si="0"/>
        <v>96</v>
      </c>
      <c r="K9" s="26"/>
      <c r="L9" s="26"/>
      <c r="M9" s="29">
        <f t="shared" si="1"/>
        <v>12</v>
      </c>
      <c r="N9" s="30">
        <f t="shared" si="2"/>
        <v>8.6858956799999998</v>
      </c>
      <c r="O9" s="26"/>
      <c r="P9" s="31" t="s">
        <v>19</v>
      </c>
    </row>
    <row r="10" spans="1:16" x14ac:dyDescent="0.25">
      <c r="A10" s="26">
        <v>9</v>
      </c>
      <c r="B10" s="27">
        <v>5009</v>
      </c>
      <c r="C10" s="26" t="s">
        <v>33</v>
      </c>
      <c r="D10" s="28" t="s">
        <v>34</v>
      </c>
      <c r="E10" s="26" t="s">
        <v>18</v>
      </c>
      <c r="F10" s="26"/>
      <c r="G10" s="29">
        <v>10</v>
      </c>
      <c r="H10" s="26">
        <v>106</v>
      </c>
      <c r="I10" s="26">
        <v>81</v>
      </c>
      <c r="J10" s="26">
        <f t="shared" si="0"/>
        <v>93</v>
      </c>
      <c r="K10" s="26">
        <v>0.4</v>
      </c>
      <c r="L10" s="26"/>
      <c r="M10" s="29">
        <f t="shared" si="1"/>
        <v>9.6</v>
      </c>
      <c r="N10" s="30">
        <f t="shared" si="2"/>
        <v>6.5212076159999999</v>
      </c>
      <c r="O10" s="26" t="s">
        <v>35</v>
      </c>
      <c r="P10" s="31" t="s">
        <v>19</v>
      </c>
    </row>
    <row r="11" spans="1:16" x14ac:dyDescent="0.25">
      <c r="A11" s="26">
        <v>10</v>
      </c>
      <c r="B11" s="27">
        <v>5010</v>
      </c>
      <c r="C11" s="26" t="s">
        <v>36</v>
      </c>
      <c r="D11" s="28" t="s">
        <v>37</v>
      </c>
      <c r="E11" s="26" t="s">
        <v>18</v>
      </c>
      <c r="F11" s="26"/>
      <c r="G11" s="29">
        <v>10</v>
      </c>
      <c r="H11" s="26">
        <v>113</v>
      </c>
      <c r="I11" s="26">
        <v>99</v>
      </c>
      <c r="J11" s="26">
        <f t="shared" si="0"/>
        <v>106</v>
      </c>
      <c r="K11" s="26"/>
      <c r="L11" s="26"/>
      <c r="M11" s="29">
        <f t="shared" si="1"/>
        <v>10</v>
      </c>
      <c r="N11" s="30">
        <f t="shared" si="2"/>
        <v>8.8247543999999998</v>
      </c>
      <c r="O11" s="26"/>
      <c r="P11" s="31" t="s">
        <v>30</v>
      </c>
    </row>
    <row r="12" spans="1:16" x14ac:dyDescent="0.25">
      <c r="A12" s="26">
        <v>11</v>
      </c>
      <c r="B12" s="27">
        <v>5011</v>
      </c>
      <c r="C12" s="26" t="s">
        <v>38</v>
      </c>
      <c r="D12" s="28" t="s">
        <v>39</v>
      </c>
      <c r="E12" s="26" t="s">
        <v>18</v>
      </c>
      <c r="F12" s="26"/>
      <c r="G12" s="29">
        <v>9.5</v>
      </c>
      <c r="H12" s="26">
        <v>102</v>
      </c>
      <c r="I12" s="26">
        <v>90</v>
      </c>
      <c r="J12" s="26">
        <f t="shared" si="0"/>
        <v>96</v>
      </c>
      <c r="K12" s="26"/>
      <c r="L12" s="26"/>
      <c r="M12" s="29">
        <f t="shared" si="1"/>
        <v>9.5</v>
      </c>
      <c r="N12" s="30">
        <f t="shared" si="2"/>
        <v>6.8763340800000003</v>
      </c>
      <c r="O12" s="26"/>
      <c r="P12" s="31" t="s">
        <v>19</v>
      </c>
    </row>
    <row r="13" spans="1:16" x14ac:dyDescent="0.25">
      <c r="A13" s="26">
        <v>12</v>
      </c>
      <c r="B13" s="27">
        <v>5012</v>
      </c>
      <c r="C13" s="26" t="s">
        <v>40</v>
      </c>
      <c r="D13" s="28" t="s">
        <v>41</v>
      </c>
      <c r="E13" s="26" t="s">
        <v>18</v>
      </c>
      <c r="F13" s="26"/>
      <c r="G13" s="29">
        <v>12</v>
      </c>
      <c r="H13" s="26">
        <v>101</v>
      </c>
      <c r="I13" s="26">
        <v>78</v>
      </c>
      <c r="J13" s="26">
        <f t="shared" si="0"/>
        <v>89</v>
      </c>
      <c r="K13" s="26"/>
      <c r="L13" s="26"/>
      <c r="M13" s="29">
        <f t="shared" si="1"/>
        <v>12</v>
      </c>
      <c r="N13" s="30">
        <f t="shared" si="2"/>
        <v>7.4653840800000006</v>
      </c>
      <c r="O13" s="26"/>
      <c r="P13" s="31" t="s">
        <v>19</v>
      </c>
    </row>
    <row r="14" spans="1:16" x14ac:dyDescent="0.25">
      <c r="A14" s="26">
        <v>13</v>
      </c>
      <c r="B14" s="27">
        <v>5013</v>
      </c>
      <c r="C14" s="26" t="s">
        <v>42</v>
      </c>
      <c r="D14" s="28" t="s">
        <v>43</v>
      </c>
      <c r="E14" s="26" t="s">
        <v>18</v>
      </c>
      <c r="F14" s="26"/>
      <c r="G14" s="29">
        <v>12</v>
      </c>
      <c r="H14" s="26">
        <v>114</v>
      </c>
      <c r="I14" s="26">
        <v>92</v>
      </c>
      <c r="J14" s="26">
        <f t="shared" si="0"/>
        <v>103</v>
      </c>
      <c r="K14" s="26"/>
      <c r="L14" s="26"/>
      <c r="M14" s="29">
        <f t="shared" si="1"/>
        <v>12</v>
      </c>
      <c r="N14" s="30">
        <f t="shared" si="2"/>
        <v>9.9987703200000002</v>
      </c>
      <c r="O14" s="26"/>
      <c r="P14" s="31" t="s">
        <v>30</v>
      </c>
    </row>
    <row r="15" spans="1:16" x14ac:dyDescent="0.25">
      <c r="A15" s="26">
        <v>14</v>
      </c>
      <c r="B15" s="27">
        <v>5014</v>
      </c>
      <c r="C15" s="26" t="s">
        <v>44</v>
      </c>
      <c r="D15" s="28">
        <v>4225</v>
      </c>
      <c r="E15" s="26" t="s">
        <v>18</v>
      </c>
      <c r="F15" s="26"/>
      <c r="G15" s="29">
        <v>12</v>
      </c>
      <c r="H15" s="26">
        <v>100</v>
      </c>
      <c r="I15" s="26">
        <v>88</v>
      </c>
      <c r="J15" s="26">
        <f t="shared" si="0"/>
        <v>94</v>
      </c>
      <c r="K15" s="26"/>
      <c r="L15" s="26"/>
      <c r="M15" s="29">
        <f t="shared" si="1"/>
        <v>12</v>
      </c>
      <c r="N15" s="30">
        <f t="shared" si="2"/>
        <v>8.3277532799999996</v>
      </c>
      <c r="O15" s="26"/>
      <c r="P15" s="31" t="s">
        <v>19</v>
      </c>
    </row>
    <row r="16" spans="1:16" x14ac:dyDescent="0.25">
      <c r="A16" s="26">
        <v>15</v>
      </c>
      <c r="B16" s="27">
        <v>5015</v>
      </c>
      <c r="C16" s="26" t="s">
        <v>45</v>
      </c>
      <c r="D16" s="28" t="s">
        <v>46</v>
      </c>
      <c r="E16" s="26" t="s">
        <v>18</v>
      </c>
      <c r="F16" s="26"/>
      <c r="G16" s="29">
        <v>10.5</v>
      </c>
      <c r="H16" s="26">
        <v>93</v>
      </c>
      <c r="I16" s="26">
        <v>86</v>
      </c>
      <c r="J16" s="26">
        <f t="shared" si="0"/>
        <v>89</v>
      </c>
      <c r="K16" s="26"/>
      <c r="L16" s="26"/>
      <c r="M16" s="29">
        <f t="shared" si="1"/>
        <v>10.5</v>
      </c>
      <c r="N16" s="30">
        <f t="shared" si="2"/>
        <v>6.5322110699999998</v>
      </c>
      <c r="O16" s="26"/>
      <c r="P16" s="31" t="s">
        <v>19</v>
      </c>
    </row>
    <row r="17" spans="1:16" x14ac:dyDescent="0.25">
      <c r="A17" s="26">
        <v>16</v>
      </c>
      <c r="B17" s="27">
        <v>5016</v>
      </c>
      <c r="C17" s="26" t="s">
        <v>47</v>
      </c>
      <c r="D17" s="28" t="s">
        <v>48</v>
      </c>
      <c r="E17" s="26" t="s">
        <v>18</v>
      </c>
      <c r="F17" s="26"/>
      <c r="G17" s="29">
        <v>12</v>
      </c>
      <c r="H17" s="26">
        <v>106</v>
      </c>
      <c r="I17" s="26">
        <v>91</v>
      </c>
      <c r="J17" s="26">
        <f t="shared" si="0"/>
        <v>98</v>
      </c>
      <c r="K17" s="26"/>
      <c r="L17" s="26"/>
      <c r="M17" s="29">
        <f t="shared" si="1"/>
        <v>12</v>
      </c>
      <c r="N17" s="30">
        <f t="shared" si="2"/>
        <v>9.0515779199999997</v>
      </c>
      <c r="O17" s="26"/>
      <c r="P17" s="31" t="s">
        <v>19</v>
      </c>
    </row>
    <row r="18" spans="1:16" x14ac:dyDescent="0.25">
      <c r="A18" s="26">
        <v>17</v>
      </c>
      <c r="B18" s="27">
        <v>5017</v>
      </c>
      <c r="C18" s="26" t="s">
        <v>49</v>
      </c>
      <c r="D18" s="28" t="s">
        <v>50</v>
      </c>
      <c r="E18" s="26" t="s">
        <v>18</v>
      </c>
      <c r="F18" s="26"/>
      <c r="G18" s="29">
        <v>10</v>
      </c>
      <c r="H18" s="26">
        <v>102</v>
      </c>
      <c r="I18" s="26">
        <v>101</v>
      </c>
      <c r="J18" s="26">
        <f t="shared" si="0"/>
        <v>101</v>
      </c>
      <c r="K18" s="26"/>
      <c r="L18" s="26"/>
      <c r="M18" s="29">
        <f t="shared" si="1"/>
        <v>10</v>
      </c>
      <c r="N18" s="30">
        <f t="shared" si="2"/>
        <v>8.0118653999999996</v>
      </c>
      <c r="O18" s="26"/>
      <c r="P18" s="31" t="s">
        <v>19</v>
      </c>
    </row>
    <row r="19" spans="1:16" x14ac:dyDescent="0.25">
      <c r="A19" s="26">
        <v>18</v>
      </c>
      <c r="B19" s="27">
        <v>5018</v>
      </c>
      <c r="C19" s="26" t="s">
        <v>51</v>
      </c>
      <c r="D19" s="28" t="s">
        <v>52</v>
      </c>
      <c r="E19" s="26" t="s">
        <v>18</v>
      </c>
      <c r="F19" s="26"/>
      <c r="G19" s="29">
        <v>9.4</v>
      </c>
      <c r="H19" s="26">
        <v>101</v>
      </c>
      <c r="I19" s="26">
        <v>93</v>
      </c>
      <c r="J19" s="26">
        <f t="shared" si="0"/>
        <v>97</v>
      </c>
      <c r="K19" s="26">
        <v>0.4</v>
      </c>
      <c r="L19" s="26"/>
      <c r="M19" s="29">
        <f t="shared" si="1"/>
        <v>9</v>
      </c>
      <c r="N19" s="30">
        <f t="shared" si="2"/>
        <v>6.6508457400000003</v>
      </c>
      <c r="O19" s="26" t="s">
        <v>53</v>
      </c>
      <c r="P19" s="31" t="s">
        <v>19</v>
      </c>
    </row>
    <row r="20" spans="1:16" x14ac:dyDescent="0.25">
      <c r="A20" s="26">
        <v>19</v>
      </c>
      <c r="B20" s="27">
        <v>5019</v>
      </c>
      <c r="C20" s="26" t="s">
        <v>54</v>
      </c>
      <c r="D20" s="28" t="s">
        <v>55</v>
      </c>
      <c r="E20" s="26" t="s">
        <v>18</v>
      </c>
      <c r="F20" s="26"/>
      <c r="G20" s="29">
        <v>11.9</v>
      </c>
      <c r="H20" s="26">
        <v>101</v>
      </c>
      <c r="I20" s="26">
        <v>84</v>
      </c>
      <c r="J20" s="26">
        <f t="shared" si="0"/>
        <v>92</v>
      </c>
      <c r="K20" s="26"/>
      <c r="L20" s="26"/>
      <c r="M20" s="29">
        <f t="shared" si="1"/>
        <v>11.9</v>
      </c>
      <c r="N20" s="30">
        <f t="shared" si="2"/>
        <v>7.9106744640000004</v>
      </c>
      <c r="O20" s="26"/>
      <c r="P20" s="31" t="s">
        <v>19</v>
      </c>
    </row>
    <row r="21" spans="1:16" x14ac:dyDescent="0.25">
      <c r="A21" s="26">
        <v>20</v>
      </c>
      <c r="B21" s="27">
        <v>5020</v>
      </c>
      <c r="C21" s="26" t="s">
        <v>56</v>
      </c>
      <c r="D21" s="28">
        <v>4473</v>
      </c>
      <c r="E21" s="26" t="s">
        <v>18</v>
      </c>
      <c r="F21" s="26"/>
      <c r="G21" s="29">
        <v>12</v>
      </c>
      <c r="H21" s="26">
        <v>98</v>
      </c>
      <c r="I21" s="26">
        <v>82</v>
      </c>
      <c r="J21" s="26">
        <f t="shared" si="0"/>
        <v>90</v>
      </c>
      <c r="K21" s="26"/>
      <c r="L21" s="26"/>
      <c r="M21" s="29">
        <f t="shared" si="1"/>
        <v>12</v>
      </c>
      <c r="N21" s="30">
        <f t="shared" si="2"/>
        <v>7.6340880000000002</v>
      </c>
      <c r="O21" s="26"/>
      <c r="P21" s="31" t="s">
        <v>19</v>
      </c>
    </row>
    <row r="22" spans="1:16" x14ac:dyDescent="0.25">
      <c r="A22" s="26">
        <v>21</v>
      </c>
      <c r="B22" s="27">
        <v>5021</v>
      </c>
      <c r="C22" s="26" t="s">
        <v>57</v>
      </c>
      <c r="D22" s="28" t="s">
        <v>58</v>
      </c>
      <c r="E22" s="26" t="s">
        <v>18</v>
      </c>
      <c r="F22" s="26"/>
      <c r="G22" s="29">
        <v>11</v>
      </c>
      <c r="H22" s="26">
        <v>101</v>
      </c>
      <c r="I22" s="26">
        <v>84</v>
      </c>
      <c r="J22" s="26">
        <f t="shared" si="0"/>
        <v>92</v>
      </c>
      <c r="K22" s="26"/>
      <c r="L22" s="26"/>
      <c r="M22" s="29">
        <f t="shared" si="1"/>
        <v>11</v>
      </c>
      <c r="N22" s="30">
        <f t="shared" si="2"/>
        <v>7.3123881599999994</v>
      </c>
      <c r="O22" s="26"/>
      <c r="P22" s="31" t="s">
        <v>19</v>
      </c>
    </row>
    <row r="23" spans="1:16" x14ac:dyDescent="0.25">
      <c r="A23" s="26">
        <v>22</v>
      </c>
      <c r="B23" s="27">
        <v>5022</v>
      </c>
      <c r="C23" s="26" t="s">
        <v>59</v>
      </c>
      <c r="D23" s="28">
        <v>4342</v>
      </c>
      <c r="E23" s="26" t="s">
        <v>18</v>
      </c>
      <c r="F23" s="26"/>
      <c r="G23" s="29">
        <v>11.5</v>
      </c>
      <c r="H23" s="26">
        <v>94</v>
      </c>
      <c r="I23" s="26">
        <v>90</v>
      </c>
      <c r="J23" s="26">
        <f t="shared" si="0"/>
        <v>92</v>
      </c>
      <c r="K23" s="26">
        <v>0.4</v>
      </c>
      <c r="L23" s="26"/>
      <c r="M23" s="29">
        <f t="shared" si="1"/>
        <v>11.1</v>
      </c>
      <c r="N23" s="30">
        <f t="shared" si="2"/>
        <v>7.3788644159999999</v>
      </c>
      <c r="O23" s="26" t="s">
        <v>53</v>
      </c>
      <c r="P23" s="31" t="s">
        <v>30</v>
      </c>
    </row>
    <row r="24" spans="1:16" x14ac:dyDescent="0.25">
      <c r="A24" s="26">
        <v>23</v>
      </c>
      <c r="B24" s="27">
        <v>5023</v>
      </c>
      <c r="C24" s="26" t="s">
        <v>60</v>
      </c>
      <c r="D24" s="28" t="s">
        <v>61</v>
      </c>
      <c r="E24" s="26" t="s">
        <v>18</v>
      </c>
      <c r="F24" s="26"/>
      <c r="G24" s="29">
        <v>12</v>
      </c>
      <c r="H24" s="26">
        <v>87</v>
      </c>
      <c r="I24" s="26">
        <v>79</v>
      </c>
      <c r="J24" s="26">
        <f t="shared" si="0"/>
        <v>83</v>
      </c>
      <c r="K24" s="26">
        <v>0.5</v>
      </c>
      <c r="L24" s="26"/>
      <c r="M24" s="29">
        <f t="shared" si="1"/>
        <v>11.5</v>
      </c>
      <c r="N24" s="30">
        <f t="shared" si="2"/>
        <v>6.2222136899999994</v>
      </c>
      <c r="O24" s="26" t="s">
        <v>53</v>
      </c>
      <c r="P24" s="31" t="s">
        <v>19</v>
      </c>
    </row>
    <row r="25" spans="1:16" x14ac:dyDescent="0.25">
      <c r="A25" s="26">
        <v>24</v>
      </c>
      <c r="B25" s="27">
        <v>5024</v>
      </c>
      <c r="C25" s="26" t="s">
        <v>62</v>
      </c>
      <c r="D25" s="28">
        <v>4237</v>
      </c>
      <c r="E25" s="26" t="s">
        <v>18</v>
      </c>
      <c r="F25" s="26"/>
      <c r="G25" s="29">
        <v>11</v>
      </c>
      <c r="H25" s="26">
        <v>105</v>
      </c>
      <c r="I25" s="26">
        <v>74</v>
      </c>
      <c r="J25" s="26">
        <f t="shared" si="0"/>
        <v>89</v>
      </c>
      <c r="K25" s="26"/>
      <c r="L25" s="26"/>
      <c r="M25" s="29">
        <f t="shared" si="1"/>
        <v>11</v>
      </c>
      <c r="N25" s="30">
        <f t="shared" si="2"/>
        <v>6.8432687399999992</v>
      </c>
      <c r="O25" s="26"/>
      <c r="P25" s="31" t="s">
        <v>19</v>
      </c>
    </row>
    <row r="26" spans="1:16" x14ac:dyDescent="0.25">
      <c r="A26" s="26">
        <v>25</v>
      </c>
      <c r="B26" s="27">
        <v>5025</v>
      </c>
      <c r="C26" s="26" t="s">
        <v>63</v>
      </c>
      <c r="D26" s="28">
        <v>4219</v>
      </c>
      <c r="E26" s="26" t="s">
        <v>18</v>
      </c>
      <c r="F26" s="26"/>
      <c r="G26" s="29">
        <v>12</v>
      </c>
      <c r="H26" s="26">
        <v>102</v>
      </c>
      <c r="I26" s="26">
        <v>78</v>
      </c>
      <c r="J26" s="26">
        <f t="shared" si="0"/>
        <v>90</v>
      </c>
      <c r="K26" s="26"/>
      <c r="L26" s="26"/>
      <c r="M26" s="29">
        <f t="shared" si="1"/>
        <v>12</v>
      </c>
      <c r="N26" s="30">
        <f t="shared" si="2"/>
        <v>7.6340880000000002</v>
      </c>
      <c r="O26" s="26"/>
      <c r="P26" s="31" t="s">
        <v>30</v>
      </c>
    </row>
    <row r="27" spans="1:16" x14ac:dyDescent="0.25">
      <c r="A27" s="26">
        <v>26</v>
      </c>
      <c r="B27" s="27">
        <v>5026</v>
      </c>
      <c r="C27" s="26" t="s">
        <v>64</v>
      </c>
      <c r="D27" s="28">
        <v>4526</v>
      </c>
      <c r="E27" s="26" t="s">
        <v>18</v>
      </c>
      <c r="F27" s="26"/>
      <c r="G27" s="29">
        <v>12</v>
      </c>
      <c r="H27" s="26">
        <v>92</v>
      </c>
      <c r="I27" s="26">
        <v>75</v>
      </c>
      <c r="J27" s="26">
        <f t="shared" si="0"/>
        <v>83</v>
      </c>
      <c r="K27" s="26"/>
      <c r="L27" s="26"/>
      <c r="M27" s="29">
        <f t="shared" si="1"/>
        <v>12</v>
      </c>
      <c r="N27" s="30">
        <f t="shared" si="2"/>
        <v>6.4927447200000001</v>
      </c>
      <c r="O27" s="26"/>
      <c r="P27" s="31" t="s">
        <v>19</v>
      </c>
    </row>
    <row r="28" spans="1:16" x14ac:dyDescent="0.25">
      <c r="A28" s="26">
        <v>27</v>
      </c>
      <c r="B28" s="27">
        <v>5027</v>
      </c>
      <c r="C28" s="26" t="s">
        <v>65</v>
      </c>
      <c r="D28" s="28">
        <v>4520</v>
      </c>
      <c r="E28" s="26" t="s">
        <v>18</v>
      </c>
      <c r="F28" s="26"/>
      <c r="G28" s="29">
        <v>8.8000000000000007</v>
      </c>
      <c r="H28" s="26">
        <v>94</v>
      </c>
      <c r="I28" s="26">
        <v>91</v>
      </c>
      <c r="J28" s="26">
        <f t="shared" si="0"/>
        <v>92</v>
      </c>
      <c r="K28" s="26"/>
      <c r="L28" s="26"/>
      <c r="M28" s="29">
        <f t="shared" si="1"/>
        <v>8.8000000000000007</v>
      </c>
      <c r="N28" s="30">
        <f t="shared" si="2"/>
        <v>5.8499105280000014</v>
      </c>
      <c r="O28" s="26"/>
      <c r="P28" s="31" t="s">
        <v>19</v>
      </c>
    </row>
    <row r="29" spans="1:16" x14ac:dyDescent="0.25">
      <c r="A29" s="26">
        <v>28</v>
      </c>
      <c r="B29" s="27">
        <v>5028</v>
      </c>
      <c r="C29" s="26" t="s">
        <v>66</v>
      </c>
      <c r="D29" s="28">
        <v>4401</v>
      </c>
      <c r="E29" s="26" t="s">
        <v>18</v>
      </c>
      <c r="F29" s="26"/>
      <c r="G29" s="29">
        <v>4</v>
      </c>
      <c r="H29" s="26">
        <v>82</v>
      </c>
      <c r="I29" s="26">
        <v>79</v>
      </c>
      <c r="J29" s="26">
        <f t="shared" si="0"/>
        <v>80</v>
      </c>
      <c r="K29" s="26"/>
      <c r="L29" s="26"/>
      <c r="M29" s="29">
        <f t="shared" si="1"/>
        <v>4</v>
      </c>
      <c r="N29" s="30">
        <f t="shared" si="2"/>
        <v>2.010624</v>
      </c>
      <c r="O29" s="26"/>
      <c r="P29" s="31" t="s">
        <v>30</v>
      </c>
    </row>
    <row r="30" spans="1:16" x14ac:dyDescent="0.25">
      <c r="A30" s="26">
        <v>29</v>
      </c>
      <c r="B30" s="27">
        <v>5029</v>
      </c>
      <c r="C30" s="26" t="s">
        <v>67</v>
      </c>
      <c r="D30" s="28">
        <v>4371</v>
      </c>
      <c r="E30" s="26" t="s">
        <v>18</v>
      </c>
      <c r="F30" s="26"/>
      <c r="G30" s="29">
        <v>12</v>
      </c>
      <c r="H30" s="26">
        <v>95</v>
      </c>
      <c r="I30" s="26">
        <v>75</v>
      </c>
      <c r="J30" s="26">
        <f t="shared" si="0"/>
        <v>85</v>
      </c>
      <c r="K30" s="26"/>
      <c r="L30" s="26"/>
      <c r="M30" s="29">
        <f t="shared" si="1"/>
        <v>12</v>
      </c>
      <c r="N30" s="30">
        <f t="shared" si="2"/>
        <v>6.8094179999999991</v>
      </c>
      <c r="O30" s="26"/>
      <c r="P30" s="31" t="s">
        <v>19</v>
      </c>
    </row>
    <row r="31" spans="1:16" x14ac:dyDescent="0.25">
      <c r="A31" s="26">
        <v>30</v>
      </c>
      <c r="B31" s="27">
        <v>5030</v>
      </c>
      <c r="C31" s="26" t="s">
        <v>68</v>
      </c>
      <c r="D31" s="28">
        <v>4501</v>
      </c>
      <c r="E31" s="26" t="s">
        <v>18</v>
      </c>
      <c r="F31" s="26"/>
      <c r="G31" s="29">
        <v>11.8</v>
      </c>
      <c r="H31" s="26">
        <v>102</v>
      </c>
      <c r="I31" s="26">
        <v>84</v>
      </c>
      <c r="J31" s="26">
        <f t="shared" si="0"/>
        <v>93</v>
      </c>
      <c r="K31" s="26"/>
      <c r="L31" s="26"/>
      <c r="M31" s="29">
        <f t="shared" si="1"/>
        <v>11.8</v>
      </c>
      <c r="N31" s="30">
        <f t="shared" si="2"/>
        <v>8.0156510280000006</v>
      </c>
      <c r="O31" s="26"/>
      <c r="P31" s="31" t="s">
        <v>19</v>
      </c>
    </row>
    <row r="32" spans="1:16" x14ac:dyDescent="0.25">
      <c r="A32" s="26">
        <v>31</v>
      </c>
      <c r="B32" s="27">
        <v>5031</v>
      </c>
      <c r="C32" s="26" t="s">
        <v>69</v>
      </c>
      <c r="D32" s="28">
        <v>4483</v>
      </c>
      <c r="E32" s="26" t="s">
        <v>18</v>
      </c>
      <c r="F32" s="26"/>
      <c r="G32" s="29">
        <v>9.6</v>
      </c>
      <c r="H32" s="26">
        <v>88</v>
      </c>
      <c r="I32" s="26">
        <v>77</v>
      </c>
      <c r="J32" s="26">
        <f t="shared" si="0"/>
        <v>82</v>
      </c>
      <c r="K32" s="26"/>
      <c r="L32" s="26"/>
      <c r="M32" s="29">
        <f t="shared" si="1"/>
        <v>9.6</v>
      </c>
      <c r="N32" s="30">
        <f t="shared" si="2"/>
        <v>5.0697884159999997</v>
      </c>
      <c r="O32" s="26"/>
      <c r="P32" s="31" t="s">
        <v>19</v>
      </c>
    </row>
    <row r="33" spans="1:16" x14ac:dyDescent="0.25">
      <c r="A33" s="26">
        <v>32</v>
      </c>
      <c r="B33" s="27">
        <v>5032</v>
      </c>
      <c r="C33" s="26" t="s">
        <v>70</v>
      </c>
      <c r="D33" s="28">
        <v>2613</v>
      </c>
      <c r="E33" s="26" t="s">
        <v>18</v>
      </c>
      <c r="F33" s="26"/>
      <c r="G33" s="29">
        <v>12</v>
      </c>
      <c r="H33" s="26">
        <v>104</v>
      </c>
      <c r="I33" s="26">
        <v>75</v>
      </c>
      <c r="J33" s="26">
        <f t="shared" si="0"/>
        <v>89</v>
      </c>
      <c r="K33" s="26"/>
      <c r="L33" s="26"/>
      <c r="M33" s="29">
        <f t="shared" si="1"/>
        <v>12</v>
      </c>
      <c r="N33" s="30">
        <f t="shared" si="2"/>
        <v>7.4653840800000006</v>
      </c>
      <c r="O33" s="26"/>
      <c r="P33" s="31" t="s">
        <v>19</v>
      </c>
    </row>
    <row r="34" spans="1:16" x14ac:dyDescent="0.25">
      <c r="A34" s="26">
        <v>33</v>
      </c>
      <c r="B34" s="27">
        <v>5033</v>
      </c>
      <c r="C34" s="26" t="s">
        <v>71</v>
      </c>
      <c r="D34" s="28">
        <v>2614</v>
      </c>
      <c r="E34" s="26" t="s">
        <v>18</v>
      </c>
      <c r="F34" s="26"/>
      <c r="G34" s="29">
        <v>11</v>
      </c>
      <c r="H34" s="26">
        <v>100</v>
      </c>
      <c r="I34" s="26">
        <v>97</v>
      </c>
      <c r="J34" s="26">
        <f t="shared" si="0"/>
        <v>98</v>
      </c>
      <c r="K34" s="26"/>
      <c r="L34" s="26"/>
      <c r="M34" s="29">
        <f t="shared" si="1"/>
        <v>11</v>
      </c>
      <c r="N34" s="30">
        <f t="shared" si="2"/>
        <v>8.2972797600000003</v>
      </c>
      <c r="O34" s="26"/>
      <c r="P34" s="31" t="s">
        <v>19</v>
      </c>
    </row>
    <row r="35" spans="1:16" x14ac:dyDescent="0.25">
      <c r="A35" s="26">
        <v>34</v>
      </c>
      <c r="B35" s="27">
        <v>5034</v>
      </c>
      <c r="C35" s="26" t="s">
        <v>72</v>
      </c>
      <c r="D35" s="28">
        <v>2603</v>
      </c>
      <c r="E35" s="26" t="s">
        <v>18</v>
      </c>
      <c r="F35" s="26"/>
      <c r="G35" s="29">
        <v>9</v>
      </c>
      <c r="H35" s="26">
        <v>98</v>
      </c>
      <c r="I35" s="26">
        <v>89</v>
      </c>
      <c r="J35" s="26">
        <f t="shared" si="0"/>
        <v>93</v>
      </c>
      <c r="K35" s="26"/>
      <c r="L35" s="26"/>
      <c r="M35" s="29">
        <f t="shared" si="1"/>
        <v>9</v>
      </c>
      <c r="N35" s="30">
        <f t="shared" si="2"/>
        <v>6.11363214</v>
      </c>
      <c r="O35" s="26"/>
      <c r="P35" s="31" t="s">
        <v>19</v>
      </c>
    </row>
    <row r="36" spans="1:16" x14ac:dyDescent="0.25">
      <c r="A36" s="26">
        <v>35</v>
      </c>
      <c r="B36" s="27">
        <v>5035</v>
      </c>
      <c r="C36" s="26" t="s">
        <v>73</v>
      </c>
      <c r="D36" s="28">
        <v>2605</v>
      </c>
      <c r="E36" s="26" t="s">
        <v>18</v>
      </c>
      <c r="F36" s="26"/>
      <c r="G36" s="29">
        <v>9.6999999999999993</v>
      </c>
      <c r="H36" s="26">
        <v>87</v>
      </c>
      <c r="I36" s="26">
        <v>81</v>
      </c>
      <c r="J36" s="26">
        <f t="shared" si="0"/>
        <v>84</v>
      </c>
      <c r="K36" s="26">
        <v>0.4</v>
      </c>
      <c r="L36" s="26"/>
      <c r="M36" s="29">
        <f t="shared" si="1"/>
        <v>9.2999999999999989</v>
      </c>
      <c r="N36" s="30">
        <f t="shared" si="2"/>
        <v>5.1538576319999994</v>
      </c>
      <c r="O36" s="26" t="s">
        <v>21</v>
      </c>
      <c r="P36" s="31" t="s">
        <v>19</v>
      </c>
    </row>
    <row r="37" spans="1:16" x14ac:dyDescent="0.25">
      <c r="A37" s="26">
        <v>36</v>
      </c>
      <c r="B37" s="27">
        <v>5036</v>
      </c>
      <c r="C37" s="26" t="s">
        <v>74</v>
      </c>
      <c r="D37" s="28">
        <v>2606</v>
      </c>
      <c r="E37" s="26" t="s">
        <v>18</v>
      </c>
      <c r="F37" s="26"/>
      <c r="G37" s="29">
        <v>8.8000000000000007</v>
      </c>
      <c r="H37" s="26">
        <v>122</v>
      </c>
      <c r="I37" s="26">
        <v>104</v>
      </c>
      <c r="J37" s="26">
        <f t="shared" si="0"/>
        <v>113</v>
      </c>
      <c r="K37" s="26">
        <v>0.4</v>
      </c>
      <c r="L37" s="26"/>
      <c r="M37" s="29">
        <f t="shared" si="1"/>
        <v>8.4</v>
      </c>
      <c r="N37" s="30">
        <f t="shared" si="2"/>
        <v>8.4241689840000014</v>
      </c>
      <c r="O37" s="26" t="s">
        <v>53</v>
      </c>
      <c r="P37" s="31" t="s">
        <v>19</v>
      </c>
    </row>
    <row r="38" spans="1:16" x14ac:dyDescent="0.25">
      <c r="A38" s="26">
        <v>37</v>
      </c>
      <c r="B38" s="27">
        <v>5037</v>
      </c>
      <c r="C38" s="26" t="s">
        <v>75</v>
      </c>
      <c r="D38" s="28" t="s">
        <v>76</v>
      </c>
      <c r="E38" s="26" t="s">
        <v>18</v>
      </c>
      <c r="F38" s="26"/>
      <c r="G38" s="29">
        <v>12</v>
      </c>
      <c r="H38" s="26">
        <v>94</v>
      </c>
      <c r="I38" s="26">
        <v>80</v>
      </c>
      <c r="J38" s="26">
        <f t="shared" si="0"/>
        <v>87</v>
      </c>
      <c r="K38" s="26"/>
      <c r="L38" s="26"/>
      <c r="M38" s="29">
        <f t="shared" si="1"/>
        <v>12</v>
      </c>
      <c r="N38" s="30">
        <f t="shared" si="2"/>
        <v>7.1336311199999995</v>
      </c>
      <c r="O38" s="26"/>
      <c r="P38" s="31" t="s">
        <v>30</v>
      </c>
    </row>
    <row r="39" spans="1:16" x14ac:dyDescent="0.25">
      <c r="A39" s="26">
        <v>38</v>
      </c>
      <c r="B39" s="27">
        <v>5038</v>
      </c>
      <c r="C39" s="26" t="s">
        <v>77</v>
      </c>
      <c r="D39" s="28">
        <v>2610</v>
      </c>
      <c r="E39" s="26" t="s">
        <v>18</v>
      </c>
      <c r="F39" s="26"/>
      <c r="G39" s="29">
        <v>12</v>
      </c>
      <c r="H39" s="26">
        <v>91</v>
      </c>
      <c r="I39" s="26">
        <v>77</v>
      </c>
      <c r="J39" s="26">
        <f t="shared" si="0"/>
        <v>84</v>
      </c>
      <c r="K39" s="26"/>
      <c r="L39" s="26"/>
      <c r="M39" s="29">
        <f t="shared" si="1"/>
        <v>12</v>
      </c>
      <c r="N39" s="30">
        <f t="shared" si="2"/>
        <v>6.6501388800000001</v>
      </c>
      <c r="O39" s="26"/>
      <c r="P39" s="31" t="s">
        <v>19</v>
      </c>
    </row>
    <row r="40" spans="1:16" x14ac:dyDescent="0.25">
      <c r="A40" s="26">
        <v>39</v>
      </c>
      <c r="B40" s="27">
        <v>5039</v>
      </c>
      <c r="C40" s="26" t="s">
        <v>78</v>
      </c>
      <c r="D40" s="28">
        <v>2612</v>
      </c>
      <c r="E40" s="26" t="s">
        <v>18</v>
      </c>
      <c r="F40" s="26"/>
      <c r="G40" s="29">
        <v>12</v>
      </c>
      <c r="H40" s="26">
        <v>91</v>
      </c>
      <c r="I40" s="26">
        <v>82</v>
      </c>
      <c r="J40" s="26">
        <f t="shared" si="0"/>
        <v>86</v>
      </c>
      <c r="K40" s="26"/>
      <c r="L40" s="26"/>
      <c r="M40" s="29">
        <f t="shared" si="1"/>
        <v>12</v>
      </c>
      <c r="N40" s="30">
        <f t="shared" si="2"/>
        <v>6.9705820799999998</v>
      </c>
      <c r="O40" s="26"/>
      <c r="P40" s="31" t="s">
        <v>19</v>
      </c>
    </row>
    <row r="41" spans="1:16" x14ac:dyDescent="0.25">
      <c r="A41" s="26">
        <v>40</v>
      </c>
      <c r="B41" s="27">
        <v>5040</v>
      </c>
      <c r="C41" s="26" t="s">
        <v>79</v>
      </c>
      <c r="D41" s="28" t="s">
        <v>80</v>
      </c>
      <c r="E41" s="26" t="s">
        <v>18</v>
      </c>
      <c r="F41" s="26"/>
      <c r="G41" s="29">
        <v>9</v>
      </c>
      <c r="H41" s="26">
        <v>147</v>
      </c>
      <c r="I41" s="26">
        <v>136</v>
      </c>
      <c r="J41" s="26">
        <f t="shared" si="0"/>
        <v>141</v>
      </c>
      <c r="K41" s="26">
        <v>0.5</v>
      </c>
      <c r="L41" s="26"/>
      <c r="M41" s="29">
        <f t="shared" si="1"/>
        <v>8.5</v>
      </c>
      <c r="N41" s="30">
        <f t="shared" si="2"/>
        <v>13.27235679</v>
      </c>
      <c r="O41" s="26"/>
      <c r="P41" s="31" t="s">
        <v>30</v>
      </c>
    </row>
    <row r="42" spans="1:16" x14ac:dyDescent="0.25">
      <c r="A42" s="26">
        <v>41</v>
      </c>
      <c r="B42" s="27">
        <v>5041</v>
      </c>
      <c r="C42" s="26" t="s">
        <v>81</v>
      </c>
      <c r="D42" s="28">
        <v>2446</v>
      </c>
      <c r="E42" s="26" t="s">
        <v>18</v>
      </c>
      <c r="F42" s="26"/>
      <c r="G42" s="29">
        <v>9.5</v>
      </c>
      <c r="H42" s="26">
        <v>136</v>
      </c>
      <c r="I42" s="26">
        <v>115</v>
      </c>
      <c r="J42" s="26">
        <f t="shared" si="0"/>
        <v>125</v>
      </c>
      <c r="K42" s="26"/>
      <c r="L42" s="26"/>
      <c r="M42" s="29">
        <f t="shared" si="1"/>
        <v>9.5</v>
      </c>
      <c r="N42" s="30">
        <f t="shared" si="2"/>
        <v>11.65828125</v>
      </c>
      <c r="O42" s="26"/>
      <c r="P42" s="31" t="s">
        <v>19</v>
      </c>
    </row>
    <row r="43" spans="1:16" x14ac:dyDescent="0.25">
      <c r="A43" s="26">
        <v>42</v>
      </c>
      <c r="B43" s="27">
        <v>5042</v>
      </c>
      <c r="C43" s="26" t="s">
        <v>82</v>
      </c>
      <c r="D43" s="28">
        <v>2447</v>
      </c>
      <c r="E43" s="26" t="s">
        <v>18</v>
      </c>
      <c r="F43" s="26"/>
      <c r="G43" s="29">
        <v>12</v>
      </c>
      <c r="H43" s="26">
        <v>95</v>
      </c>
      <c r="I43" s="26">
        <v>67</v>
      </c>
      <c r="J43" s="26">
        <f t="shared" si="0"/>
        <v>81</v>
      </c>
      <c r="K43" s="26"/>
      <c r="L43" s="26"/>
      <c r="M43" s="29">
        <f t="shared" si="1"/>
        <v>12</v>
      </c>
      <c r="N43" s="30">
        <f t="shared" si="2"/>
        <v>6.18361128</v>
      </c>
      <c r="O43" s="26"/>
      <c r="P43" s="31" t="s">
        <v>19</v>
      </c>
    </row>
    <row r="44" spans="1:16" x14ac:dyDescent="0.25">
      <c r="A44" s="26">
        <v>43</v>
      </c>
      <c r="B44" s="27">
        <v>5043</v>
      </c>
      <c r="C44" s="26" t="s">
        <v>83</v>
      </c>
      <c r="D44" s="28">
        <v>2448</v>
      </c>
      <c r="E44" s="26" t="s">
        <v>18</v>
      </c>
      <c r="F44" s="26"/>
      <c r="G44" s="29">
        <v>12</v>
      </c>
      <c r="H44" s="26">
        <v>84</v>
      </c>
      <c r="I44" s="26">
        <v>68</v>
      </c>
      <c r="J44" s="26">
        <f t="shared" si="0"/>
        <v>76</v>
      </c>
      <c r="K44" s="26"/>
      <c r="L44" s="26"/>
      <c r="M44" s="29">
        <f t="shared" si="1"/>
        <v>12</v>
      </c>
      <c r="N44" s="30">
        <f t="shared" si="2"/>
        <v>5.4437644800000005</v>
      </c>
      <c r="O44" s="26"/>
      <c r="P44" s="31" t="s">
        <v>30</v>
      </c>
    </row>
    <row r="45" spans="1:16" x14ac:dyDescent="0.25">
      <c r="A45" s="26">
        <v>44</v>
      </c>
      <c r="B45" s="27">
        <v>5044</v>
      </c>
      <c r="C45" s="26" t="s">
        <v>84</v>
      </c>
      <c r="D45" s="28">
        <v>2449</v>
      </c>
      <c r="E45" s="26" t="s">
        <v>18</v>
      </c>
      <c r="F45" s="26"/>
      <c r="G45" s="29">
        <v>10.6</v>
      </c>
      <c r="H45" s="26">
        <v>81</v>
      </c>
      <c r="I45" s="26">
        <v>77</v>
      </c>
      <c r="J45" s="26">
        <f t="shared" si="0"/>
        <v>79</v>
      </c>
      <c r="K45" s="26"/>
      <c r="L45" s="26"/>
      <c r="M45" s="29">
        <f t="shared" si="1"/>
        <v>10.6</v>
      </c>
      <c r="N45" s="30">
        <f t="shared" si="2"/>
        <v>5.195782283999999</v>
      </c>
      <c r="O45" s="26"/>
      <c r="P45" s="31" t="s">
        <v>19</v>
      </c>
    </row>
    <row r="46" spans="1:16" x14ac:dyDescent="0.25">
      <c r="A46" s="26">
        <v>45</v>
      </c>
      <c r="B46" s="27">
        <v>5045</v>
      </c>
      <c r="C46" s="26" t="s">
        <v>85</v>
      </c>
      <c r="D46" s="28" t="s">
        <v>86</v>
      </c>
      <c r="E46" s="26" t="s">
        <v>18</v>
      </c>
      <c r="F46" s="26"/>
      <c r="G46" s="29">
        <v>12</v>
      </c>
      <c r="H46" s="26">
        <v>101</v>
      </c>
      <c r="I46" s="26">
        <v>83</v>
      </c>
      <c r="J46" s="26">
        <f t="shared" si="0"/>
        <v>92</v>
      </c>
      <c r="K46" s="26"/>
      <c r="L46" s="26"/>
      <c r="M46" s="29">
        <f t="shared" si="1"/>
        <v>12</v>
      </c>
      <c r="N46" s="30">
        <f t="shared" si="2"/>
        <v>7.9771507199999991</v>
      </c>
      <c r="O46" s="26"/>
      <c r="P46" s="31" t="s">
        <v>19</v>
      </c>
    </row>
    <row r="47" spans="1:16" x14ac:dyDescent="0.25">
      <c r="A47" s="26">
        <v>46</v>
      </c>
      <c r="B47" s="27">
        <v>5046</v>
      </c>
      <c r="C47" s="26" t="s">
        <v>87</v>
      </c>
      <c r="D47" s="28">
        <v>3488</v>
      </c>
      <c r="E47" s="26" t="s">
        <v>18</v>
      </c>
      <c r="F47" s="26"/>
      <c r="G47" s="29">
        <v>14</v>
      </c>
      <c r="H47" s="26">
        <v>86</v>
      </c>
      <c r="I47" s="26">
        <v>66</v>
      </c>
      <c r="J47" s="26">
        <f t="shared" si="0"/>
        <v>76</v>
      </c>
      <c r="K47" s="26"/>
      <c r="L47" s="26"/>
      <c r="M47" s="29">
        <f t="shared" si="1"/>
        <v>14</v>
      </c>
      <c r="N47" s="30">
        <f t="shared" si="2"/>
        <v>6.3510585600000002</v>
      </c>
      <c r="O47" s="26"/>
      <c r="P47" s="31" t="s">
        <v>19</v>
      </c>
    </row>
    <row r="48" spans="1:16" x14ac:dyDescent="0.25">
      <c r="A48" s="26">
        <v>47</v>
      </c>
      <c r="B48" s="27">
        <v>5047</v>
      </c>
      <c r="C48" s="26" t="s">
        <v>88</v>
      </c>
      <c r="D48" s="28">
        <v>2444</v>
      </c>
      <c r="E48" s="26" t="s">
        <v>18</v>
      </c>
      <c r="F48" s="26"/>
      <c r="G48" s="29">
        <v>12</v>
      </c>
      <c r="H48" s="26">
        <v>103</v>
      </c>
      <c r="I48" s="26">
        <v>87</v>
      </c>
      <c r="J48" s="26">
        <f t="shared" si="0"/>
        <v>95</v>
      </c>
      <c r="K48" s="26"/>
      <c r="L48" s="26"/>
      <c r="M48" s="29">
        <f t="shared" si="1"/>
        <v>12</v>
      </c>
      <c r="N48" s="30">
        <f t="shared" si="2"/>
        <v>8.5058819999999997</v>
      </c>
      <c r="O48" s="26"/>
      <c r="P48" s="31" t="s">
        <v>19</v>
      </c>
    </row>
    <row r="49" spans="1:16" x14ac:dyDescent="0.25">
      <c r="A49" s="26">
        <v>48</v>
      </c>
      <c r="B49" s="27">
        <v>5048</v>
      </c>
      <c r="C49" s="26" t="s">
        <v>89</v>
      </c>
      <c r="D49" s="28">
        <v>3458</v>
      </c>
      <c r="E49" s="26" t="s">
        <v>18</v>
      </c>
      <c r="F49" s="26"/>
      <c r="G49" s="29">
        <v>12</v>
      </c>
      <c r="H49" s="26">
        <v>98</v>
      </c>
      <c r="I49" s="26">
        <v>76</v>
      </c>
      <c r="J49" s="26">
        <f t="shared" si="0"/>
        <v>87</v>
      </c>
      <c r="K49" s="26"/>
      <c r="L49" s="26"/>
      <c r="M49" s="29">
        <f t="shared" si="1"/>
        <v>12</v>
      </c>
      <c r="N49" s="30">
        <f t="shared" si="2"/>
        <v>7.1336311199999995</v>
      </c>
      <c r="O49" s="26"/>
      <c r="P49" s="31" t="s">
        <v>19</v>
      </c>
    </row>
    <row r="50" spans="1:16" x14ac:dyDescent="0.25">
      <c r="A50" s="26">
        <v>49</v>
      </c>
      <c r="B50" s="27">
        <v>5049</v>
      </c>
      <c r="C50" s="26" t="s">
        <v>90</v>
      </c>
      <c r="D50" s="28">
        <v>3460</v>
      </c>
      <c r="E50" s="26" t="s">
        <v>18</v>
      </c>
      <c r="F50" s="26"/>
      <c r="G50" s="29">
        <v>10.7</v>
      </c>
      <c r="H50" s="26">
        <v>90</v>
      </c>
      <c r="I50" s="26">
        <v>66</v>
      </c>
      <c r="J50" s="26">
        <f t="shared" si="0"/>
        <v>78</v>
      </c>
      <c r="K50" s="26"/>
      <c r="L50" s="26"/>
      <c r="M50" s="29">
        <f t="shared" si="1"/>
        <v>10.7</v>
      </c>
      <c r="N50" s="30">
        <f t="shared" si="2"/>
        <v>5.1128597519999994</v>
      </c>
      <c r="O50" s="26"/>
      <c r="P50" s="31" t="s">
        <v>19</v>
      </c>
    </row>
    <row r="51" spans="1:16" x14ac:dyDescent="0.25">
      <c r="A51" s="26">
        <v>50</v>
      </c>
      <c r="B51" s="27">
        <v>5089</v>
      </c>
      <c r="C51" s="26" t="s">
        <v>91</v>
      </c>
      <c r="D51" s="28">
        <v>3463</v>
      </c>
      <c r="E51" s="26" t="s">
        <v>18</v>
      </c>
      <c r="F51" s="26"/>
      <c r="G51" s="29">
        <v>10.4</v>
      </c>
      <c r="H51" s="26">
        <v>82</v>
      </c>
      <c r="I51" s="26">
        <v>70</v>
      </c>
      <c r="J51" s="26">
        <f t="shared" si="0"/>
        <v>76</v>
      </c>
      <c r="K51" s="26"/>
      <c r="L51" s="26"/>
      <c r="M51" s="29">
        <f t="shared" si="1"/>
        <v>10.4</v>
      </c>
      <c r="N51" s="30">
        <f t="shared" si="2"/>
        <v>4.7179292159999999</v>
      </c>
      <c r="O51" s="26"/>
      <c r="P51" s="31" t="s">
        <v>19</v>
      </c>
    </row>
    <row r="52" spans="1:16" x14ac:dyDescent="0.25">
      <c r="A52" s="26">
        <v>51</v>
      </c>
      <c r="B52" s="27">
        <v>5050</v>
      </c>
      <c r="C52" s="26" t="s">
        <v>92</v>
      </c>
      <c r="D52" s="28">
        <v>3466</v>
      </c>
      <c r="E52" s="26" t="s">
        <v>18</v>
      </c>
      <c r="F52" s="26"/>
      <c r="G52" s="29">
        <v>6.2</v>
      </c>
      <c r="H52" s="26">
        <v>87</v>
      </c>
      <c r="I52" s="26">
        <v>85</v>
      </c>
      <c r="J52" s="26">
        <f t="shared" si="0"/>
        <v>86</v>
      </c>
      <c r="K52" s="26"/>
      <c r="L52" s="26"/>
      <c r="M52" s="29">
        <f t="shared" si="1"/>
        <v>6.2</v>
      </c>
      <c r="N52" s="30">
        <f t="shared" si="2"/>
        <v>3.6014674080000004</v>
      </c>
      <c r="O52" s="26"/>
      <c r="P52" s="31" t="s">
        <v>19</v>
      </c>
    </row>
    <row r="53" spans="1:16" x14ac:dyDescent="0.25">
      <c r="A53" s="26">
        <v>52</v>
      </c>
      <c r="B53" s="27">
        <v>5051</v>
      </c>
      <c r="C53" s="26" t="s">
        <v>93</v>
      </c>
      <c r="D53" s="28">
        <v>3448</v>
      </c>
      <c r="E53" s="26" t="s">
        <v>18</v>
      </c>
      <c r="F53" s="26"/>
      <c r="G53" s="29">
        <v>12</v>
      </c>
      <c r="H53" s="26">
        <v>91</v>
      </c>
      <c r="I53" s="26">
        <v>74</v>
      </c>
      <c r="J53" s="26">
        <f t="shared" si="0"/>
        <v>82</v>
      </c>
      <c r="K53" s="26"/>
      <c r="L53" s="26"/>
      <c r="M53" s="29">
        <f t="shared" si="1"/>
        <v>12</v>
      </c>
      <c r="N53" s="30">
        <f t="shared" si="2"/>
        <v>6.3372355200000001</v>
      </c>
      <c r="O53" s="26"/>
      <c r="P53" s="31" t="s">
        <v>30</v>
      </c>
    </row>
    <row r="54" spans="1:16" x14ac:dyDescent="0.25">
      <c r="A54" s="26">
        <v>53</v>
      </c>
      <c r="B54" s="27">
        <v>5052</v>
      </c>
      <c r="C54" s="26" t="s">
        <v>94</v>
      </c>
      <c r="D54" s="28">
        <v>3451</v>
      </c>
      <c r="E54" s="26" t="s">
        <v>18</v>
      </c>
      <c r="F54" s="26"/>
      <c r="G54" s="29">
        <v>11.7</v>
      </c>
      <c r="H54" s="26">
        <v>98</v>
      </c>
      <c r="I54" s="26">
        <v>78</v>
      </c>
      <c r="J54" s="26">
        <f t="shared" si="0"/>
        <v>88</v>
      </c>
      <c r="K54" s="26"/>
      <c r="L54" s="26"/>
      <c r="M54" s="29">
        <f t="shared" si="1"/>
        <v>11.7</v>
      </c>
      <c r="N54" s="30">
        <f t="shared" si="2"/>
        <v>7.1161009919999998</v>
      </c>
      <c r="O54" s="26"/>
      <c r="P54" s="31" t="s">
        <v>19</v>
      </c>
    </row>
    <row r="55" spans="1:16" x14ac:dyDescent="0.25">
      <c r="A55" s="26">
        <v>54</v>
      </c>
      <c r="B55" s="27">
        <v>5053</v>
      </c>
      <c r="C55" s="26" t="s">
        <v>95</v>
      </c>
      <c r="D55" s="28">
        <v>3454</v>
      </c>
      <c r="E55" s="26" t="s">
        <v>18</v>
      </c>
      <c r="F55" s="26"/>
      <c r="G55" s="29">
        <v>10</v>
      </c>
      <c r="H55" s="26">
        <v>79</v>
      </c>
      <c r="I55" s="26">
        <v>75</v>
      </c>
      <c r="J55" s="26">
        <f t="shared" si="0"/>
        <v>77</v>
      </c>
      <c r="K55" s="26"/>
      <c r="L55" s="26"/>
      <c r="M55" s="29">
        <f t="shared" si="1"/>
        <v>10</v>
      </c>
      <c r="N55" s="30">
        <f t="shared" si="2"/>
        <v>4.6566366000000006</v>
      </c>
      <c r="O55" s="26"/>
      <c r="P55" s="31" t="s">
        <v>19</v>
      </c>
    </row>
    <row r="56" spans="1:16" x14ac:dyDescent="0.25">
      <c r="A56" s="26">
        <v>55</v>
      </c>
      <c r="B56" s="27">
        <v>5054</v>
      </c>
      <c r="C56" s="26" t="s">
        <v>96</v>
      </c>
      <c r="D56" s="28" t="s">
        <v>97</v>
      </c>
      <c r="E56" s="26" t="s">
        <v>18</v>
      </c>
      <c r="F56" s="26"/>
      <c r="G56" s="29">
        <v>10.6</v>
      </c>
      <c r="H56" s="26">
        <v>82</v>
      </c>
      <c r="I56" s="26">
        <v>71</v>
      </c>
      <c r="J56" s="26">
        <f t="shared" si="0"/>
        <v>76</v>
      </c>
      <c r="K56" s="26"/>
      <c r="L56" s="26"/>
      <c r="M56" s="29">
        <f t="shared" si="1"/>
        <v>10.6</v>
      </c>
      <c r="N56" s="30">
        <f t="shared" si="2"/>
        <v>4.8086586239999995</v>
      </c>
      <c r="O56" s="26"/>
      <c r="P56" s="31" t="s">
        <v>30</v>
      </c>
    </row>
    <row r="57" spans="1:16" x14ac:dyDescent="0.25">
      <c r="A57" s="26">
        <v>56</v>
      </c>
      <c r="B57" s="27">
        <v>5055</v>
      </c>
      <c r="C57" s="26" t="s">
        <v>98</v>
      </c>
      <c r="D57" s="28" t="s">
        <v>99</v>
      </c>
      <c r="E57" s="26" t="s">
        <v>18</v>
      </c>
      <c r="F57" s="26"/>
      <c r="G57" s="29">
        <v>10.5</v>
      </c>
      <c r="H57" s="26">
        <v>80</v>
      </c>
      <c r="I57" s="26">
        <v>76</v>
      </c>
      <c r="J57" s="26">
        <f t="shared" si="0"/>
        <v>78</v>
      </c>
      <c r="K57" s="26"/>
      <c r="L57" s="26"/>
      <c r="M57" s="29">
        <f t="shared" si="1"/>
        <v>10.5</v>
      </c>
      <c r="N57" s="30">
        <f t="shared" si="2"/>
        <v>5.0172922800000004</v>
      </c>
      <c r="O57" s="26"/>
      <c r="P57" s="31" t="s">
        <v>19</v>
      </c>
    </row>
    <row r="58" spans="1:16" x14ac:dyDescent="0.25">
      <c r="A58" s="26">
        <v>57</v>
      </c>
      <c r="B58" s="27">
        <v>5056</v>
      </c>
      <c r="C58" s="26" t="s">
        <v>100</v>
      </c>
      <c r="D58" s="28">
        <v>2439</v>
      </c>
      <c r="E58" s="26" t="s">
        <v>18</v>
      </c>
      <c r="F58" s="26"/>
      <c r="G58" s="29">
        <v>9.5</v>
      </c>
      <c r="H58" s="26">
        <v>98</v>
      </c>
      <c r="I58" s="26">
        <v>79</v>
      </c>
      <c r="J58" s="26">
        <f t="shared" si="0"/>
        <v>88</v>
      </c>
      <c r="K58" s="26"/>
      <c r="L58" s="26"/>
      <c r="M58" s="29">
        <f t="shared" si="1"/>
        <v>9.5</v>
      </c>
      <c r="N58" s="30">
        <f t="shared" si="2"/>
        <v>5.7780307199999994</v>
      </c>
      <c r="O58" s="26"/>
      <c r="P58" s="31" t="s">
        <v>19</v>
      </c>
    </row>
    <row r="59" spans="1:16" x14ac:dyDescent="0.25">
      <c r="A59" s="26">
        <v>58</v>
      </c>
      <c r="B59" s="27">
        <v>5057</v>
      </c>
      <c r="C59" s="26" t="s">
        <v>101</v>
      </c>
      <c r="D59" s="28">
        <v>2440</v>
      </c>
      <c r="E59" s="26" t="s">
        <v>18</v>
      </c>
      <c r="F59" s="26"/>
      <c r="G59" s="29">
        <v>11.4</v>
      </c>
      <c r="H59" s="26">
        <v>89</v>
      </c>
      <c r="I59" s="26">
        <v>70</v>
      </c>
      <c r="J59" s="26">
        <f t="shared" si="0"/>
        <v>79</v>
      </c>
      <c r="K59" s="26"/>
      <c r="L59" s="26"/>
      <c r="M59" s="29">
        <f t="shared" si="1"/>
        <v>11.4</v>
      </c>
      <c r="N59" s="30">
        <f t="shared" si="2"/>
        <v>5.5879167960000009</v>
      </c>
      <c r="O59" s="26"/>
      <c r="P59" s="31" t="s">
        <v>30</v>
      </c>
    </row>
    <row r="60" spans="1:16" x14ac:dyDescent="0.25">
      <c r="A60" s="26">
        <v>59</v>
      </c>
      <c r="B60" s="27">
        <v>5058</v>
      </c>
      <c r="C60" s="26" t="s">
        <v>102</v>
      </c>
      <c r="D60" s="28" t="s">
        <v>103</v>
      </c>
      <c r="E60" s="26" t="s">
        <v>18</v>
      </c>
      <c r="F60" s="26"/>
      <c r="G60" s="29">
        <v>12.5</v>
      </c>
      <c r="H60" s="26">
        <v>86</v>
      </c>
      <c r="I60" s="26">
        <v>75</v>
      </c>
      <c r="J60" s="26">
        <f t="shared" si="0"/>
        <v>80</v>
      </c>
      <c r="K60" s="26"/>
      <c r="L60" s="26"/>
      <c r="M60" s="29">
        <f t="shared" si="1"/>
        <v>12.5</v>
      </c>
      <c r="N60" s="30">
        <f t="shared" si="2"/>
        <v>6.2831999999999999</v>
      </c>
      <c r="O60" s="26"/>
      <c r="P60" s="31" t="s">
        <v>19</v>
      </c>
    </row>
    <row r="61" spans="1:16" x14ac:dyDescent="0.25">
      <c r="A61" s="26">
        <v>60</v>
      </c>
      <c r="B61" s="27">
        <v>5190</v>
      </c>
      <c r="C61" s="26" t="s">
        <v>104</v>
      </c>
      <c r="D61" s="28">
        <v>2443</v>
      </c>
      <c r="E61" s="26" t="s">
        <v>18</v>
      </c>
      <c r="F61" s="26"/>
      <c r="G61" s="29">
        <v>8.1999999999999993</v>
      </c>
      <c r="H61" s="26">
        <v>77</v>
      </c>
      <c r="I61" s="26">
        <v>76</v>
      </c>
      <c r="J61" s="26">
        <f t="shared" si="0"/>
        <v>76</v>
      </c>
      <c r="K61" s="26"/>
      <c r="L61" s="26"/>
      <c r="M61" s="29">
        <f t="shared" si="1"/>
        <v>8.1999999999999993</v>
      </c>
      <c r="N61" s="30">
        <f t="shared" si="2"/>
        <v>3.7199057279999992</v>
      </c>
      <c r="O61" s="26"/>
      <c r="P61" s="31" t="s">
        <v>19</v>
      </c>
    </row>
    <row r="62" spans="1:16" x14ac:dyDescent="0.25">
      <c r="A62" s="26">
        <v>61</v>
      </c>
      <c r="B62" s="27">
        <v>5193</v>
      </c>
      <c r="C62" s="26" t="s">
        <v>105</v>
      </c>
      <c r="D62" s="28" t="s">
        <v>106</v>
      </c>
      <c r="E62" s="26" t="s">
        <v>18</v>
      </c>
      <c r="F62" s="26"/>
      <c r="G62" s="29">
        <v>4.2</v>
      </c>
      <c r="H62" s="26">
        <v>80</v>
      </c>
      <c r="I62" s="26">
        <v>74</v>
      </c>
      <c r="J62" s="26">
        <f t="shared" si="0"/>
        <v>77</v>
      </c>
      <c r="K62" s="26"/>
      <c r="L62" s="26"/>
      <c r="M62" s="29">
        <f t="shared" si="1"/>
        <v>4.2</v>
      </c>
      <c r="N62" s="30">
        <f t="shared" si="2"/>
        <v>1.9557873719999999</v>
      </c>
      <c r="O62" s="26"/>
      <c r="P62" s="31" t="s">
        <v>19</v>
      </c>
    </row>
    <row r="63" spans="1:16" x14ac:dyDescent="0.25">
      <c r="A63" s="26">
        <v>62</v>
      </c>
      <c r="B63" s="27">
        <v>5059</v>
      </c>
      <c r="C63" s="26" t="s">
        <v>107</v>
      </c>
      <c r="D63" s="28">
        <v>3343</v>
      </c>
      <c r="E63" s="26" t="s">
        <v>18</v>
      </c>
      <c r="F63" s="26"/>
      <c r="G63" s="29">
        <v>12.5</v>
      </c>
      <c r="H63" s="26">
        <v>97</v>
      </c>
      <c r="I63" s="26">
        <v>72</v>
      </c>
      <c r="J63" s="26">
        <f t="shared" si="0"/>
        <v>84</v>
      </c>
      <c r="K63" s="26"/>
      <c r="L63" s="26"/>
      <c r="M63" s="29">
        <f t="shared" si="1"/>
        <v>12.5</v>
      </c>
      <c r="N63" s="30">
        <f t="shared" si="2"/>
        <v>6.9272279999999995</v>
      </c>
      <c r="O63" s="26"/>
      <c r="P63" s="31" t="s">
        <v>19</v>
      </c>
    </row>
    <row r="64" spans="1:16" x14ac:dyDescent="0.25">
      <c r="A64" s="26">
        <v>63</v>
      </c>
      <c r="B64" s="27">
        <v>5088</v>
      </c>
      <c r="C64" s="26" t="s">
        <v>108</v>
      </c>
      <c r="D64" s="28">
        <v>3350</v>
      </c>
      <c r="E64" s="26" t="s">
        <v>18</v>
      </c>
      <c r="F64" s="26"/>
      <c r="G64" s="29">
        <v>12.5</v>
      </c>
      <c r="H64" s="26">
        <v>85</v>
      </c>
      <c r="I64" s="26">
        <v>70</v>
      </c>
      <c r="J64" s="26">
        <f t="shared" si="0"/>
        <v>77</v>
      </c>
      <c r="K64" s="26"/>
      <c r="L64" s="26"/>
      <c r="M64" s="29">
        <f t="shared" si="1"/>
        <v>12.5</v>
      </c>
      <c r="N64" s="30">
        <f t="shared" si="2"/>
        <v>5.8207957499999994</v>
      </c>
      <c r="O64" s="26"/>
      <c r="P64" s="31" t="s">
        <v>19</v>
      </c>
    </row>
    <row r="65" spans="1:16" x14ac:dyDescent="0.25">
      <c r="A65" s="26">
        <v>64</v>
      </c>
      <c r="B65" s="27">
        <v>5060</v>
      </c>
      <c r="C65" s="26" t="s">
        <v>109</v>
      </c>
      <c r="D65" s="28">
        <v>3352</v>
      </c>
      <c r="E65" s="26" t="s">
        <v>18</v>
      </c>
      <c r="F65" s="26"/>
      <c r="G65" s="29">
        <v>11.6</v>
      </c>
      <c r="H65" s="26">
        <v>110</v>
      </c>
      <c r="I65" s="26">
        <v>94</v>
      </c>
      <c r="J65" s="26">
        <f t="shared" si="0"/>
        <v>102</v>
      </c>
      <c r="K65" s="26"/>
      <c r="L65" s="26"/>
      <c r="M65" s="29">
        <f t="shared" si="1"/>
        <v>11.6</v>
      </c>
      <c r="N65" s="30">
        <f t="shared" si="2"/>
        <v>9.478709856</v>
      </c>
      <c r="O65" s="26"/>
      <c r="P65" s="31" t="s">
        <v>19</v>
      </c>
    </row>
    <row r="66" spans="1:16" x14ac:dyDescent="0.25">
      <c r="A66" s="26">
        <v>65</v>
      </c>
      <c r="B66" s="27">
        <v>5061</v>
      </c>
      <c r="C66" s="26" t="s">
        <v>110</v>
      </c>
      <c r="D66" s="28" t="s">
        <v>111</v>
      </c>
      <c r="E66" s="26" t="s">
        <v>18</v>
      </c>
      <c r="F66" s="26"/>
      <c r="G66" s="29">
        <v>12.6</v>
      </c>
      <c r="H66" s="26">
        <v>83</v>
      </c>
      <c r="I66" s="26">
        <v>77</v>
      </c>
      <c r="J66" s="26">
        <f t="shared" ref="J66:J129" si="3">ROUNDDOWN((H66+I66)/2,0)</f>
        <v>80</v>
      </c>
      <c r="K66" s="26"/>
      <c r="L66" s="26"/>
      <c r="M66" s="29">
        <f t="shared" ref="M66:M129" si="4">G66-K66</f>
        <v>12.6</v>
      </c>
      <c r="N66" s="30">
        <f t="shared" ref="N66:N129" si="5">J66*J66*M66*0.7854/10000</f>
        <v>6.3334655999999994</v>
      </c>
      <c r="O66" s="26"/>
      <c r="P66" s="31" t="s">
        <v>19</v>
      </c>
    </row>
    <row r="67" spans="1:16" x14ac:dyDescent="0.25">
      <c r="A67" s="26">
        <v>66</v>
      </c>
      <c r="B67" s="27">
        <v>5062</v>
      </c>
      <c r="C67" s="26" t="s">
        <v>28</v>
      </c>
      <c r="D67" s="28" t="s">
        <v>112</v>
      </c>
      <c r="E67" s="26" t="s">
        <v>18</v>
      </c>
      <c r="F67" s="26"/>
      <c r="G67" s="29">
        <v>12</v>
      </c>
      <c r="H67" s="26">
        <v>94</v>
      </c>
      <c r="I67" s="26">
        <v>89</v>
      </c>
      <c r="J67" s="26">
        <f t="shared" si="3"/>
        <v>91</v>
      </c>
      <c r="K67" s="26"/>
      <c r="L67" s="26"/>
      <c r="M67" s="29">
        <f t="shared" si="4"/>
        <v>12</v>
      </c>
      <c r="N67" s="30">
        <f t="shared" si="5"/>
        <v>7.8046768800000006</v>
      </c>
      <c r="O67" s="26"/>
      <c r="P67" s="31" t="s">
        <v>19</v>
      </c>
    </row>
    <row r="68" spans="1:16" x14ac:dyDescent="0.25">
      <c r="A68" s="26">
        <v>67</v>
      </c>
      <c r="B68" s="27">
        <v>5063</v>
      </c>
      <c r="C68" s="26" t="s">
        <v>113</v>
      </c>
      <c r="D68" s="28" t="s">
        <v>114</v>
      </c>
      <c r="E68" s="26" t="s">
        <v>18</v>
      </c>
      <c r="F68" s="26"/>
      <c r="G68" s="29">
        <v>12</v>
      </c>
      <c r="H68" s="26">
        <v>99</v>
      </c>
      <c r="I68" s="26">
        <v>85</v>
      </c>
      <c r="J68" s="26">
        <f t="shared" si="3"/>
        <v>92</v>
      </c>
      <c r="K68" s="26"/>
      <c r="L68" s="26"/>
      <c r="M68" s="29">
        <f t="shared" si="4"/>
        <v>12</v>
      </c>
      <c r="N68" s="30">
        <f t="shared" si="5"/>
        <v>7.9771507199999991</v>
      </c>
      <c r="O68" s="26"/>
      <c r="P68" s="31" t="s">
        <v>30</v>
      </c>
    </row>
    <row r="69" spans="1:16" x14ac:dyDescent="0.25">
      <c r="A69" s="26">
        <v>68</v>
      </c>
      <c r="B69" s="27">
        <v>5064</v>
      </c>
      <c r="C69" s="26" t="s">
        <v>115</v>
      </c>
      <c r="D69" s="28">
        <v>3355</v>
      </c>
      <c r="E69" s="26" t="s">
        <v>18</v>
      </c>
      <c r="F69" s="26"/>
      <c r="G69" s="29">
        <v>9.3000000000000007</v>
      </c>
      <c r="H69" s="26">
        <v>118</v>
      </c>
      <c r="I69" s="26">
        <v>109</v>
      </c>
      <c r="J69" s="26">
        <f t="shared" si="3"/>
        <v>113</v>
      </c>
      <c r="K69" s="26"/>
      <c r="L69" s="26"/>
      <c r="M69" s="29">
        <f t="shared" si="4"/>
        <v>9.3000000000000007</v>
      </c>
      <c r="N69" s="30">
        <f t="shared" si="5"/>
        <v>9.3267585180000001</v>
      </c>
      <c r="O69" s="26"/>
      <c r="P69" s="31" t="s">
        <v>19</v>
      </c>
    </row>
    <row r="70" spans="1:16" x14ac:dyDescent="0.25">
      <c r="A70" s="26">
        <v>69</v>
      </c>
      <c r="B70" s="27">
        <v>5066</v>
      </c>
      <c r="C70" s="26" t="s">
        <v>116</v>
      </c>
      <c r="D70" s="28">
        <v>3166</v>
      </c>
      <c r="E70" s="26" t="s">
        <v>18</v>
      </c>
      <c r="F70" s="26"/>
      <c r="G70" s="29">
        <v>12</v>
      </c>
      <c r="H70" s="26">
        <v>99</v>
      </c>
      <c r="I70" s="26">
        <v>84</v>
      </c>
      <c r="J70" s="26">
        <f t="shared" si="3"/>
        <v>91</v>
      </c>
      <c r="K70" s="26"/>
      <c r="L70" s="26"/>
      <c r="M70" s="29">
        <f t="shared" si="4"/>
        <v>12</v>
      </c>
      <c r="N70" s="30">
        <f t="shared" si="5"/>
        <v>7.8046768800000006</v>
      </c>
      <c r="O70" s="26"/>
      <c r="P70" s="31" t="s">
        <v>19</v>
      </c>
    </row>
    <row r="71" spans="1:16" x14ac:dyDescent="0.25">
      <c r="A71" s="26">
        <v>70</v>
      </c>
      <c r="B71" s="27">
        <v>5065</v>
      </c>
      <c r="C71" s="26" t="s">
        <v>117</v>
      </c>
      <c r="D71" s="28">
        <v>3168</v>
      </c>
      <c r="E71" s="26" t="s">
        <v>18</v>
      </c>
      <c r="F71" s="26"/>
      <c r="G71" s="29">
        <v>4.4000000000000004</v>
      </c>
      <c r="H71" s="26">
        <v>98</v>
      </c>
      <c r="I71" s="26">
        <v>92</v>
      </c>
      <c r="J71" s="26">
        <f t="shared" si="3"/>
        <v>95</v>
      </c>
      <c r="K71" s="26">
        <v>0.4</v>
      </c>
      <c r="L71" s="26"/>
      <c r="M71" s="29">
        <f t="shared" si="4"/>
        <v>4</v>
      </c>
      <c r="N71" s="30">
        <f t="shared" si="5"/>
        <v>2.8352939999999998</v>
      </c>
      <c r="O71" s="26" t="s">
        <v>21</v>
      </c>
      <c r="P71" s="31" t="s">
        <v>30</v>
      </c>
    </row>
    <row r="72" spans="1:16" x14ac:dyDescent="0.25">
      <c r="A72" s="26">
        <v>71</v>
      </c>
      <c r="B72" s="27">
        <v>5067</v>
      </c>
      <c r="C72" s="26" t="s">
        <v>118</v>
      </c>
      <c r="D72" s="28">
        <v>3324</v>
      </c>
      <c r="E72" s="26" t="s">
        <v>18</v>
      </c>
      <c r="F72" s="26"/>
      <c r="G72" s="29">
        <v>11.3</v>
      </c>
      <c r="H72" s="26">
        <v>97</v>
      </c>
      <c r="I72" s="26">
        <v>88</v>
      </c>
      <c r="J72" s="26">
        <f t="shared" si="3"/>
        <v>92</v>
      </c>
      <c r="K72" s="26">
        <v>0.4</v>
      </c>
      <c r="L72" s="26"/>
      <c r="M72" s="29">
        <f t="shared" si="4"/>
        <v>10.9</v>
      </c>
      <c r="N72" s="30">
        <f t="shared" si="5"/>
        <v>7.2459119040000006</v>
      </c>
      <c r="O72" s="26" t="s">
        <v>53</v>
      </c>
      <c r="P72" s="31" t="s">
        <v>19</v>
      </c>
    </row>
    <row r="73" spans="1:16" x14ac:dyDescent="0.25">
      <c r="A73" s="26">
        <v>72</v>
      </c>
      <c r="B73" s="27">
        <v>5068</v>
      </c>
      <c r="C73" s="26" t="s">
        <v>119</v>
      </c>
      <c r="D73" s="28">
        <v>3169</v>
      </c>
      <c r="E73" s="26" t="s">
        <v>18</v>
      </c>
      <c r="F73" s="26"/>
      <c r="G73" s="29">
        <v>9</v>
      </c>
      <c r="H73" s="26">
        <v>134</v>
      </c>
      <c r="I73" s="26">
        <v>118</v>
      </c>
      <c r="J73" s="26">
        <f t="shared" si="3"/>
        <v>126</v>
      </c>
      <c r="K73" s="26"/>
      <c r="L73" s="26"/>
      <c r="M73" s="29">
        <f t="shared" si="4"/>
        <v>9</v>
      </c>
      <c r="N73" s="30">
        <f t="shared" si="5"/>
        <v>11.222109359999999</v>
      </c>
      <c r="O73" s="26"/>
      <c r="P73" s="31" t="s">
        <v>19</v>
      </c>
    </row>
    <row r="74" spans="1:16" x14ac:dyDescent="0.25">
      <c r="A74" s="26">
        <v>73</v>
      </c>
      <c r="B74" s="27">
        <v>5069</v>
      </c>
      <c r="C74" s="26" t="s">
        <v>120</v>
      </c>
      <c r="D74" s="28">
        <v>3172</v>
      </c>
      <c r="E74" s="26" t="s">
        <v>18</v>
      </c>
      <c r="F74" s="26"/>
      <c r="G74" s="29">
        <v>11</v>
      </c>
      <c r="H74" s="26">
        <v>110</v>
      </c>
      <c r="I74" s="26">
        <v>94</v>
      </c>
      <c r="J74" s="26">
        <f t="shared" si="3"/>
        <v>102</v>
      </c>
      <c r="K74" s="26"/>
      <c r="L74" s="26"/>
      <c r="M74" s="29">
        <f t="shared" si="4"/>
        <v>11</v>
      </c>
      <c r="N74" s="30">
        <f t="shared" si="5"/>
        <v>8.9884317599999992</v>
      </c>
      <c r="O74" s="26"/>
      <c r="P74" s="31" t="s">
        <v>30</v>
      </c>
    </row>
    <row r="75" spans="1:16" x14ac:dyDescent="0.25">
      <c r="A75" s="26">
        <v>74</v>
      </c>
      <c r="B75" s="27">
        <v>5079</v>
      </c>
      <c r="C75" s="26" t="s">
        <v>121</v>
      </c>
      <c r="D75" s="28">
        <v>3336</v>
      </c>
      <c r="E75" s="26" t="s">
        <v>18</v>
      </c>
      <c r="F75" s="26"/>
      <c r="G75" s="29">
        <v>12</v>
      </c>
      <c r="H75" s="26">
        <v>133</v>
      </c>
      <c r="I75" s="26">
        <v>114</v>
      </c>
      <c r="J75" s="26">
        <f t="shared" si="3"/>
        <v>123</v>
      </c>
      <c r="K75" s="26"/>
      <c r="L75" s="26"/>
      <c r="M75" s="29">
        <f t="shared" si="4"/>
        <v>12</v>
      </c>
      <c r="N75" s="30">
        <f t="shared" si="5"/>
        <v>14.25877992</v>
      </c>
      <c r="O75" s="26"/>
      <c r="P75" s="31" t="s">
        <v>19</v>
      </c>
    </row>
    <row r="76" spans="1:16" x14ac:dyDescent="0.25">
      <c r="A76" s="26">
        <v>75</v>
      </c>
      <c r="B76" s="27">
        <v>5080</v>
      </c>
      <c r="C76" s="26" t="s">
        <v>122</v>
      </c>
      <c r="D76" s="28">
        <v>3338</v>
      </c>
      <c r="E76" s="26" t="s">
        <v>18</v>
      </c>
      <c r="F76" s="26"/>
      <c r="G76" s="29">
        <v>12.2</v>
      </c>
      <c r="H76" s="26">
        <v>117</v>
      </c>
      <c r="I76" s="26">
        <v>107</v>
      </c>
      <c r="J76" s="26">
        <f t="shared" si="3"/>
        <v>112</v>
      </c>
      <c r="K76" s="26"/>
      <c r="L76" s="26"/>
      <c r="M76" s="29">
        <f t="shared" si="4"/>
        <v>12.2</v>
      </c>
      <c r="N76" s="30">
        <f t="shared" si="5"/>
        <v>12.019510272</v>
      </c>
      <c r="O76" s="26"/>
      <c r="P76" s="31" t="s">
        <v>19</v>
      </c>
    </row>
    <row r="77" spans="1:16" x14ac:dyDescent="0.25">
      <c r="A77" s="26">
        <v>76</v>
      </c>
      <c r="B77" s="27">
        <v>5081</v>
      </c>
      <c r="C77" s="26" t="s">
        <v>123</v>
      </c>
      <c r="D77" s="28">
        <v>3340</v>
      </c>
      <c r="E77" s="26" t="s">
        <v>18</v>
      </c>
      <c r="F77" s="26"/>
      <c r="G77" s="29">
        <v>5.7</v>
      </c>
      <c r="H77" s="26">
        <v>115</v>
      </c>
      <c r="I77" s="26">
        <v>107</v>
      </c>
      <c r="J77" s="26">
        <f t="shared" si="3"/>
        <v>111</v>
      </c>
      <c r="K77" s="26"/>
      <c r="L77" s="26"/>
      <c r="M77" s="29">
        <f t="shared" si="4"/>
        <v>5.7</v>
      </c>
      <c r="N77" s="30">
        <f t="shared" si="5"/>
        <v>5.5158406380000002</v>
      </c>
      <c r="O77" s="26"/>
      <c r="P77" s="31" t="s">
        <v>19</v>
      </c>
    </row>
    <row r="78" spans="1:16" x14ac:dyDescent="0.25">
      <c r="A78" s="26">
        <v>77</v>
      </c>
      <c r="B78" s="27">
        <v>5082</v>
      </c>
      <c r="C78" s="26" t="s">
        <v>124</v>
      </c>
      <c r="D78" s="28">
        <v>3342</v>
      </c>
      <c r="E78" s="26" t="s">
        <v>18</v>
      </c>
      <c r="F78" s="26"/>
      <c r="G78" s="29">
        <v>10.9</v>
      </c>
      <c r="H78" s="26">
        <v>109</v>
      </c>
      <c r="I78" s="26">
        <v>80</v>
      </c>
      <c r="J78" s="26">
        <f t="shared" si="3"/>
        <v>94</v>
      </c>
      <c r="K78" s="26"/>
      <c r="L78" s="26"/>
      <c r="M78" s="29">
        <f t="shared" si="4"/>
        <v>10.9</v>
      </c>
      <c r="N78" s="30">
        <f t="shared" si="5"/>
        <v>7.5643758960000005</v>
      </c>
      <c r="O78" s="26"/>
      <c r="P78" s="31" t="s">
        <v>19</v>
      </c>
    </row>
    <row r="79" spans="1:16" x14ac:dyDescent="0.25">
      <c r="A79" s="26">
        <v>78</v>
      </c>
      <c r="B79" s="27">
        <v>5084</v>
      </c>
      <c r="C79" s="26" t="s">
        <v>125</v>
      </c>
      <c r="D79" s="28">
        <v>3105</v>
      </c>
      <c r="E79" s="26" t="s">
        <v>18</v>
      </c>
      <c r="F79" s="26"/>
      <c r="G79" s="29">
        <v>10.5</v>
      </c>
      <c r="H79" s="26">
        <v>86</v>
      </c>
      <c r="I79" s="26">
        <v>79</v>
      </c>
      <c r="J79" s="26">
        <f t="shared" si="3"/>
        <v>82</v>
      </c>
      <c r="K79" s="26"/>
      <c r="L79" s="26"/>
      <c r="M79" s="29">
        <f t="shared" si="4"/>
        <v>10.5</v>
      </c>
      <c r="N79" s="30">
        <f t="shared" si="5"/>
        <v>5.5450810800000001</v>
      </c>
      <c r="O79" s="26"/>
      <c r="P79" s="31" t="s">
        <v>19</v>
      </c>
    </row>
    <row r="80" spans="1:16" x14ac:dyDescent="0.25">
      <c r="A80" s="26">
        <v>79</v>
      </c>
      <c r="B80" s="27">
        <v>5083</v>
      </c>
      <c r="C80" s="26" t="s">
        <v>126</v>
      </c>
      <c r="D80" s="28">
        <v>3118</v>
      </c>
      <c r="E80" s="26" t="s">
        <v>18</v>
      </c>
      <c r="F80" s="26"/>
      <c r="G80" s="29">
        <v>14</v>
      </c>
      <c r="H80" s="26">
        <v>83</v>
      </c>
      <c r="I80" s="26">
        <v>70</v>
      </c>
      <c r="J80" s="26">
        <f t="shared" si="3"/>
        <v>76</v>
      </c>
      <c r="K80" s="26"/>
      <c r="L80" s="26"/>
      <c r="M80" s="29">
        <f t="shared" si="4"/>
        <v>14</v>
      </c>
      <c r="N80" s="30">
        <f t="shared" si="5"/>
        <v>6.3510585600000002</v>
      </c>
      <c r="O80" s="26"/>
      <c r="P80" s="31" t="s">
        <v>19</v>
      </c>
    </row>
    <row r="81" spans="1:16" x14ac:dyDescent="0.25">
      <c r="A81" s="26">
        <v>80</v>
      </c>
      <c r="B81" s="27">
        <v>5087</v>
      </c>
      <c r="C81" s="26" t="s">
        <v>127</v>
      </c>
      <c r="D81" s="28">
        <v>3197</v>
      </c>
      <c r="E81" s="26" t="s">
        <v>18</v>
      </c>
      <c r="F81" s="26"/>
      <c r="G81" s="29">
        <v>12</v>
      </c>
      <c r="H81" s="26">
        <v>83</v>
      </c>
      <c r="I81" s="26">
        <v>77</v>
      </c>
      <c r="J81" s="26">
        <f t="shared" si="3"/>
        <v>80</v>
      </c>
      <c r="K81" s="26">
        <v>0.5</v>
      </c>
      <c r="L81" s="26"/>
      <c r="M81" s="29">
        <f t="shared" si="4"/>
        <v>11.5</v>
      </c>
      <c r="N81" s="30">
        <f t="shared" si="5"/>
        <v>5.7805439999999999</v>
      </c>
      <c r="O81" s="26" t="s">
        <v>21</v>
      </c>
      <c r="P81" s="31" t="s">
        <v>19</v>
      </c>
    </row>
    <row r="82" spans="1:16" x14ac:dyDescent="0.25">
      <c r="A82" s="26">
        <v>81</v>
      </c>
      <c r="B82" s="27">
        <v>5086</v>
      </c>
      <c r="C82" s="26" t="s">
        <v>128</v>
      </c>
      <c r="D82" s="28">
        <v>3265</v>
      </c>
      <c r="E82" s="26" t="s">
        <v>18</v>
      </c>
      <c r="F82" s="26"/>
      <c r="G82" s="29">
        <v>4.7</v>
      </c>
      <c r="H82" s="26">
        <v>90</v>
      </c>
      <c r="I82" s="26">
        <v>88</v>
      </c>
      <c r="J82" s="26">
        <f t="shared" si="3"/>
        <v>89</v>
      </c>
      <c r="K82" s="26"/>
      <c r="L82" s="26"/>
      <c r="M82" s="29">
        <f t="shared" si="4"/>
        <v>4.7</v>
      </c>
      <c r="N82" s="30">
        <f t="shared" si="5"/>
        <v>2.9239420980000004</v>
      </c>
      <c r="O82" s="26"/>
      <c r="P82" s="31" t="s">
        <v>19</v>
      </c>
    </row>
    <row r="83" spans="1:16" x14ac:dyDescent="0.25">
      <c r="A83" s="26">
        <v>82</v>
      </c>
      <c r="B83" s="27">
        <v>5085</v>
      </c>
      <c r="C83" s="26" t="s">
        <v>129</v>
      </c>
      <c r="D83" s="28">
        <v>3266</v>
      </c>
      <c r="E83" s="26" t="s">
        <v>18</v>
      </c>
      <c r="F83" s="26"/>
      <c r="G83" s="29">
        <v>7</v>
      </c>
      <c r="H83" s="26">
        <v>79</v>
      </c>
      <c r="I83" s="26">
        <v>71</v>
      </c>
      <c r="J83" s="26">
        <f t="shared" si="3"/>
        <v>75</v>
      </c>
      <c r="K83" s="26"/>
      <c r="L83" s="26"/>
      <c r="M83" s="29">
        <f t="shared" si="4"/>
        <v>7</v>
      </c>
      <c r="N83" s="30">
        <f t="shared" si="5"/>
        <v>3.0925125000000002</v>
      </c>
      <c r="O83" s="26"/>
      <c r="P83" s="31" t="s">
        <v>30</v>
      </c>
    </row>
    <row r="84" spans="1:16" x14ac:dyDescent="0.25">
      <c r="A84" s="26">
        <v>83</v>
      </c>
      <c r="B84" s="27">
        <v>5072</v>
      </c>
      <c r="C84" s="26" t="s">
        <v>130</v>
      </c>
      <c r="D84" s="28">
        <v>3139</v>
      </c>
      <c r="E84" s="26" t="s">
        <v>18</v>
      </c>
      <c r="F84" s="26"/>
      <c r="G84" s="29">
        <v>12.9</v>
      </c>
      <c r="H84" s="26">
        <v>112</v>
      </c>
      <c r="I84" s="26">
        <v>88</v>
      </c>
      <c r="J84" s="26">
        <f t="shared" si="3"/>
        <v>100</v>
      </c>
      <c r="K84" s="26"/>
      <c r="L84" s="26"/>
      <c r="M84" s="29">
        <f t="shared" si="4"/>
        <v>12.9</v>
      </c>
      <c r="N84" s="30">
        <f t="shared" si="5"/>
        <v>10.131659999999998</v>
      </c>
      <c r="O84" s="26"/>
      <c r="P84" s="31" t="s">
        <v>19</v>
      </c>
    </row>
    <row r="85" spans="1:16" x14ac:dyDescent="0.25">
      <c r="A85" s="26">
        <v>84</v>
      </c>
      <c r="B85" s="27">
        <v>5070</v>
      </c>
      <c r="C85" s="26" t="s">
        <v>131</v>
      </c>
      <c r="D85" s="28">
        <v>3269</v>
      </c>
      <c r="E85" s="26" t="s">
        <v>18</v>
      </c>
      <c r="F85" s="26"/>
      <c r="G85" s="29">
        <v>10.9</v>
      </c>
      <c r="H85" s="26">
        <v>89</v>
      </c>
      <c r="I85" s="26">
        <v>82</v>
      </c>
      <c r="J85" s="26">
        <f t="shared" si="3"/>
        <v>85</v>
      </c>
      <c r="K85" s="26"/>
      <c r="L85" s="26"/>
      <c r="M85" s="29">
        <f t="shared" si="4"/>
        <v>10.9</v>
      </c>
      <c r="N85" s="30">
        <f t="shared" si="5"/>
        <v>6.18522135</v>
      </c>
      <c r="O85" s="26"/>
      <c r="P85" s="31" t="s">
        <v>19</v>
      </c>
    </row>
    <row r="86" spans="1:16" x14ac:dyDescent="0.25">
      <c r="A86" s="26">
        <v>85</v>
      </c>
      <c r="B86" s="27">
        <v>5071</v>
      </c>
      <c r="C86" s="26" t="s">
        <v>132</v>
      </c>
      <c r="D86" s="28" t="s">
        <v>133</v>
      </c>
      <c r="E86" s="26" t="s">
        <v>18</v>
      </c>
      <c r="F86" s="26"/>
      <c r="G86" s="29">
        <v>12.3</v>
      </c>
      <c r="H86" s="26">
        <v>108</v>
      </c>
      <c r="I86" s="26">
        <v>102</v>
      </c>
      <c r="J86" s="26">
        <f t="shared" si="3"/>
        <v>105</v>
      </c>
      <c r="K86" s="26"/>
      <c r="L86" s="26"/>
      <c r="M86" s="29">
        <f t="shared" si="4"/>
        <v>12.3</v>
      </c>
      <c r="N86" s="30">
        <f t="shared" si="5"/>
        <v>10.65061305</v>
      </c>
      <c r="O86" s="26"/>
      <c r="P86" s="31" t="s">
        <v>30</v>
      </c>
    </row>
    <row r="87" spans="1:16" x14ac:dyDescent="0.25">
      <c r="A87" s="26">
        <v>86</v>
      </c>
      <c r="B87" s="27">
        <v>5073</v>
      </c>
      <c r="C87" s="26" t="s">
        <v>134</v>
      </c>
      <c r="D87" s="28">
        <v>3295</v>
      </c>
      <c r="E87" s="26" t="s">
        <v>18</v>
      </c>
      <c r="F87" s="26"/>
      <c r="G87" s="29">
        <v>9.9</v>
      </c>
      <c r="H87" s="26">
        <v>84</v>
      </c>
      <c r="I87" s="26">
        <v>81</v>
      </c>
      <c r="J87" s="26">
        <f t="shared" si="3"/>
        <v>82</v>
      </c>
      <c r="K87" s="26"/>
      <c r="L87" s="26"/>
      <c r="M87" s="29">
        <f t="shared" si="4"/>
        <v>9.9</v>
      </c>
      <c r="N87" s="30">
        <f t="shared" si="5"/>
        <v>5.2282193040000005</v>
      </c>
      <c r="O87" s="26"/>
      <c r="P87" s="31" t="s">
        <v>19</v>
      </c>
    </row>
    <row r="88" spans="1:16" x14ac:dyDescent="0.25">
      <c r="A88" s="26">
        <v>87</v>
      </c>
      <c r="B88" s="27">
        <v>5074</v>
      </c>
      <c r="C88" s="26" t="s">
        <v>135</v>
      </c>
      <c r="D88" s="28">
        <v>3296</v>
      </c>
      <c r="E88" s="26" t="s">
        <v>18</v>
      </c>
      <c r="F88" s="26"/>
      <c r="G88" s="29">
        <v>13</v>
      </c>
      <c r="H88" s="26">
        <v>94</v>
      </c>
      <c r="I88" s="26">
        <v>79</v>
      </c>
      <c r="J88" s="26">
        <f t="shared" si="3"/>
        <v>86</v>
      </c>
      <c r="K88" s="26"/>
      <c r="L88" s="26"/>
      <c r="M88" s="29">
        <f t="shared" si="4"/>
        <v>13</v>
      </c>
      <c r="N88" s="30">
        <f t="shared" si="5"/>
        <v>7.5514639200000007</v>
      </c>
      <c r="O88" s="26"/>
      <c r="P88" s="31" t="s">
        <v>19</v>
      </c>
    </row>
    <row r="89" spans="1:16" x14ac:dyDescent="0.25">
      <c r="A89" s="26">
        <v>88</v>
      </c>
      <c r="B89" s="27">
        <v>5075</v>
      </c>
      <c r="C89" s="26" t="s">
        <v>136</v>
      </c>
      <c r="D89" s="28">
        <v>3297</v>
      </c>
      <c r="E89" s="26" t="s">
        <v>18</v>
      </c>
      <c r="F89" s="26"/>
      <c r="G89" s="29">
        <v>9.5</v>
      </c>
      <c r="H89" s="26">
        <v>85</v>
      </c>
      <c r="I89" s="26">
        <v>81</v>
      </c>
      <c r="J89" s="26">
        <f t="shared" si="3"/>
        <v>83</v>
      </c>
      <c r="K89" s="26"/>
      <c r="L89" s="26"/>
      <c r="M89" s="29">
        <f t="shared" si="4"/>
        <v>9.5</v>
      </c>
      <c r="N89" s="30">
        <f t="shared" si="5"/>
        <v>5.1400895699999998</v>
      </c>
      <c r="O89" s="26"/>
      <c r="P89" s="31" t="s">
        <v>30</v>
      </c>
    </row>
    <row r="90" spans="1:16" x14ac:dyDescent="0.25">
      <c r="A90" s="26">
        <v>89</v>
      </c>
      <c r="B90" s="27">
        <v>5076</v>
      </c>
      <c r="C90" s="26" t="s">
        <v>137</v>
      </c>
      <c r="D90" s="28">
        <v>3359</v>
      </c>
      <c r="E90" s="26" t="s">
        <v>18</v>
      </c>
      <c r="F90" s="26"/>
      <c r="G90" s="29">
        <v>10</v>
      </c>
      <c r="H90" s="26">
        <v>109</v>
      </c>
      <c r="I90" s="26">
        <v>91</v>
      </c>
      <c r="J90" s="26">
        <f t="shared" si="3"/>
        <v>100</v>
      </c>
      <c r="K90" s="26"/>
      <c r="L90" s="26"/>
      <c r="M90" s="29">
        <f t="shared" si="4"/>
        <v>10</v>
      </c>
      <c r="N90" s="30">
        <f t="shared" si="5"/>
        <v>7.8540000000000001</v>
      </c>
      <c r="O90" s="26"/>
      <c r="P90" s="31" t="s">
        <v>19</v>
      </c>
    </row>
    <row r="91" spans="1:16" x14ac:dyDescent="0.25">
      <c r="A91" s="26">
        <v>90</v>
      </c>
      <c r="B91" s="27">
        <v>5077</v>
      </c>
      <c r="C91" s="26" t="s">
        <v>138</v>
      </c>
      <c r="D91" s="28">
        <v>3360</v>
      </c>
      <c r="E91" s="26" t="s">
        <v>18</v>
      </c>
      <c r="F91" s="26"/>
      <c r="G91" s="29">
        <v>13.5</v>
      </c>
      <c r="H91" s="26">
        <v>81</v>
      </c>
      <c r="I91" s="26">
        <v>70</v>
      </c>
      <c r="J91" s="26">
        <f t="shared" si="3"/>
        <v>75</v>
      </c>
      <c r="K91" s="26"/>
      <c r="L91" s="26"/>
      <c r="M91" s="29">
        <f t="shared" si="4"/>
        <v>13.5</v>
      </c>
      <c r="N91" s="30">
        <f t="shared" si="5"/>
        <v>5.9641312500000003</v>
      </c>
      <c r="O91" s="26"/>
      <c r="P91" s="31" t="s">
        <v>19</v>
      </c>
    </row>
    <row r="92" spans="1:16" x14ac:dyDescent="0.25">
      <c r="A92" s="26">
        <v>91</v>
      </c>
      <c r="B92" s="27">
        <v>5078</v>
      </c>
      <c r="C92" s="26" t="s">
        <v>139</v>
      </c>
      <c r="D92" s="28">
        <v>3282</v>
      </c>
      <c r="E92" s="26" t="s">
        <v>18</v>
      </c>
      <c r="F92" s="26"/>
      <c r="G92" s="29">
        <v>7.5</v>
      </c>
      <c r="H92" s="26">
        <v>95</v>
      </c>
      <c r="I92" s="26">
        <v>84</v>
      </c>
      <c r="J92" s="26">
        <f t="shared" si="3"/>
        <v>89</v>
      </c>
      <c r="K92" s="26"/>
      <c r="L92" s="26"/>
      <c r="M92" s="29">
        <f t="shared" si="4"/>
        <v>7.5</v>
      </c>
      <c r="N92" s="30">
        <f t="shared" si="5"/>
        <v>4.6658650499999998</v>
      </c>
      <c r="O92" s="26"/>
      <c r="P92" s="31" t="s">
        <v>19</v>
      </c>
    </row>
    <row r="93" spans="1:16" x14ac:dyDescent="0.25">
      <c r="A93" s="26">
        <v>92</v>
      </c>
      <c r="B93" s="27">
        <v>5090</v>
      </c>
      <c r="C93" s="26" t="s">
        <v>140</v>
      </c>
      <c r="D93" s="28">
        <v>3280</v>
      </c>
      <c r="E93" s="26" t="s">
        <v>18</v>
      </c>
      <c r="F93" s="26"/>
      <c r="G93" s="29">
        <v>10.3</v>
      </c>
      <c r="H93" s="26">
        <v>102</v>
      </c>
      <c r="I93" s="26">
        <v>100</v>
      </c>
      <c r="J93" s="26">
        <f t="shared" si="3"/>
        <v>101</v>
      </c>
      <c r="K93" s="26">
        <v>0.4</v>
      </c>
      <c r="L93" s="26"/>
      <c r="M93" s="29">
        <f t="shared" si="4"/>
        <v>9.9</v>
      </c>
      <c r="N93" s="30">
        <f t="shared" si="5"/>
        <v>7.931746746</v>
      </c>
      <c r="O93" s="26" t="s">
        <v>21</v>
      </c>
      <c r="P93" s="31" t="s">
        <v>19</v>
      </c>
    </row>
    <row r="94" spans="1:16" x14ac:dyDescent="0.25">
      <c r="A94" s="26">
        <v>93</v>
      </c>
      <c r="B94" s="27">
        <v>5091</v>
      </c>
      <c r="C94" s="26" t="s">
        <v>141</v>
      </c>
      <c r="D94" s="28">
        <v>3276</v>
      </c>
      <c r="E94" s="26" t="s">
        <v>18</v>
      </c>
      <c r="F94" s="26"/>
      <c r="G94" s="29">
        <v>12</v>
      </c>
      <c r="H94" s="26">
        <v>105</v>
      </c>
      <c r="I94" s="26">
        <v>92</v>
      </c>
      <c r="J94" s="26">
        <f t="shared" si="3"/>
        <v>98</v>
      </c>
      <c r="K94" s="26"/>
      <c r="L94" s="26"/>
      <c r="M94" s="29">
        <f t="shared" si="4"/>
        <v>12</v>
      </c>
      <c r="N94" s="30">
        <f t="shared" si="5"/>
        <v>9.0515779199999997</v>
      </c>
      <c r="O94" s="26"/>
      <c r="P94" s="31" t="s">
        <v>19</v>
      </c>
    </row>
    <row r="95" spans="1:16" x14ac:dyDescent="0.25">
      <c r="A95" s="26">
        <v>94</v>
      </c>
      <c r="B95" s="27">
        <v>5092</v>
      </c>
      <c r="C95" s="26" t="s">
        <v>142</v>
      </c>
      <c r="D95" s="28" t="s">
        <v>143</v>
      </c>
      <c r="E95" s="26" t="s">
        <v>18</v>
      </c>
      <c r="F95" s="26"/>
      <c r="G95" s="29">
        <v>12</v>
      </c>
      <c r="H95" s="26">
        <v>85</v>
      </c>
      <c r="I95" s="26">
        <v>75</v>
      </c>
      <c r="J95" s="26">
        <f t="shared" si="3"/>
        <v>80</v>
      </c>
      <c r="K95" s="26">
        <v>0.5</v>
      </c>
      <c r="L95" s="26"/>
      <c r="M95" s="29">
        <f t="shared" si="4"/>
        <v>11.5</v>
      </c>
      <c r="N95" s="30">
        <f t="shared" si="5"/>
        <v>5.7805439999999999</v>
      </c>
      <c r="O95" s="26" t="s">
        <v>53</v>
      </c>
      <c r="P95" s="31" t="s">
        <v>19</v>
      </c>
    </row>
    <row r="96" spans="1:16" x14ac:dyDescent="0.25">
      <c r="A96" s="26">
        <v>95</v>
      </c>
      <c r="B96" s="27">
        <v>5093</v>
      </c>
      <c r="C96" s="26" t="s">
        <v>144</v>
      </c>
      <c r="D96" s="28">
        <v>3272</v>
      </c>
      <c r="E96" s="26" t="s">
        <v>18</v>
      </c>
      <c r="F96" s="26"/>
      <c r="G96" s="29">
        <v>11</v>
      </c>
      <c r="H96" s="26">
        <v>101</v>
      </c>
      <c r="I96" s="26">
        <v>85</v>
      </c>
      <c r="J96" s="26">
        <f t="shared" si="3"/>
        <v>93</v>
      </c>
      <c r="K96" s="26"/>
      <c r="L96" s="26"/>
      <c r="M96" s="29">
        <f t="shared" si="4"/>
        <v>11</v>
      </c>
      <c r="N96" s="30">
        <f t="shared" si="5"/>
        <v>7.4722170600000002</v>
      </c>
      <c r="O96" s="26"/>
      <c r="P96" s="31" t="s">
        <v>19</v>
      </c>
    </row>
    <row r="97" spans="1:16" x14ac:dyDescent="0.25">
      <c r="A97" s="26">
        <v>96</v>
      </c>
      <c r="B97" s="27">
        <v>5094</v>
      </c>
      <c r="C97" s="26" t="s">
        <v>145</v>
      </c>
      <c r="D97" s="28">
        <v>3300</v>
      </c>
      <c r="E97" s="26" t="s">
        <v>18</v>
      </c>
      <c r="F97" s="26"/>
      <c r="G97" s="29">
        <v>9.5</v>
      </c>
      <c r="H97" s="26">
        <v>103</v>
      </c>
      <c r="I97" s="26">
        <v>98</v>
      </c>
      <c r="J97" s="26">
        <f t="shared" si="3"/>
        <v>100</v>
      </c>
      <c r="K97" s="26"/>
      <c r="L97" s="26"/>
      <c r="M97" s="29">
        <f t="shared" si="4"/>
        <v>9.5</v>
      </c>
      <c r="N97" s="30">
        <f t="shared" si="5"/>
        <v>7.4612999999999996</v>
      </c>
      <c r="O97" s="26"/>
      <c r="P97" s="31" t="s">
        <v>19</v>
      </c>
    </row>
    <row r="98" spans="1:16" x14ac:dyDescent="0.25">
      <c r="A98" s="26">
        <v>97</v>
      </c>
      <c r="B98" s="27">
        <v>5095</v>
      </c>
      <c r="C98" s="26" t="s">
        <v>146</v>
      </c>
      <c r="D98" s="28" t="s">
        <v>147</v>
      </c>
      <c r="E98" s="26" t="s">
        <v>18</v>
      </c>
      <c r="F98" s="26"/>
      <c r="G98" s="29">
        <v>9.1999999999999993</v>
      </c>
      <c r="H98" s="26">
        <v>98</v>
      </c>
      <c r="I98" s="26">
        <v>88</v>
      </c>
      <c r="J98" s="26">
        <f t="shared" si="3"/>
        <v>93</v>
      </c>
      <c r="K98" s="26"/>
      <c r="L98" s="26"/>
      <c r="M98" s="29">
        <f t="shared" si="4"/>
        <v>9.1999999999999993</v>
      </c>
      <c r="N98" s="30">
        <f t="shared" si="5"/>
        <v>6.2494906319999988</v>
      </c>
      <c r="O98" s="26"/>
      <c r="P98" s="31" t="s">
        <v>30</v>
      </c>
    </row>
    <row r="99" spans="1:16" x14ac:dyDescent="0.25">
      <c r="A99" s="26">
        <v>98</v>
      </c>
      <c r="B99" s="27">
        <v>5096</v>
      </c>
      <c r="C99" s="26" t="s">
        <v>148</v>
      </c>
      <c r="D99" s="28" t="s">
        <v>149</v>
      </c>
      <c r="E99" s="26" t="s">
        <v>18</v>
      </c>
      <c r="F99" s="26"/>
      <c r="G99" s="29">
        <v>6.4</v>
      </c>
      <c r="H99" s="26">
        <v>105</v>
      </c>
      <c r="I99" s="26">
        <v>99</v>
      </c>
      <c r="J99" s="26">
        <f t="shared" si="3"/>
        <v>102</v>
      </c>
      <c r="K99" s="26"/>
      <c r="L99" s="26"/>
      <c r="M99" s="29">
        <f t="shared" si="4"/>
        <v>6.4</v>
      </c>
      <c r="N99" s="30">
        <f t="shared" si="5"/>
        <v>5.229633024</v>
      </c>
      <c r="O99" s="26"/>
      <c r="P99" s="31" t="s">
        <v>19</v>
      </c>
    </row>
    <row r="100" spans="1:16" x14ac:dyDescent="0.25">
      <c r="A100" s="26">
        <v>99</v>
      </c>
      <c r="B100" s="27">
        <v>5097</v>
      </c>
      <c r="C100" s="26" t="s">
        <v>150</v>
      </c>
      <c r="D100" s="28">
        <v>1452</v>
      </c>
      <c r="E100" s="26" t="s">
        <v>18</v>
      </c>
      <c r="F100" s="26"/>
      <c r="G100" s="29">
        <v>11</v>
      </c>
      <c r="H100" s="26">
        <v>89</v>
      </c>
      <c r="I100" s="26">
        <v>78</v>
      </c>
      <c r="J100" s="26">
        <f t="shared" si="3"/>
        <v>83</v>
      </c>
      <c r="K100" s="26"/>
      <c r="L100" s="26"/>
      <c r="M100" s="29">
        <f t="shared" si="4"/>
        <v>11</v>
      </c>
      <c r="N100" s="30">
        <f t="shared" si="5"/>
        <v>5.9516826600000003</v>
      </c>
      <c r="O100" s="26"/>
      <c r="P100" s="31" t="s">
        <v>19</v>
      </c>
    </row>
    <row r="101" spans="1:16" x14ac:dyDescent="0.25">
      <c r="A101" s="26">
        <v>100</v>
      </c>
      <c r="B101" s="27">
        <v>5098</v>
      </c>
      <c r="C101" s="26" t="s">
        <v>151</v>
      </c>
      <c r="D101" s="28" t="s">
        <v>152</v>
      </c>
      <c r="E101" s="26" t="s">
        <v>18</v>
      </c>
      <c r="F101" s="26"/>
      <c r="G101" s="29">
        <v>12</v>
      </c>
      <c r="H101" s="26">
        <v>120</v>
      </c>
      <c r="I101" s="26">
        <v>105</v>
      </c>
      <c r="J101" s="26">
        <f t="shared" si="3"/>
        <v>112</v>
      </c>
      <c r="K101" s="26"/>
      <c r="L101" s="26"/>
      <c r="M101" s="29">
        <f t="shared" si="4"/>
        <v>12</v>
      </c>
      <c r="N101" s="30">
        <f t="shared" si="5"/>
        <v>11.822469120000001</v>
      </c>
      <c r="O101" s="26"/>
      <c r="P101" s="31" t="s">
        <v>30</v>
      </c>
    </row>
    <row r="102" spans="1:16" x14ac:dyDescent="0.25">
      <c r="A102" s="26">
        <v>101</v>
      </c>
      <c r="B102" s="27">
        <v>5099</v>
      </c>
      <c r="C102" s="26" t="s">
        <v>153</v>
      </c>
      <c r="D102" s="28" t="s">
        <v>154</v>
      </c>
      <c r="E102" s="26" t="s">
        <v>18</v>
      </c>
      <c r="F102" s="26"/>
      <c r="G102" s="29">
        <v>11</v>
      </c>
      <c r="H102" s="26">
        <v>109</v>
      </c>
      <c r="I102" s="26">
        <v>91</v>
      </c>
      <c r="J102" s="26">
        <f t="shared" si="3"/>
        <v>100</v>
      </c>
      <c r="K102" s="26"/>
      <c r="L102" s="26"/>
      <c r="M102" s="29">
        <f t="shared" si="4"/>
        <v>11</v>
      </c>
      <c r="N102" s="30">
        <f t="shared" si="5"/>
        <v>8.6394000000000002</v>
      </c>
      <c r="O102" s="26"/>
      <c r="P102" s="31" t="s">
        <v>19</v>
      </c>
    </row>
    <row r="103" spans="1:16" x14ac:dyDescent="0.25">
      <c r="A103" s="26">
        <v>102</v>
      </c>
      <c r="B103" s="27">
        <v>5100</v>
      </c>
      <c r="C103" s="26" t="s">
        <v>155</v>
      </c>
      <c r="D103" s="28" t="s">
        <v>156</v>
      </c>
      <c r="E103" s="26" t="s">
        <v>18</v>
      </c>
      <c r="F103" s="26"/>
      <c r="G103" s="29">
        <v>6.6</v>
      </c>
      <c r="H103" s="26">
        <v>91</v>
      </c>
      <c r="I103" s="26">
        <v>81</v>
      </c>
      <c r="J103" s="26">
        <f t="shared" si="3"/>
        <v>86</v>
      </c>
      <c r="K103" s="26">
        <v>0.5</v>
      </c>
      <c r="L103" s="26"/>
      <c r="M103" s="29">
        <f t="shared" si="4"/>
        <v>6.1</v>
      </c>
      <c r="N103" s="30">
        <f t="shared" si="5"/>
        <v>3.5433792239999997</v>
      </c>
      <c r="O103" s="26" t="s">
        <v>157</v>
      </c>
      <c r="P103" s="31" t="s">
        <v>19</v>
      </c>
    </row>
    <row r="104" spans="1:16" x14ac:dyDescent="0.25">
      <c r="A104" s="26">
        <v>103</v>
      </c>
      <c r="B104" s="27">
        <v>5101</v>
      </c>
      <c r="C104" s="26" t="s">
        <v>158</v>
      </c>
      <c r="D104" s="28" t="s">
        <v>159</v>
      </c>
      <c r="E104" s="26" t="s">
        <v>18</v>
      </c>
      <c r="F104" s="26"/>
      <c r="G104" s="29">
        <v>9.4</v>
      </c>
      <c r="H104" s="26">
        <v>102</v>
      </c>
      <c r="I104" s="26">
        <v>93</v>
      </c>
      <c r="J104" s="26">
        <f t="shared" si="3"/>
        <v>97</v>
      </c>
      <c r="K104" s="26"/>
      <c r="L104" s="26"/>
      <c r="M104" s="29">
        <f t="shared" si="4"/>
        <v>9.4</v>
      </c>
      <c r="N104" s="30">
        <f t="shared" si="5"/>
        <v>6.946438884</v>
      </c>
      <c r="O104" s="26"/>
      <c r="P104" s="31" t="s">
        <v>30</v>
      </c>
    </row>
    <row r="105" spans="1:16" x14ac:dyDescent="0.25">
      <c r="A105" s="26">
        <v>104</v>
      </c>
      <c r="B105" s="27">
        <v>5102</v>
      </c>
      <c r="C105" s="26" t="s">
        <v>160</v>
      </c>
      <c r="D105" s="28" t="s">
        <v>161</v>
      </c>
      <c r="E105" s="26" t="s">
        <v>18</v>
      </c>
      <c r="F105" s="26"/>
      <c r="G105" s="29">
        <v>12</v>
      </c>
      <c r="H105" s="26">
        <v>93</v>
      </c>
      <c r="I105" s="26">
        <v>79</v>
      </c>
      <c r="J105" s="26">
        <f t="shared" si="3"/>
        <v>86</v>
      </c>
      <c r="K105" s="26"/>
      <c r="L105" s="26"/>
      <c r="M105" s="29">
        <f t="shared" si="4"/>
        <v>12</v>
      </c>
      <c r="N105" s="30">
        <f t="shared" si="5"/>
        <v>6.9705820799999998</v>
      </c>
      <c r="O105" s="26"/>
      <c r="P105" s="31" t="s">
        <v>19</v>
      </c>
    </row>
    <row r="106" spans="1:16" x14ac:dyDescent="0.25">
      <c r="A106" s="26">
        <v>105</v>
      </c>
      <c r="B106" s="27">
        <v>5103</v>
      </c>
      <c r="C106" s="26" t="s">
        <v>162</v>
      </c>
      <c r="D106" s="28" t="s">
        <v>163</v>
      </c>
      <c r="E106" s="26" t="s">
        <v>18</v>
      </c>
      <c r="F106" s="26"/>
      <c r="G106" s="29">
        <v>7.7</v>
      </c>
      <c r="H106" s="26">
        <v>103</v>
      </c>
      <c r="I106" s="26">
        <v>96</v>
      </c>
      <c r="J106" s="26">
        <f t="shared" si="3"/>
        <v>99</v>
      </c>
      <c r="K106" s="26"/>
      <c r="L106" s="26"/>
      <c r="M106" s="29">
        <f t="shared" si="4"/>
        <v>7.7</v>
      </c>
      <c r="N106" s="30">
        <f t="shared" si="5"/>
        <v>5.9272331579999999</v>
      </c>
      <c r="O106" s="26"/>
      <c r="P106" s="31" t="s">
        <v>19</v>
      </c>
    </row>
    <row r="107" spans="1:16" x14ac:dyDescent="0.25">
      <c r="A107" s="26">
        <v>106</v>
      </c>
      <c r="B107" s="27">
        <v>5104</v>
      </c>
      <c r="C107" s="26" t="s">
        <v>164</v>
      </c>
      <c r="D107" s="28" t="s">
        <v>165</v>
      </c>
      <c r="E107" s="26" t="s">
        <v>18</v>
      </c>
      <c r="F107" s="26"/>
      <c r="G107" s="29">
        <v>11</v>
      </c>
      <c r="H107" s="26">
        <v>113</v>
      </c>
      <c r="I107" s="26">
        <v>93</v>
      </c>
      <c r="J107" s="26">
        <f t="shared" si="3"/>
        <v>103</v>
      </c>
      <c r="K107" s="26">
        <v>0.5</v>
      </c>
      <c r="L107" s="26"/>
      <c r="M107" s="29">
        <f t="shared" si="4"/>
        <v>10.5</v>
      </c>
      <c r="N107" s="30">
        <f t="shared" si="5"/>
        <v>8.7489240300000013</v>
      </c>
      <c r="O107" s="26" t="s">
        <v>157</v>
      </c>
      <c r="P107" s="31" t="s">
        <v>19</v>
      </c>
    </row>
    <row r="108" spans="1:16" x14ac:dyDescent="0.25">
      <c r="A108" s="26">
        <v>107</v>
      </c>
      <c r="B108" s="27">
        <v>5105</v>
      </c>
      <c r="C108" s="26" t="s">
        <v>166</v>
      </c>
      <c r="D108" s="28">
        <v>1259</v>
      </c>
      <c r="E108" s="26" t="s">
        <v>18</v>
      </c>
      <c r="F108" s="26"/>
      <c r="G108" s="29">
        <v>12</v>
      </c>
      <c r="H108" s="26">
        <v>95</v>
      </c>
      <c r="I108" s="26">
        <v>81</v>
      </c>
      <c r="J108" s="26">
        <f t="shared" si="3"/>
        <v>88</v>
      </c>
      <c r="K108" s="26"/>
      <c r="L108" s="26"/>
      <c r="M108" s="29">
        <f t="shared" si="4"/>
        <v>12</v>
      </c>
      <c r="N108" s="30">
        <f t="shared" si="5"/>
        <v>7.2985651199999992</v>
      </c>
      <c r="O108" s="26"/>
      <c r="P108" s="31" t="s">
        <v>19</v>
      </c>
    </row>
    <row r="109" spans="1:16" x14ac:dyDescent="0.25">
      <c r="A109" s="26">
        <v>108</v>
      </c>
      <c r="B109" s="27">
        <v>5106</v>
      </c>
      <c r="C109" s="26" t="s">
        <v>167</v>
      </c>
      <c r="D109" s="28">
        <v>4744</v>
      </c>
      <c r="E109" s="26" t="s">
        <v>18</v>
      </c>
      <c r="F109" s="26"/>
      <c r="G109" s="29">
        <v>12.4</v>
      </c>
      <c r="H109" s="26">
        <v>94</v>
      </c>
      <c r="I109" s="26">
        <v>79</v>
      </c>
      <c r="J109" s="26">
        <f t="shared" si="3"/>
        <v>86</v>
      </c>
      <c r="K109" s="26"/>
      <c r="L109" s="26"/>
      <c r="M109" s="29">
        <f t="shared" si="4"/>
        <v>12.4</v>
      </c>
      <c r="N109" s="30">
        <f t="shared" si="5"/>
        <v>7.2029348160000009</v>
      </c>
      <c r="O109" s="26"/>
      <c r="P109" s="31" t="s">
        <v>19</v>
      </c>
    </row>
    <row r="110" spans="1:16" x14ac:dyDescent="0.25">
      <c r="A110" s="26">
        <v>109</v>
      </c>
      <c r="B110" s="27">
        <v>5107</v>
      </c>
      <c r="C110" s="26" t="s">
        <v>168</v>
      </c>
      <c r="D110" s="28">
        <v>1260</v>
      </c>
      <c r="E110" s="26" t="s">
        <v>18</v>
      </c>
      <c r="F110" s="26"/>
      <c r="G110" s="29">
        <v>11.5</v>
      </c>
      <c r="H110" s="26">
        <v>86</v>
      </c>
      <c r="I110" s="26">
        <v>84</v>
      </c>
      <c r="J110" s="26">
        <f t="shared" si="3"/>
        <v>85</v>
      </c>
      <c r="K110" s="26"/>
      <c r="L110" s="26"/>
      <c r="M110" s="29">
        <f t="shared" si="4"/>
        <v>11.5</v>
      </c>
      <c r="N110" s="30">
        <f t="shared" si="5"/>
        <v>6.5256922499999996</v>
      </c>
      <c r="O110" s="26"/>
      <c r="P110" s="31" t="s">
        <v>19</v>
      </c>
    </row>
    <row r="111" spans="1:16" x14ac:dyDescent="0.25">
      <c r="A111" s="26">
        <v>110</v>
      </c>
      <c r="B111" s="27">
        <v>5108</v>
      </c>
      <c r="C111" s="26" t="s">
        <v>169</v>
      </c>
      <c r="D111" s="28">
        <v>1456</v>
      </c>
      <c r="E111" s="26" t="s">
        <v>18</v>
      </c>
      <c r="F111" s="26"/>
      <c r="G111" s="29">
        <v>4.4000000000000004</v>
      </c>
      <c r="H111" s="26">
        <v>84</v>
      </c>
      <c r="I111" s="26">
        <v>73</v>
      </c>
      <c r="J111" s="26">
        <f t="shared" si="3"/>
        <v>78</v>
      </c>
      <c r="K111" s="26"/>
      <c r="L111" s="26"/>
      <c r="M111" s="29">
        <f t="shared" si="4"/>
        <v>4.4000000000000004</v>
      </c>
      <c r="N111" s="30">
        <f t="shared" si="5"/>
        <v>2.1024843840000003</v>
      </c>
      <c r="O111" s="26"/>
      <c r="P111" s="31" t="s">
        <v>19</v>
      </c>
    </row>
    <row r="112" spans="1:16" x14ac:dyDescent="0.25">
      <c r="A112" s="26">
        <v>111</v>
      </c>
      <c r="B112" s="27">
        <v>5109</v>
      </c>
      <c r="C112" s="26" t="s">
        <v>170</v>
      </c>
      <c r="D112" s="28">
        <v>1261</v>
      </c>
      <c r="E112" s="26" t="s">
        <v>18</v>
      </c>
      <c r="F112" s="26"/>
      <c r="G112" s="29">
        <v>10</v>
      </c>
      <c r="H112" s="26">
        <v>88</v>
      </c>
      <c r="I112" s="26">
        <v>74</v>
      </c>
      <c r="J112" s="26">
        <f t="shared" si="3"/>
        <v>81</v>
      </c>
      <c r="K112" s="26"/>
      <c r="L112" s="26"/>
      <c r="M112" s="29">
        <f t="shared" si="4"/>
        <v>10</v>
      </c>
      <c r="N112" s="30">
        <f t="shared" si="5"/>
        <v>5.1530093999999993</v>
      </c>
      <c r="O112" s="26"/>
      <c r="P112" s="31" t="s">
        <v>19</v>
      </c>
    </row>
    <row r="113" spans="1:16" x14ac:dyDescent="0.25">
      <c r="A113" s="26">
        <v>112</v>
      </c>
      <c r="B113" s="27">
        <v>5110</v>
      </c>
      <c r="C113" s="26" t="s">
        <v>171</v>
      </c>
      <c r="D113" s="28">
        <v>1262</v>
      </c>
      <c r="E113" s="26" t="s">
        <v>18</v>
      </c>
      <c r="F113" s="26"/>
      <c r="G113" s="29">
        <v>7</v>
      </c>
      <c r="H113" s="26">
        <v>87</v>
      </c>
      <c r="I113" s="26">
        <v>86</v>
      </c>
      <c r="J113" s="26">
        <f t="shared" si="3"/>
        <v>86</v>
      </c>
      <c r="K113" s="26"/>
      <c r="L113" s="26"/>
      <c r="M113" s="29">
        <f t="shared" si="4"/>
        <v>7</v>
      </c>
      <c r="N113" s="30">
        <f t="shared" si="5"/>
        <v>4.0661728799999999</v>
      </c>
      <c r="O113" s="26"/>
      <c r="P113" s="31" t="s">
        <v>30</v>
      </c>
    </row>
    <row r="114" spans="1:16" x14ac:dyDescent="0.25">
      <c r="A114" s="26">
        <v>113</v>
      </c>
      <c r="B114" s="27">
        <v>5111</v>
      </c>
      <c r="C114" s="26" t="s">
        <v>172</v>
      </c>
      <c r="D114" s="28" t="s">
        <v>173</v>
      </c>
      <c r="E114" s="26" t="s">
        <v>18</v>
      </c>
      <c r="F114" s="26"/>
      <c r="G114" s="29">
        <v>6</v>
      </c>
      <c r="H114" s="26">
        <v>103</v>
      </c>
      <c r="I114" s="26">
        <v>94</v>
      </c>
      <c r="J114" s="26">
        <f t="shared" si="3"/>
        <v>98</v>
      </c>
      <c r="K114" s="26"/>
      <c r="L114" s="26"/>
      <c r="M114" s="29">
        <f t="shared" si="4"/>
        <v>6</v>
      </c>
      <c r="N114" s="30">
        <f t="shared" si="5"/>
        <v>4.5257889599999999</v>
      </c>
      <c r="O114" s="26"/>
      <c r="P114" s="31" t="s">
        <v>19</v>
      </c>
    </row>
    <row r="115" spans="1:16" x14ac:dyDescent="0.25">
      <c r="A115" s="26">
        <v>114</v>
      </c>
      <c r="B115" s="27">
        <v>5112</v>
      </c>
      <c r="C115" s="26" t="s">
        <v>174</v>
      </c>
      <c r="D115" s="28" t="s">
        <v>175</v>
      </c>
      <c r="E115" s="26" t="s">
        <v>18</v>
      </c>
      <c r="F115" s="26"/>
      <c r="G115" s="29">
        <v>11</v>
      </c>
      <c r="H115" s="26">
        <v>103</v>
      </c>
      <c r="I115" s="26">
        <v>81</v>
      </c>
      <c r="J115" s="26">
        <f t="shared" si="3"/>
        <v>92</v>
      </c>
      <c r="K115" s="26"/>
      <c r="L115" s="26"/>
      <c r="M115" s="29">
        <f t="shared" si="4"/>
        <v>11</v>
      </c>
      <c r="N115" s="30">
        <f t="shared" si="5"/>
        <v>7.3123881599999994</v>
      </c>
      <c r="O115" s="26"/>
      <c r="P115" s="31" t="s">
        <v>19</v>
      </c>
    </row>
    <row r="116" spans="1:16" x14ac:dyDescent="0.25">
      <c r="A116" s="26">
        <v>115</v>
      </c>
      <c r="B116" s="27">
        <v>5113</v>
      </c>
      <c r="C116" s="26" t="s">
        <v>176</v>
      </c>
      <c r="D116" s="28" t="s">
        <v>173</v>
      </c>
      <c r="E116" s="26" t="s">
        <v>18</v>
      </c>
      <c r="F116" s="26"/>
      <c r="G116" s="29">
        <v>12</v>
      </c>
      <c r="H116" s="26">
        <v>83</v>
      </c>
      <c r="I116" s="26">
        <v>74</v>
      </c>
      <c r="J116" s="26">
        <f t="shared" si="3"/>
        <v>78</v>
      </c>
      <c r="K116" s="26"/>
      <c r="L116" s="26"/>
      <c r="M116" s="29">
        <f t="shared" si="4"/>
        <v>12</v>
      </c>
      <c r="N116" s="30">
        <f t="shared" si="5"/>
        <v>5.7340483200000003</v>
      </c>
      <c r="O116" s="26"/>
      <c r="P116" s="31" t="s">
        <v>30</v>
      </c>
    </row>
    <row r="117" spans="1:16" x14ac:dyDescent="0.25">
      <c r="A117" s="26">
        <v>116</v>
      </c>
      <c r="B117" s="27">
        <v>5114</v>
      </c>
      <c r="C117" s="26" t="s">
        <v>177</v>
      </c>
      <c r="D117" s="28" t="s">
        <v>178</v>
      </c>
      <c r="E117" s="26" t="s">
        <v>18</v>
      </c>
      <c r="F117" s="26"/>
      <c r="G117" s="29">
        <v>12</v>
      </c>
      <c r="H117" s="26">
        <v>77</v>
      </c>
      <c r="I117" s="26">
        <v>65</v>
      </c>
      <c r="J117" s="26">
        <f t="shared" si="3"/>
        <v>71</v>
      </c>
      <c r="K117" s="26">
        <v>0.5</v>
      </c>
      <c r="L117" s="26"/>
      <c r="M117" s="29">
        <f t="shared" si="4"/>
        <v>11.5</v>
      </c>
      <c r="N117" s="30">
        <f t="shared" si="5"/>
        <v>4.5530816099999996</v>
      </c>
      <c r="O117" s="26" t="s">
        <v>21</v>
      </c>
      <c r="P117" s="31" t="s">
        <v>19</v>
      </c>
    </row>
    <row r="118" spans="1:16" x14ac:dyDescent="0.25">
      <c r="A118" s="26">
        <v>117</v>
      </c>
      <c r="B118" s="27">
        <v>5115</v>
      </c>
      <c r="C118" s="26" t="s">
        <v>179</v>
      </c>
      <c r="D118" s="28" t="s">
        <v>180</v>
      </c>
      <c r="E118" s="26" t="s">
        <v>18</v>
      </c>
      <c r="F118" s="26"/>
      <c r="G118" s="29">
        <v>6.2</v>
      </c>
      <c r="H118" s="26">
        <v>79</v>
      </c>
      <c r="I118" s="26">
        <v>71</v>
      </c>
      <c r="J118" s="26">
        <f t="shared" si="3"/>
        <v>75</v>
      </c>
      <c r="K118" s="26"/>
      <c r="L118" s="26"/>
      <c r="M118" s="29">
        <f t="shared" si="4"/>
        <v>6.2</v>
      </c>
      <c r="N118" s="30">
        <f t="shared" si="5"/>
        <v>2.7390824999999999</v>
      </c>
      <c r="O118" s="26"/>
      <c r="P118" s="31" t="s">
        <v>19</v>
      </c>
    </row>
    <row r="119" spans="1:16" x14ac:dyDescent="0.25">
      <c r="A119" s="26">
        <v>118</v>
      </c>
      <c r="B119" s="27">
        <v>5116</v>
      </c>
      <c r="C119" s="26" t="s">
        <v>181</v>
      </c>
      <c r="D119" s="28" t="s">
        <v>182</v>
      </c>
      <c r="E119" s="26" t="s">
        <v>18</v>
      </c>
      <c r="F119" s="26"/>
      <c r="G119" s="29">
        <v>11</v>
      </c>
      <c r="H119" s="26">
        <v>91</v>
      </c>
      <c r="I119" s="26">
        <v>86</v>
      </c>
      <c r="J119" s="26">
        <f t="shared" si="3"/>
        <v>88</v>
      </c>
      <c r="K119" s="26"/>
      <c r="L119" s="26"/>
      <c r="M119" s="29">
        <f t="shared" si="4"/>
        <v>11</v>
      </c>
      <c r="N119" s="30">
        <f t="shared" si="5"/>
        <v>6.6903513600000002</v>
      </c>
      <c r="O119" s="26"/>
      <c r="P119" s="31" t="s">
        <v>30</v>
      </c>
    </row>
    <row r="120" spans="1:16" x14ac:dyDescent="0.25">
      <c r="A120" s="26">
        <v>119</v>
      </c>
      <c r="B120" s="27">
        <v>5117</v>
      </c>
      <c r="C120" s="26" t="s">
        <v>183</v>
      </c>
      <c r="D120" s="28" t="s">
        <v>184</v>
      </c>
      <c r="E120" s="26" t="s">
        <v>18</v>
      </c>
      <c r="F120" s="26"/>
      <c r="G120" s="29">
        <v>13</v>
      </c>
      <c r="H120" s="26">
        <v>84</v>
      </c>
      <c r="I120" s="26">
        <v>63</v>
      </c>
      <c r="J120" s="26">
        <f t="shared" si="3"/>
        <v>73</v>
      </c>
      <c r="K120" s="26"/>
      <c r="L120" s="26"/>
      <c r="M120" s="29">
        <f t="shared" si="4"/>
        <v>13</v>
      </c>
      <c r="N120" s="30">
        <f t="shared" si="5"/>
        <v>5.4410155800000002</v>
      </c>
      <c r="O120" s="26"/>
      <c r="P120" s="31" t="s">
        <v>19</v>
      </c>
    </row>
    <row r="121" spans="1:16" x14ac:dyDescent="0.25">
      <c r="A121" s="26">
        <v>120</v>
      </c>
      <c r="B121" s="27">
        <v>5118</v>
      </c>
      <c r="C121" s="26" t="s">
        <v>185</v>
      </c>
      <c r="D121" s="28" t="s">
        <v>186</v>
      </c>
      <c r="E121" s="26" t="s">
        <v>18</v>
      </c>
      <c r="F121" s="26"/>
      <c r="G121" s="29">
        <v>10.4</v>
      </c>
      <c r="H121" s="26">
        <v>82</v>
      </c>
      <c r="I121" s="26">
        <v>79</v>
      </c>
      <c r="J121" s="26">
        <f t="shared" si="3"/>
        <v>80</v>
      </c>
      <c r="K121" s="26"/>
      <c r="L121" s="26"/>
      <c r="M121" s="29">
        <f t="shared" si="4"/>
        <v>10.4</v>
      </c>
      <c r="N121" s="30">
        <f t="shared" si="5"/>
        <v>5.2276224000000004</v>
      </c>
      <c r="O121" s="26"/>
      <c r="P121" s="31" t="s">
        <v>19</v>
      </c>
    </row>
    <row r="122" spans="1:16" x14ac:dyDescent="0.25">
      <c r="A122" s="26">
        <v>121</v>
      </c>
      <c r="B122" s="27">
        <v>5119</v>
      </c>
      <c r="C122" s="26" t="s">
        <v>187</v>
      </c>
      <c r="D122" s="28" t="s">
        <v>188</v>
      </c>
      <c r="E122" s="26" t="s">
        <v>18</v>
      </c>
      <c r="F122" s="26"/>
      <c r="G122" s="29">
        <v>10</v>
      </c>
      <c r="H122" s="26">
        <v>115</v>
      </c>
      <c r="I122" s="26">
        <v>100</v>
      </c>
      <c r="J122" s="26">
        <f t="shared" si="3"/>
        <v>107</v>
      </c>
      <c r="K122" s="26"/>
      <c r="L122" s="26"/>
      <c r="M122" s="29">
        <f t="shared" si="4"/>
        <v>10</v>
      </c>
      <c r="N122" s="30">
        <f t="shared" si="5"/>
        <v>8.9920445999999998</v>
      </c>
      <c r="O122" s="26"/>
      <c r="P122" s="31" t="s">
        <v>19</v>
      </c>
    </row>
    <row r="123" spans="1:16" x14ac:dyDescent="0.25">
      <c r="A123" s="26">
        <v>122</v>
      </c>
      <c r="B123" s="27">
        <v>5120</v>
      </c>
      <c r="C123" s="26" t="s">
        <v>189</v>
      </c>
      <c r="D123" s="28" t="s">
        <v>190</v>
      </c>
      <c r="E123" s="26" t="s">
        <v>18</v>
      </c>
      <c r="F123" s="26"/>
      <c r="G123" s="29">
        <v>11</v>
      </c>
      <c r="H123" s="26">
        <v>93</v>
      </c>
      <c r="I123" s="26">
        <v>76</v>
      </c>
      <c r="J123" s="26">
        <f t="shared" si="3"/>
        <v>84</v>
      </c>
      <c r="K123" s="26"/>
      <c r="L123" s="26"/>
      <c r="M123" s="29">
        <f t="shared" si="4"/>
        <v>11</v>
      </c>
      <c r="N123" s="30">
        <f t="shared" si="5"/>
        <v>6.0959606399999995</v>
      </c>
      <c r="O123" s="26"/>
      <c r="P123" s="31" t="s">
        <v>19</v>
      </c>
    </row>
    <row r="124" spans="1:16" x14ac:dyDescent="0.25">
      <c r="A124" s="26">
        <v>123</v>
      </c>
      <c r="B124" s="27">
        <v>5121</v>
      </c>
      <c r="C124" s="26" t="s">
        <v>191</v>
      </c>
      <c r="D124" s="28" t="s">
        <v>192</v>
      </c>
      <c r="E124" s="26" t="s">
        <v>18</v>
      </c>
      <c r="F124" s="26"/>
      <c r="G124" s="29">
        <v>11</v>
      </c>
      <c r="H124" s="26">
        <v>79</v>
      </c>
      <c r="I124" s="26">
        <v>67</v>
      </c>
      <c r="J124" s="26">
        <f t="shared" si="3"/>
        <v>73</v>
      </c>
      <c r="K124" s="26"/>
      <c r="L124" s="26"/>
      <c r="M124" s="29">
        <f t="shared" si="4"/>
        <v>11</v>
      </c>
      <c r="N124" s="30">
        <f t="shared" si="5"/>
        <v>4.6039362600000002</v>
      </c>
      <c r="O124" s="26"/>
      <c r="P124" s="31" t="s">
        <v>19</v>
      </c>
    </row>
    <row r="125" spans="1:16" x14ac:dyDescent="0.25">
      <c r="A125" s="26">
        <v>124</v>
      </c>
      <c r="B125" s="27">
        <v>5209</v>
      </c>
      <c r="C125" s="26" t="s">
        <v>193</v>
      </c>
      <c r="D125" s="28" t="s">
        <v>194</v>
      </c>
      <c r="E125" s="26" t="s">
        <v>18</v>
      </c>
      <c r="F125" s="26"/>
      <c r="G125" s="29">
        <v>12</v>
      </c>
      <c r="H125" s="26">
        <v>89</v>
      </c>
      <c r="I125" s="26">
        <v>81</v>
      </c>
      <c r="J125" s="26">
        <f t="shared" si="3"/>
        <v>85</v>
      </c>
      <c r="K125" s="26"/>
      <c r="L125" s="26"/>
      <c r="M125" s="29">
        <f t="shared" si="4"/>
        <v>12</v>
      </c>
      <c r="N125" s="30">
        <f t="shared" si="5"/>
        <v>6.8094179999999991</v>
      </c>
      <c r="O125" s="26"/>
      <c r="P125" s="31" t="s">
        <v>19</v>
      </c>
    </row>
    <row r="126" spans="1:16" x14ac:dyDescent="0.25">
      <c r="A126" s="26">
        <v>125</v>
      </c>
      <c r="B126" s="27">
        <v>5210</v>
      </c>
      <c r="C126" s="26" t="s">
        <v>195</v>
      </c>
      <c r="D126" s="28" t="s">
        <v>196</v>
      </c>
      <c r="E126" s="26" t="s">
        <v>18</v>
      </c>
      <c r="F126" s="26"/>
      <c r="G126" s="29">
        <v>8.1999999999999993</v>
      </c>
      <c r="H126" s="26">
        <v>82</v>
      </c>
      <c r="I126" s="26">
        <v>77</v>
      </c>
      <c r="J126" s="26">
        <f t="shared" si="3"/>
        <v>79</v>
      </c>
      <c r="K126" s="26"/>
      <c r="L126" s="26"/>
      <c r="M126" s="29">
        <f t="shared" si="4"/>
        <v>8.1999999999999993</v>
      </c>
      <c r="N126" s="30">
        <f t="shared" si="5"/>
        <v>4.0193787480000003</v>
      </c>
      <c r="O126" s="26"/>
      <c r="P126" s="31" t="s">
        <v>19</v>
      </c>
    </row>
    <row r="127" spans="1:16" x14ac:dyDescent="0.25">
      <c r="A127" s="26">
        <v>126</v>
      </c>
      <c r="B127" s="27">
        <v>5211</v>
      </c>
      <c r="C127" s="26" t="s">
        <v>197</v>
      </c>
      <c r="D127" s="28">
        <v>1471</v>
      </c>
      <c r="E127" s="26" t="s">
        <v>18</v>
      </c>
      <c r="F127" s="26"/>
      <c r="G127" s="29">
        <v>6</v>
      </c>
      <c r="H127" s="26">
        <v>79</v>
      </c>
      <c r="I127" s="26">
        <v>76</v>
      </c>
      <c r="J127" s="26">
        <f t="shared" si="3"/>
        <v>77</v>
      </c>
      <c r="K127" s="26">
        <v>0.8</v>
      </c>
      <c r="L127" s="26"/>
      <c r="M127" s="29">
        <f t="shared" si="4"/>
        <v>5.2</v>
      </c>
      <c r="N127" s="30">
        <f t="shared" si="5"/>
        <v>2.4214510319999998</v>
      </c>
      <c r="O127" s="26"/>
      <c r="P127" s="31" t="s">
        <v>19</v>
      </c>
    </row>
    <row r="128" spans="1:16" x14ac:dyDescent="0.25">
      <c r="A128" s="26">
        <v>127</v>
      </c>
      <c r="B128" s="27">
        <v>5139</v>
      </c>
      <c r="C128" s="26" t="s">
        <v>198</v>
      </c>
      <c r="D128" s="28" t="s">
        <v>199</v>
      </c>
      <c r="E128" s="26" t="s">
        <v>18</v>
      </c>
      <c r="F128" s="26"/>
      <c r="G128" s="29">
        <v>11.3</v>
      </c>
      <c r="H128" s="26">
        <v>113</v>
      </c>
      <c r="I128" s="26">
        <v>85</v>
      </c>
      <c r="J128" s="26">
        <f t="shared" si="3"/>
        <v>99</v>
      </c>
      <c r="K128" s="26"/>
      <c r="L128" s="26"/>
      <c r="M128" s="29">
        <f t="shared" si="4"/>
        <v>11.3</v>
      </c>
      <c r="N128" s="30">
        <f t="shared" si="5"/>
        <v>8.6984071020000009</v>
      </c>
      <c r="O128" s="26"/>
      <c r="P128" s="31" t="s">
        <v>30</v>
      </c>
    </row>
    <row r="129" spans="1:16" x14ac:dyDescent="0.25">
      <c r="A129" s="26">
        <v>128</v>
      </c>
      <c r="B129" s="27">
        <v>5140</v>
      </c>
      <c r="C129" s="26" t="s">
        <v>200</v>
      </c>
      <c r="D129" s="28" t="s">
        <v>201</v>
      </c>
      <c r="E129" s="26" t="s">
        <v>18</v>
      </c>
      <c r="F129" s="26"/>
      <c r="G129" s="29">
        <v>10.9</v>
      </c>
      <c r="H129" s="26">
        <v>87</v>
      </c>
      <c r="I129" s="26">
        <v>78</v>
      </c>
      <c r="J129" s="26">
        <f t="shared" si="3"/>
        <v>82</v>
      </c>
      <c r="K129" s="26"/>
      <c r="L129" s="26"/>
      <c r="M129" s="29">
        <f t="shared" si="4"/>
        <v>10.9</v>
      </c>
      <c r="N129" s="30">
        <f t="shared" si="5"/>
        <v>5.7563222640000005</v>
      </c>
      <c r="O129" s="26"/>
      <c r="P129" s="31" t="s">
        <v>19</v>
      </c>
    </row>
    <row r="130" spans="1:16" x14ac:dyDescent="0.25">
      <c r="A130" s="26">
        <v>129</v>
      </c>
      <c r="B130" s="27">
        <v>5141</v>
      </c>
      <c r="C130" s="26" t="s">
        <v>202</v>
      </c>
      <c r="D130" s="28" t="s">
        <v>203</v>
      </c>
      <c r="E130" s="26" t="s">
        <v>18</v>
      </c>
      <c r="F130" s="26"/>
      <c r="G130" s="29">
        <v>14.4</v>
      </c>
      <c r="H130" s="26">
        <v>100</v>
      </c>
      <c r="I130" s="26">
        <v>88</v>
      </c>
      <c r="J130" s="26">
        <f t="shared" ref="J130:J193" si="6">ROUNDDOWN((H130+I130)/2,0)</f>
        <v>94</v>
      </c>
      <c r="K130" s="26"/>
      <c r="L130" s="26"/>
      <c r="M130" s="29">
        <f t="shared" ref="M130:M193" si="7">G130-K130</f>
        <v>14.4</v>
      </c>
      <c r="N130" s="30">
        <f t="shared" ref="N130:N193" si="8">J130*J130*M130*0.7854/10000</f>
        <v>9.9933039360000002</v>
      </c>
      <c r="O130" s="26"/>
      <c r="P130" s="31" t="s">
        <v>19</v>
      </c>
    </row>
    <row r="131" spans="1:16" x14ac:dyDescent="0.25">
      <c r="A131" s="26">
        <v>130</v>
      </c>
      <c r="B131" s="27">
        <v>5142</v>
      </c>
      <c r="C131" s="26" t="s">
        <v>204</v>
      </c>
      <c r="D131" s="28" t="s">
        <v>205</v>
      </c>
      <c r="E131" s="26" t="s">
        <v>18</v>
      </c>
      <c r="F131" s="26"/>
      <c r="G131" s="29">
        <v>7.3</v>
      </c>
      <c r="H131" s="26">
        <v>102</v>
      </c>
      <c r="I131" s="26">
        <v>97</v>
      </c>
      <c r="J131" s="26">
        <f t="shared" si="6"/>
        <v>99</v>
      </c>
      <c r="K131" s="26"/>
      <c r="L131" s="26"/>
      <c r="M131" s="29">
        <f t="shared" si="7"/>
        <v>7.3</v>
      </c>
      <c r="N131" s="30">
        <f t="shared" si="8"/>
        <v>5.6193249420000004</v>
      </c>
      <c r="O131" s="26"/>
      <c r="P131" s="31" t="s">
        <v>30</v>
      </c>
    </row>
    <row r="132" spans="1:16" x14ac:dyDescent="0.25">
      <c r="A132" s="26">
        <v>131</v>
      </c>
      <c r="B132" s="27">
        <v>5143</v>
      </c>
      <c r="C132" s="26" t="s">
        <v>206</v>
      </c>
      <c r="D132" s="28">
        <v>1242</v>
      </c>
      <c r="E132" s="26" t="s">
        <v>18</v>
      </c>
      <c r="F132" s="26"/>
      <c r="G132" s="29">
        <v>9.8000000000000007</v>
      </c>
      <c r="H132" s="26">
        <v>77</v>
      </c>
      <c r="I132" s="26">
        <v>77</v>
      </c>
      <c r="J132" s="26">
        <f t="shared" si="6"/>
        <v>77</v>
      </c>
      <c r="K132" s="26"/>
      <c r="L132" s="26"/>
      <c r="M132" s="29">
        <f t="shared" si="7"/>
        <v>9.8000000000000007</v>
      </c>
      <c r="N132" s="30">
        <f t="shared" si="8"/>
        <v>4.5635038680000006</v>
      </c>
      <c r="O132" s="26"/>
      <c r="P132" s="31" t="s">
        <v>19</v>
      </c>
    </row>
    <row r="133" spans="1:16" x14ac:dyDescent="0.25">
      <c r="A133" s="26">
        <v>132</v>
      </c>
      <c r="B133" s="27">
        <v>5128</v>
      </c>
      <c r="C133" s="26" t="s">
        <v>207</v>
      </c>
      <c r="D133" s="28" t="s">
        <v>208</v>
      </c>
      <c r="E133" s="26" t="s">
        <v>18</v>
      </c>
      <c r="F133" s="26"/>
      <c r="G133" s="29">
        <v>6.9</v>
      </c>
      <c r="H133" s="26">
        <v>94</v>
      </c>
      <c r="I133" s="26">
        <v>86</v>
      </c>
      <c r="J133" s="26">
        <f t="shared" si="6"/>
        <v>90</v>
      </c>
      <c r="K133" s="26"/>
      <c r="L133" s="26"/>
      <c r="M133" s="29">
        <f t="shared" si="7"/>
        <v>6.9</v>
      </c>
      <c r="N133" s="30">
        <f t="shared" si="8"/>
        <v>4.3896006000000005</v>
      </c>
      <c r="O133" s="26"/>
      <c r="P133" s="31" t="s">
        <v>19</v>
      </c>
    </row>
    <row r="134" spans="1:16" x14ac:dyDescent="0.25">
      <c r="A134" s="26">
        <v>133</v>
      </c>
      <c r="B134" s="27">
        <v>5129</v>
      </c>
      <c r="C134" s="26" t="s">
        <v>209</v>
      </c>
      <c r="D134" s="28" t="s">
        <v>210</v>
      </c>
      <c r="E134" s="26" t="s">
        <v>18</v>
      </c>
      <c r="F134" s="26"/>
      <c r="G134" s="29">
        <v>10.7</v>
      </c>
      <c r="H134" s="26">
        <v>80</v>
      </c>
      <c r="I134" s="26">
        <v>79</v>
      </c>
      <c r="J134" s="26">
        <f t="shared" si="6"/>
        <v>79</v>
      </c>
      <c r="K134" s="26"/>
      <c r="L134" s="26"/>
      <c r="M134" s="29">
        <f t="shared" si="7"/>
        <v>10.7</v>
      </c>
      <c r="N134" s="30">
        <f t="shared" si="8"/>
        <v>5.2447990979999997</v>
      </c>
      <c r="O134" s="26"/>
      <c r="P134" s="31" t="s">
        <v>30</v>
      </c>
    </row>
    <row r="135" spans="1:16" x14ac:dyDescent="0.25">
      <c r="A135" s="26">
        <v>134</v>
      </c>
      <c r="B135" s="27">
        <v>5126</v>
      </c>
      <c r="C135" s="26" t="s">
        <v>211</v>
      </c>
      <c r="D135" s="28" t="s">
        <v>212</v>
      </c>
      <c r="E135" s="26" t="s">
        <v>18</v>
      </c>
      <c r="F135" s="26"/>
      <c r="G135" s="29">
        <v>10.4</v>
      </c>
      <c r="H135" s="26">
        <v>92</v>
      </c>
      <c r="I135" s="26">
        <v>80</v>
      </c>
      <c r="J135" s="26">
        <f t="shared" si="6"/>
        <v>86</v>
      </c>
      <c r="K135" s="26"/>
      <c r="L135" s="26"/>
      <c r="M135" s="29">
        <f t="shared" si="7"/>
        <v>10.4</v>
      </c>
      <c r="N135" s="30">
        <f t="shared" si="8"/>
        <v>6.0411711360000009</v>
      </c>
      <c r="O135" s="26"/>
      <c r="P135" s="31" t="s">
        <v>19</v>
      </c>
    </row>
    <row r="136" spans="1:16" x14ac:dyDescent="0.25">
      <c r="A136" s="26">
        <v>135</v>
      </c>
      <c r="B136" s="27">
        <v>5127</v>
      </c>
      <c r="C136" s="26" t="s">
        <v>213</v>
      </c>
      <c r="D136" s="28" t="s">
        <v>214</v>
      </c>
      <c r="E136" s="26" t="s">
        <v>18</v>
      </c>
      <c r="F136" s="26"/>
      <c r="G136" s="29">
        <v>6.8</v>
      </c>
      <c r="H136" s="26">
        <v>84</v>
      </c>
      <c r="I136" s="26">
        <v>83</v>
      </c>
      <c r="J136" s="26">
        <f t="shared" si="6"/>
        <v>83</v>
      </c>
      <c r="K136" s="26"/>
      <c r="L136" s="26"/>
      <c r="M136" s="29">
        <f t="shared" si="7"/>
        <v>6.8</v>
      </c>
      <c r="N136" s="30">
        <f t="shared" si="8"/>
        <v>3.679222008</v>
      </c>
      <c r="O136" s="26"/>
      <c r="P136" s="31" t="s">
        <v>19</v>
      </c>
    </row>
    <row r="137" spans="1:16" x14ac:dyDescent="0.25">
      <c r="A137" s="26">
        <v>136</v>
      </c>
      <c r="B137" s="27">
        <v>5125</v>
      </c>
      <c r="C137" s="26" t="s">
        <v>215</v>
      </c>
      <c r="D137" s="28" t="s">
        <v>216</v>
      </c>
      <c r="E137" s="26" t="s">
        <v>18</v>
      </c>
      <c r="F137" s="26"/>
      <c r="G137" s="29">
        <v>13.5</v>
      </c>
      <c r="H137" s="26">
        <v>92</v>
      </c>
      <c r="I137" s="26">
        <v>85</v>
      </c>
      <c r="J137" s="26">
        <f t="shared" si="6"/>
        <v>88</v>
      </c>
      <c r="K137" s="26"/>
      <c r="L137" s="26"/>
      <c r="M137" s="29">
        <f t="shared" si="7"/>
        <v>13.5</v>
      </c>
      <c r="N137" s="30">
        <f t="shared" si="8"/>
        <v>8.21088576</v>
      </c>
      <c r="O137" s="26"/>
      <c r="P137" s="31" t="s">
        <v>19</v>
      </c>
    </row>
    <row r="138" spans="1:16" x14ac:dyDescent="0.25">
      <c r="A138" s="26">
        <v>137</v>
      </c>
      <c r="B138" s="27">
        <v>5136</v>
      </c>
      <c r="C138" s="26" t="s">
        <v>217</v>
      </c>
      <c r="D138" s="28">
        <v>1475</v>
      </c>
      <c r="E138" s="26" t="s">
        <v>18</v>
      </c>
      <c r="F138" s="26"/>
      <c r="G138" s="29">
        <v>12.5</v>
      </c>
      <c r="H138" s="26">
        <v>97</v>
      </c>
      <c r="I138" s="26">
        <v>81</v>
      </c>
      <c r="J138" s="26">
        <f t="shared" si="6"/>
        <v>89</v>
      </c>
      <c r="K138" s="26"/>
      <c r="L138" s="26"/>
      <c r="M138" s="29">
        <f t="shared" si="7"/>
        <v>12.5</v>
      </c>
      <c r="N138" s="30">
        <f t="shared" si="8"/>
        <v>7.7764417499999992</v>
      </c>
      <c r="O138" s="26"/>
      <c r="P138" s="31" t="s">
        <v>19</v>
      </c>
    </row>
    <row r="139" spans="1:16" x14ac:dyDescent="0.25">
      <c r="A139" s="26">
        <v>138</v>
      </c>
      <c r="B139" s="27">
        <v>5137</v>
      </c>
      <c r="C139" s="26" t="s">
        <v>218</v>
      </c>
      <c r="D139" s="28" t="s">
        <v>219</v>
      </c>
      <c r="E139" s="26" t="s">
        <v>18</v>
      </c>
      <c r="F139" s="26"/>
      <c r="G139" s="29">
        <v>11.4</v>
      </c>
      <c r="H139" s="26">
        <v>94</v>
      </c>
      <c r="I139" s="26">
        <v>78</v>
      </c>
      <c r="J139" s="26">
        <f t="shared" si="6"/>
        <v>86</v>
      </c>
      <c r="K139" s="26"/>
      <c r="L139" s="26"/>
      <c r="M139" s="29">
        <f t="shared" si="7"/>
        <v>11.4</v>
      </c>
      <c r="N139" s="30">
        <f t="shared" si="8"/>
        <v>6.6220529760000009</v>
      </c>
      <c r="O139" s="26"/>
      <c r="P139" s="31" t="s">
        <v>19</v>
      </c>
    </row>
    <row r="140" spans="1:16" x14ac:dyDescent="0.25">
      <c r="A140" s="26">
        <v>139</v>
      </c>
      <c r="B140" s="27">
        <v>5138</v>
      </c>
      <c r="C140" s="26" t="s">
        <v>220</v>
      </c>
      <c r="D140" s="28" t="s">
        <v>221</v>
      </c>
      <c r="E140" s="26" t="s">
        <v>18</v>
      </c>
      <c r="F140" s="26"/>
      <c r="G140" s="29">
        <v>7.6</v>
      </c>
      <c r="H140" s="26">
        <v>83</v>
      </c>
      <c r="I140" s="26">
        <v>77</v>
      </c>
      <c r="J140" s="26">
        <f t="shared" si="6"/>
        <v>80</v>
      </c>
      <c r="K140" s="26"/>
      <c r="L140" s="26"/>
      <c r="M140" s="29">
        <f t="shared" si="7"/>
        <v>7.6</v>
      </c>
      <c r="N140" s="30">
        <f t="shared" si="8"/>
        <v>3.8201855999999998</v>
      </c>
      <c r="O140" s="26"/>
      <c r="P140" s="31" t="s">
        <v>19</v>
      </c>
    </row>
    <row r="141" spans="1:16" x14ac:dyDescent="0.25">
      <c r="A141" s="26">
        <v>140</v>
      </c>
      <c r="B141" s="27">
        <v>5130</v>
      </c>
      <c r="C141" s="26" t="s">
        <v>222</v>
      </c>
      <c r="D141" s="28" t="s">
        <v>223</v>
      </c>
      <c r="E141" s="26" t="s">
        <v>18</v>
      </c>
      <c r="F141" s="26"/>
      <c r="G141" s="29">
        <v>12</v>
      </c>
      <c r="H141" s="26">
        <v>103</v>
      </c>
      <c r="I141" s="26">
        <v>93</v>
      </c>
      <c r="J141" s="26">
        <f t="shared" si="6"/>
        <v>98</v>
      </c>
      <c r="K141" s="26"/>
      <c r="L141" s="26"/>
      <c r="M141" s="29">
        <f t="shared" si="7"/>
        <v>12</v>
      </c>
      <c r="N141" s="30">
        <f t="shared" si="8"/>
        <v>9.0515779199999997</v>
      </c>
      <c r="O141" s="26"/>
      <c r="P141" s="31" t="s">
        <v>19</v>
      </c>
    </row>
    <row r="142" spans="1:16" x14ac:dyDescent="0.25">
      <c r="A142" s="26">
        <v>141</v>
      </c>
      <c r="B142" s="27">
        <v>5131</v>
      </c>
      <c r="C142" s="26" t="s">
        <v>224</v>
      </c>
      <c r="D142" s="28" t="s">
        <v>225</v>
      </c>
      <c r="E142" s="26" t="s">
        <v>18</v>
      </c>
      <c r="F142" s="26"/>
      <c r="G142" s="29">
        <v>4.2</v>
      </c>
      <c r="H142" s="26">
        <v>98</v>
      </c>
      <c r="I142" s="26">
        <v>90</v>
      </c>
      <c r="J142" s="26">
        <f t="shared" si="6"/>
        <v>94</v>
      </c>
      <c r="K142" s="26"/>
      <c r="L142" s="26"/>
      <c r="M142" s="29">
        <f t="shared" si="7"/>
        <v>4.2</v>
      </c>
      <c r="N142" s="30">
        <f t="shared" si="8"/>
        <v>2.9147136480000007</v>
      </c>
      <c r="O142" s="26"/>
      <c r="P142" s="31" t="s">
        <v>19</v>
      </c>
    </row>
    <row r="143" spans="1:16" x14ac:dyDescent="0.25">
      <c r="A143" s="26">
        <v>142</v>
      </c>
      <c r="B143" s="27">
        <v>5132</v>
      </c>
      <c r="C143" s="26" t="s">
        <v>226</v>
      </c>
      <c r="D143" s="28" t="s">
        <v>227</v>
      </c>
      <c r="E143" s="26" t="s">
        <v>18</v>
      </c>
      <c r="F143" s="26"/>
      <c r="G143" s="29">
        <v>12.5</v>
      </c>
      <c r="H143" s="26">
        <v>106</v>
      </c>
      <c r="I143" s="26">
        <v>83</v>
      </c>
      <c r="J143" s="26">
        <f t="shared" si="6"/>
        <v>94</v>
      </c>
      <c r="K143" s="26"/>
      <c r="L143" s="26"/>
      <c r="M143" s="29">
        <f t="shared" si="7"/>
        <v>12.5</v>
      </c>
      <c r="N143" s="30">
        <f t="shared" si="8"/>
        <v>8.6747429999999994</v>
      </c>
      <c r="O143" s="26"/>
      <c r="P143" s="31" t="s">
        <v>30</v>
      </c>
    </row>
    <row r="144" spans="1:16" x14ac:dyDescent="0.25">
      <c r="A144" s="26">
        <v>143</v>
      </c>
      <c r="B144" s="27">
        <v>5133</v>
      </c>
      <c r="C144" s="26" t="s">
        <v>228</v>
      </c>
      <c r="D144" s="28" t="s">
        <v>229</v>
      </c>
      <c r="E144" s="26" t="s">
        <v>18</v>
      </c>
      <c r="F144" s="26"/>
      <c r="G144" s="29">
        <v>12.5</v>
      </c>
      <c r="H144" s="26">
        <v>88</v>
      </c>
      <c r="I144" s="26">
        <v>78</v>
      </c>
      <c r="J144" s="26">
        <f t="shared" si="6"/>
        <v>83</v>
      </c>
      <c r="K144" s="26"/>
      <c r="L144" s="26"/>
      <c r="M144" s="29">
        <f t="shared" si="7"/>
        <v>12.5</v>
      </c>
      <c r="N144" s="30">
        <f t="shared" si="8"/>
        <v>6.7632757499999991</v>
      </c>
      <c r="O144" s="26"/>
      <c r="P144" s="31" t="s">
        <v>19</v>
      </c>
    </row>
    <row r="145" spans="1:16" x14ac:dyDescent="0.25">
      <c r="A145" s="26">
        <v>144</v>
      </c>
      <c r="B145" s="27">
        <v>5134</v>
      </c>
      <c r="C145" s="26" t="s">
        <v>230</v>
      </c>
      <c r="D145" s="28">
        <v>4775</v>
      </c>
      <c r="E145" s="26" t="s">
        <v>18</v>
      </c>
      <c r="F145" s="26"/>
      <c r="G145" s="29">
        <v>11.4</v>
      </c>
      <c r="H145" s="26">
        <v>79</v>
      </c>
      <c r="I145" s="26">
        <v>71</v>
      </c>
      <c r="J145" s="26">
        <f t="shared" si="6"/>
        <v>75</v>
      </c>
      <c r="K145" s="26"/>
      <c r="L145" s="26"/>
      <c r="M145" s="29">
        <f t="shared" si="7"/>
        <v>11.4</v>
      </c>
      <c r="N145" s="30">
        <f t="shared" si="8"/>
        <v>5.0363775000000004</v>
      </c>
      <c r="O145" s="26"/>
      <c r="P145" s="31" t="s">
        <v>19</v>
      </c>
    </row>
    <row r="146" spans="1:16" x14ac:dyDescent="0.25">
      <c r="A146" s="26">
        <v>145</v>
      </c>
      <c r="B146" s="27">
        <v>5135</v>
      </c>
      <c r="C146" s="26" t="s">
        <v>231</v>
      </c>
      <c r="D146" s="28" t="s">
        <v>232</v>
      </c>
      <c r="E146" s="26" t="s">
        <v>18</v>
      </c>
      <c r="F146" s="26"/>
      <c r="G146" s="29">
        <v>8.8000000000000007</v>
      </c>
      <c r="H146" s="26">
        <v>130</v>
      </c>
      <c r="I146" s="26">
        <v>120</v>
      </c>
      <c r="J146" s="26">
        <f t="shared" si="6"/>
        <v>125</v>
      </c>
      <c r="K146" s="26">
        <v>0.5</v>
      </c>
      <c r="L146" s="26"/>
      <c r="M146" s="29">
        <f t="shared" si="7"/>
        <v>8.3000000000000007</v>
      </c>
      <c r="N146" s="30">
        <f t="shared" si="8"/>
        <v>10.185656250000001</v>
      </c>
      <c r="O146" s="26" t="s">
        <v>53</v>
      </c>
      <c r="P146" s="31" t="s">
        <v>30</v>
      </c>
    </row>
    <row r="147" spans="1:16" x14ac:dyDescent="0.25">
      <c r="A147" s="26">
        <v>146</v>
      </c>
      <c r="B147" s="27">
        <v>5156</v>
      </c>
      <c r="C147" s="26" t="s">
        <v>233</v>
      </c>
      <c r="D147" s="28" t="s">
        <v>234</v>
      </c>
      <c r="E147" s="26" t="s">
        <v>18</v>
      </c>
      <c r="F147" s="26"/>
      <c r="G147" s="29">
        <v>11</v>
      </c>
      <c r="H147" s="26">
        <v>119</v>
      </c>
      <c r="I147" s="26">
        <v>95</v>
      </c>
      <c r="J147" s="26">
        <f t="shared" si="6"/>
        <v>107</v>
      </c>
      <c r="K147" s="26"/>
      <c r="L147" s="26"/>
      <c r="M147" s="29">
        <f t="shared" si="7"/>
        <v>11</v>
      </c>
      <c r="N147" s="30">
        <f t="shared" si="8"/>
        <v>9.8912490599999998</v>
      </c>
      <c r="O147" s="26"/>
      <c r="P147" s="31" t="s">
        <v>19</v>
      </c>
    </row>
    <row r="148" spans="1:16" x14ac:dyDescent="0.25">
      <c r="A148" s="26">
        <v>147</v>
      </c>
      <c r="B148" s="27">
        <v>5155</v>
      </c>
      <c r="C148" s="26" t="s">
        <v>235</v>
      </c>
      <c r="D148" s="28" t="s">
        <v>236</v>
      </c>
      <c r="E148" s="26" t="s">
        <v>18</v>
      </c>
      <c r="F148" s="26"/>
      <c r="G148" s="29">
        <v>11.3</v>
      </c>
      <c r="H148" s="26">
        <v>97</v>
      </c>
      <c r="I148" s="26">
        <v>78</v>
      </c>
      <c r="J148" s="26">
        <f t="shared" si="6"/>
        <v>87</v>
      </c>
      <c r="K148" s="26"/>
      <c r="L148" s="26"/>
      <c r="M148" s="29">
        <f t="shared" si="7"/>
        <v>11.3</v>
      </c>
      <c r="N148" s="30">
        <f t="shared" si="8"/>
        <v>6.7175026380000009</v>
      </c>
      <c r="O148" s="26"/>
      <c r="P148" s="31" t="s">
        <v>19</v>
      </c>
    </row>
    <row r="149" spans="1:16" x14ac:dyDescent="0.25">
      <c r="A149" s="26">
        <v>148</v>
      </c>
      <c r="B149" s="27">
        <v>5157</v>
      </c>
      <c r="C149" s="26" t="s">
        <v>237</v>
      </c>
      <c r="D149" s="28" t="s">
        <v>238</v>
      </c>
      <c r="E149" s="26" t="s">
        <v>18</v>
      </c>
      <c r="F149" s="26"/>
      <c r="G149" s="29">
        <v>7.4</v>
      </c>
      <c r="H149" s="26">
        <v>107</v>
      </c>
      <c r="I149" s="26">
        <v>94</v>
      </c>
      <c r="J149" s="26">
        <f t="shared" si="6"/>
        <v>100</v>
      </c>
      <c r="K149" s="26">
        <v>2</v>
      </c>
      <c r="L149" s="26"/>
      <c r="M149" s="29">
        <f t="shared" si="7"/>
        <v>5.4</v>
      </c>
      <c r="N149" s="30">
        <f t="shared" si="8"/>
        <v>4.2411599999999998</v>
      </c>
      <c r="O149" s="26" t="s">
        <v>157</v>
      </c>
      <c r="P149" s="31" t="s">
        <v>30</v>
      </c>
    </row>
    <row r="150" spans="1:16" x14ac:dyDescent="0.25">
      <c r="A150" s="26">
        <v>149</v>
      </c>
      <c r="B150" s="27">
        <v>5152</v>
      </c>
      <c r="C150" s="26" t="s">
        <v>239</v>
      </c>
      <c r="D150" s="28" t="s">
        <v>240</v>
      </c>
      <c r="E150" s="26" t="s">
        <v>18</v>
      </c>
      <c r="F150" s="26"/>
      <c r="G150" s="29">
        <v>9.1999999999999993</v>
      </c>
      <c r="H150" s="26">
        <v>129</v>
      </c>
      <c r="I150" s="26">
        <v>123</v>
      </c>
      <c r="J150" s="26">
        <f t="shared" si="6"/>
        <v>126</v>
      </c>
      <c r="K150" s="26"/>
      <c r="L150" s="26"/>
      <c r="M150" s="29">
        <f t="shared" si="7"/>
        <v>9.1999999999999993</v>
      </c>
      <c r="N150" s="30">
        <f t="shared" si="8"/>
        <v>11.471489567999999</v>
      </c>
      <c r="O150" s="26"/>
      <c r="P150" s="31" t="s">
        <v>19</v>
      </c>
    </row>
    <row r="151" spans="1:16" x14ac:dyDescent="0.25">
      <c r="A151" s="26">
        <v>150</v>
      </c>
      <c r="B151" s="27">
        <v>5153</v>
      </c>
      <c r="C151" s="26" t="s">
        <v>241</v>
      </c>
      <c r="D151" s="28" t="s">
        <v>242</v>
      </c>
      <c r="E151" s="26" t="s">
        <v>18</v>
      </c>
      <c r="F151" s="26"/>
      <c r="G151" s="29">
        <v>12.5</v>
      </c>
      <c r="H151" s="26">
        <v>99</v>
      </c>
      <c r="I151" s="26">
        <v>92</v>
      </c>
      <c r="J151" s="26">
        <f t="shared" si="6"/>
        <v>95</v>
      </c>
      <c r="K151" s="26"/>
      <c r="L151" s="26"/>
      <c r="M151" s="29">
        <f t="shared" si="7"/>
        <v>12.5</v>
      </c>
      <c r="N151" s="30">
        <f t="shared" si="8"/>
        <v>8.8602937500000003</v>
      </c>
      <c r="O151" s="26"/>
      <c r="P151" s="31" t="s">
        <v>19</v>
      </c>
    </row>
    <row r="152" spans="1:16" x14ac:dyDescent="0.25">
      <c r="A152" s="26">
        <v>151</v>
      </c>
      <c r="B152" s="27">
        <v>5154</v>
      </c>
      <c r="C152" s="26" t="s">
        <v>243</v>
      </c>
      <c r="D152" s="28" t="s">
        <v>244</v>
      </c>
      <c r="E152" s="26" t="s">
        <v>18</v>
      </c>
      <c r="F152" s="26"/>
      <c r="G152" s="29">
        <v>10.1</v>
      </c>
      <c r="H152" s="26">
        <v>90</v>
      </c>
      <c r="I152" s="26">
        <v>83</v>
      </c>
      <c r="J152" s="26">
        <f t="shared" si="6"/>
        <v>86</v>
      </c>
      <c r="K152" s="26"/>
      <c r="L152" s="26"/>
      <c r="M152" s="29">
        <f t="shared" si="7"/>
        <v>10.1</v>
      </c>
      <c r="N152" s="30">
        <f t="shared" si="8"/>
        <v>5.8669065839999996</v>
      </c>
      <c r="O152" s="26"/>
      <c r="P152" s="31" t="s">
        <v>19</v>
      </c>
    </row>
    <row r="153" spans="1:16" x14ac:dyDescent="0.25">
      <c r="A153" s="26">
        <v>152</v>
      </c>
      <c r="B153" s="27">
        <v>5164</v>
      </c>
      <c r="C153" s="26" t="s">
        <v>245</v>
      </c>
      <c r="D153" s="28" t="s">
        <v>246</v>
      </c>
      <c r="E153" s="26" t="s">
        <v>18</v>
      </c>
      <c r="F153" s="26"/>
      <c r="G153" s="29">
        <v>11.9</v>
      </c>
      <c r="H153" s="26">
        <v>107</v>
      </c>
      <c r="I153" s="26">
        <v>89</v>
      </c>
      <c r="J153" s="26">
        <f t="shared" si="6"/>
        <v>98</v>
      </c>
      <c r="K153" s="26"/>
      <c r="L153" s="26"/>
      <c r="M153" s="29">
        <f t="shared" si="7"/>
        <v>11.9</v>
      </c>
      <c r="N153" s="30">
        <f t="shared" si="8"/>
        <v>8.976148104</v>
      </c>
      <c r="O153" s="26"/>
      <c r="P153" s="31" t="s">
        <v>19</v>
      </c>
    </row>
    <row r="154" spans="1:16" x14ac:dyDescent="0.25">
      <c r="A154" s="26">
        <v>153</v>
      </c>
      <c r="B154" s="27">
        <v>5165</v>
      </c>
      <c r="C154" s="26" t="s">
        <v>247</v>
      </c>
      <c r="D154" s="28" t="s">
        <v>248</v>
      </c>
      <c r="E154" s="26" t="s">
        <v>18</v>
      </c>
      <c r="F154" s="26"/>
      <c r="G154" s="29">
        <v>11</v>
      </c>
      <c r="H154" s="26">
        <v>91</v>
      </c>
      <c r="I154" s="26">
        <v>83</v>
      </c>
      <c r="J154" s="26">
        <f t="shared" si="6"/>
        <v>87</v>
      </c>
      <c r="K154" s="26"/>
      <c r="L154" s="26"/>
      <c r="M154" s="29">
        <f t="shared" si="7"/>
        <v>11</v>
      </c>
      <c r="N154" s="30">
        <f t="shared" si="8"/>
        <v>6.5391618600000001</v>
      </c>
      <c r="O154" s="26"/>
      <c r="P154" s="31" t="s">
        <v>19</v>
      </c>
    </row>
    <row r="155" spans="1:16" x14ac:dyDescent="0.25">
      <c r="A155" s="26">
        <v>154</v>
      </c>
      <c r="B155" s="27">
        <v>5166</v>
      </c>
      <c r="C155" s="26" t="s">
        <v>249</v>
      </c>
      <c r="D155" s="28">
        <v>1249</v>
      </c>
      <c r="E155" s="26" t="s">
        <v>18</v>
      </c>
      <c r="F155" s="26"/>
      <c r="G155" s="29">
        <v>10</v>
      </c>
      <c r="H155" s="26">
        <v>147</v>
      </c>
      <c r="I155" s="26">
        <v>133</v>
      </c>
      <c r="J155" s="26">
        <f t="shared" si="6"/>
        <v>140</v>
      </c>
      <c r="K155" s="26"/>
      <c r="L155" s="26"/>
      <c r="M155" s="29">
        <f t="shared" si="7"/>
        <v>10</v>
      </c>
      <c r="N155" s="30">
        <f t="shared" si="8"/>
        <v>15.393839999999999</v>
      </c>
      <c r="O155" s="26"/>
      <c r="P155" s="31" t="s">
        <v>19</v>
      </c>
    </row>
    <row r="156" spans="1:16" x14ac:dyDescent="0.25">
      <c r="A156" s="26">
        <v>155</v>
      </c>
      <c r="B156" s="27">
        <v>5144</v>
      </c>
      <c r="C156" s="26" t="s">
        <v>250</v>
      </c>
      <c r="D156" s="28">
        <v>4777</v>
      </c>
      <c r="E156" s="26" t="s">
        <v>18</v>
      </c>
      <c r="F156" s="26"/>
      <c r="G156" s="29">
        <v>12</v>
      </c>
      <c r="H156" s="26">
        <v>105</v>
      </c>
      <c r="I156" s="26">
        <v>102</v>
      </c>
      <c r="J156" s="26">
        <f t="shared" si="6"/>
        <v>103</v>
      </c>
      <c r="K156" s="26"/>
      <c r="L156" s="26"/>
      <c r="M156" s="29">
        <f t="shared" si="7"/>
        <v>12</v>
      </c>
      <c r="N156" s="30">
        <f t="shared" si="8"/>
        <v>9.9987703200000002</v>
      </c>
      <c r="O156" s="26"/>
      <c r="P156" s="31" t="s">
        <v>19</v>
      </c>
    </row>
    <row r="157" spans="1:16" x14ac:dyDescent="0.25">
      <c r="A157" s="26">
        <v>156</v>
      </c>
      <c r="B157" s="27">
        <v>5145</v>
      </c>
      <c r="C157" s="26" t="s">
        <v>251</v>
      </c>
      <c r="D157" s="28" t="s">
        <v>252</v>
      </c>
      <c r="E157" s="26" t="s">
        <v>18</v>
      </c>
      <c r="F157" s="26"/>
      <c r="G157" s="29">
        <v>4.8</v>
      </c>
      <c r="H157" s="26">
        <v>130</v>
      </c>
      <c r="I157" s="26">
        <v>129</v>
      </c>
      <c r="J157" s="26">
        <f t="shared" si="6"/>
        <v>129</v>
      </c>
      <c r="K157" s="26">
        <v>0.5</v>
      </c>
      <c r="L157" s="26"/>
      <c r="M157" s="29">
        <f t="shared" si="7"/>
        <v>4.3</v>
      </c>
      <c r="N157" s="30">
        <f t="shared" si="8"/>
        <v>5.6200318019999997</v>
      </c>
      <c r="O157" s="26"/>
      <c r="P157" s="31" t="s">
        <v>19</v>
      </c>
    </row>
    <row r="158" spans="1:16" x14ac:dyDescent="0.25">
      <c r="A158" s="26">
        <v>157</v>
      </c>
      <c r="B158" s="27">
        <v>5146</v>
      </c>
      <c r="C158" s="26" t="s">
        <v>253</v>
      </c>
      <c r="D158" s="28" t="s">
        <v>254</v>
      </c>
      <c r="E158" s="26" t="s">
        <v>18</v>
      </c>
      <c r="F158" s="26"/>
      <c r="G158" s="29">
        <v>9.1999999999999993</v>
      </c>
      <c r="H158" s="26">
        <v>96</v>
      </c>
      <c r="I158" s="26">
        <v>92</v>
      </c>
      <c r="J158" s="26">
        <f t="shared" si="6"/>
        <v>94</v>
      </c>
      <c r="K158" s="26"/>
      <c r="L158" s="26"/>
      <c r="M158" s="29">
        <f t="shared" si="7"/>
        <v>9.1999999999999993</v>
      </c>
      <c r="N158" s="30">
        <f t="shared" si="8"/>
        <v>6.3846108479999995</v>
      </c>
      <c r="O158" s="26"/>
      <c r="P158" s="31" t="s">
        <v>30</v>
      </c>
    </row>
    <row r="159" spans="1:16" x14ac:dyDescent="0.25">
      <c r="A159" s="26">
        <v>158</v>
      </c>
      <c r="B159" s="27">
        <v>5147</v>
      </c>
      <c r="C159" s="26" t="s">
        <v>255</v>
      </c>
      <c r="D159" s="28" t="s">
        <v>256</v>
      </c>
      <c r="E159" s="26" t="s">
        <v>18</v>
      </c>
      <c r="F159" s="26"/>
      <c r="G159" s="29">
        <v>11.2</v>
      </c>
      <c r="H159" s="26">
        <v>100</v>
      </c>
      <c r="I159" s="26">
        <v>88</v>
      </c>
      <c r="J159" s="26">
        <f t="shared" si="6"/>
        <v>94</v>
      </c>
      <c r="K159" s="26"/>
      <c r="L159" s="26"/>
      <c r="M159" s="29">
        <f t="shared" si="7"/>
        <v>11.2</v>
      </c>
      <c r="N159" s="30">
        <f t="shared" si="8"/>
        <v>7.7725697279999997</v>
      </c>
      <c r="O159" s="26"/>
      <c r="P159" s="31" t="s">
        <v>19</v>
      </c>
    </row>
    <row r="160" spans="1:16" x14ac:dyDescent="0.25">
      <c r="A160" s="26">
        <v>159</v>
      </c>
      <c r="B160" s="27">
        <v>5148</v>
      </c>
      <c r="C160" s="26" t="s">
        <v>257</v>
      </c>
      <c r="D160" s="28" t="s">
        <v>258</v>
      </c>
      <c r="E160" s="26" t="s">
        <v>18</v>
      </c>
      <c r="F160" s="26"/>
      <c r="G160" s="29">
        <v>11</v>
      </c>
      <c r="H160" s="26">
        <v>112</v>
      </c>
      <c r="I160" s="26">
        <v>99</v>
      </c>
      <c r="J160" s="26">
        <f t="shared" si="6"/>
        <v>105</v>
      </c>
      <c r="K160" s="26"/>
      <c r="L160" s="26"/>
      <c r="M160" s="29">
        <f t="shared" si="7"/>
        <v>11</v>
      </c>
      <c r="N160" s="30">
        <f t="shared" si="8"/>
        <v>9.5249384999999993</v>
      </c>
      <c r="O160" s="26"/>
      <c r="P160" s="31" t="s">
        <v>19</v>
      </c>
    </row>
    <row r="161" spans="1:16" x14ac:dyDescent="0.25">
      <c r="A161" s="26">
        <v>160</v>
      </c>
      <c r="B161" s="27">
        <v>5149</v>
      </c>
      <c r="C161" s="26" t="s">
        <v>259</v>
      </c>
      <c r="D161" s="28" t="s">
        <v>260</v>
      </c>
      <c r="E161" s="26" t="s">
        <v>18</v>
      </c>
      <c r="F161" s="26"/>
      <c r="G161" s="29">
        <v>9.3000000000000007</v>
      </c>
      <c r="H161" s="26">
        <v>87</v>
      </c>
      <c r="I161" s="26">
        <v>85</v>
      </c>
      <c r="J161" s="26">
        <f t="shared" si="6"/>
        <v>86</v>
      </c>
      <c r="K161" s="26">
        <v>0.5</v>
      </c>
      <c r="L161" s="26"/>
      <c r="M161" s="29">
        <f t="shared" si="7"/>
        <v>8.8000000000000007</v>
      </c>
      <c r="N161" s="30">
        <f t="shared" si="8"/>
        <v>5.1117601920000002</v>
      </c>
      <c r="O161" s="26"/>
      <c r="P161" s="31" t="s">
        <v>30</v>
      </c>
    </row>
    <row r="162" spans="1:16" x14ac:dyDescent="0.25">
      <c r="A162" s="26">
        <v>161</v>
      </c>
      <c r="B162" s="27">
        <v>5150</v>
      </c>
      <c r="C162" s="26" t="s">
        <v>261</v>
      </c>
      <c r="D162" s="28" t="s">
        <v>262</v>
      </c>
      <c r="E162" s="26" t="s">
        <v>18</v>
      </c>
      <c r="F162" s="26"/>
      <c r="G162" s="29">
        <v>10</v>
      </c>
      <c r="H162" s="26">
        <v>104</v>
      </c>
      <c r="I162" s="26">
        <v>88</v>
      </c>
      <c r="J162" s="26">
        <f t="shared" si="6"/>
        <v>96</v>
      </c>
      <c r="K162" s="26"/>
      <c r="L162" s="26"/>
      <c r="M162" s="29">
        <f t="shared" si="7"/>
        <v>10</v>
      </c>
      <c r="N162" s="30">
        <f t="shared" si="8"/>
        <v>7.2382463999999995</v>
      </c>
      <c r="O162" s="26"/>
      <c r="P162" s="31" t="s">
        <v>19</v>
      </c>
    </row>
    <row r="163" spans="1:16" x14ac:dyDescent="0.25">
      <c r="A163" s="26">
        <v>162</v>
      </c>
      <c r="B163" s="27">
        <v>5151</v>
      </c>
      <c r="C163" s="26" t="s">
        <v>263</v>
      </c>
      <c r="D163" s="28">
        <v>1251</v>
      </c>
      <c r="E163" s="26" t="s">
        <v>18</v>
      </c>
      <c r="F163" s="26"/>
      <c r="G163" s="29">
        <v>10</v>
      </c>
      <c r="H163" s="26">
        <v>105</v>
      </c>
      <c r="I163" s="26">
        <v>95</v>
      </c>
      <c r="J163" s="26">
        <f t="shared" si="6"/>
        <v>100</v>
      </c>
      <c r="K163" s="26"/>
      <c r="L163" s="26"/>
      <c r="M163" s="29">
        <f t="shared" si="7"/>
        <v>10</v>
      </c>
      <c r="N163" s="30">
        <f t="shared" si="8"/>
        <v>7.8540000000000001</v>
      </c>
      <c r="O163" s="26"/>
      <c r="P163" s="31" t="s">
        <v>19</v>
      </c>
    </row>
    <row r="164" spans="1:16" x14ac:dyDescent="0.25">
      <c r="A164" s="26">
        <v>163</v>
      </c>
      <c r="B164" s="27">
        <v>5187</v>
      </c>
      <c r="C164" s="26" t="s">
        <v>264</v>
      </c>
      <c r="D164" s="28" t="s">
        <v>265</v>
      </c>
      <c r="E164" s="26" t="s">
        <v>18</v>
      </c>
      <c r="F164" s="26"/>
      <c r="G164" s="29">
        <v>10</v>
      </c>
      <c r="H164" s="26">
        <v>149</v>
      </c>
      <c r="I164" s="26">
        <v>140</v>
      </c>
      <c r="J164" s="26">
        <f t="shared" si="6"/>
        <v>144</v>
      </c>
      <c r="K164" s="26"/>
      <c r="L164" s="26"/>
      <c r="M164" s="29">
        <f t="shared" si="7"/>
        <v>10</v>
      </c>
      <c r="N164" s="30">
        <f t="shared" si="8"/>
        <v>16.286054400000001</v>
      </c>
      <c r="O164" s="26"/>
      <c r="P164" s="31" t="s">
        <v>30</v>
      </c>
    </row>
    <row r="165" spans="1:16" x14ac:dyDescent="0.25">
      <c r="A165" s="26">
        <v>164</v>
      </c>
      <c r="B165" s="27">
        <v>5188</v>
      </c>
      <c r="C165" s="26" t="s">
        <v>266</v>
      </c>
      <c r="D165" s="28" t="s">
        <v>267</v>
      </c>
      <c r="E165" s="26" t="s">
        <v>18</v>
      </c>
      <c r="F165" s="26"/>
      <c r="G165" s="29">
        <v>10</v>
      </c>
      <c r="H165" s="26">
        <v>121</v>
      </c>
      <c r="I165" s="26">
        <v>106</v>
      </c>
      <c r="J165" s="26">
        <f t="shared" si="6"/>
        <v>113</v>
      </c>
      <c r="K165" s="26"/>
      <c r="L165" s="26"/>
      <c r="M165" s="29">
        <f t="shared" si="7"/>
        <v>10</v>
      </c>
      <c r="N165" s="30">
        <f t="shared" si="8"/>
        <v>10.0287726</v>
      </c>
      <c r="O165" s="30"/>
      <c r="P165" s="31" t="s">
        <v>19</v>
      </c>
    </row>
    <row r="166" spans="1:16" x14ac:dyDescent="0.25">
      <c r="A166" s="26">
        <v>165</v>
      </c>
      <c r="B166" s="27">
        <v>5206</v>
      </c>
      <c r="C166" s="26" t="s">
        <v>268</v>
      </c>
      <c r="D166" s="28" t="s">
        <v>269</v>
      </c>
      <c r="E166" s="26" t="s">
        <v>18</v>
      </c>
      <c r="F166" s="26"/>
      <c r="G166" s="29">
        <v>10</v>
      </c>
      <c r="H166" s="26">
        <v>96</v>
      </c>
      <c r="I166" s="26">
        <v>88</v>
      </c>
      <c r="J166" s="26">
        <f t="shared" si="6"/>
        <v>92</v>
      </c>
      <c r="K166" s="26"/>
      <c r="L166" s="26"/>
      <c r="M166" s="29">
        <f t="shared" si="7"/>
        <v>10</v>
      </c>
      <c r="N166" s="30">
        <f t="shared" si="8"/>
        <v>6.6476255999999996</v>
      </c>
      <c r="O166" s="26"/>
      <c r="P166" s="31" t="s">
        <v>19</v>
      </c>
    </row>
    <row r="167" spans="1:16" x14ac:dyDescent="0.25">
      <c r="A167" s="26">
        <v>166</v>
      </c>
      <c r="B167" s="27">
        <v>5207</v>
      </c>
      <c r="C167" s="26" t="s">
        <v>270</v>
      </c>
      <c r="D167" s="28" t="s">
        <v>271</v>
      </c>
      <c r="E167" s="26" t="s">
        <v>18</v>
      </c>
      <c r="F167" s="26"/>
      <c r="G167" s="29">
        <v>11.9</v>
      </c>
      <c r="H167" s="26">
        <v>96</v>
      </c>
      <c r="I167" s="26">
        <v>79</v>
      </c>
      <c r="J167" s="26">
        <f t="shared" si="6"/>
        <v>87</v>
      </c>
      <c r="K167" s="26">
        <v>0.8</v>
      </c>
      <c r="L167" s="26"/>
      <c r="M167" s="29">
        <f t="shared" si="7"/>
        <v>11.1</v>
      </c>
      <c r="N167" s="30">
        <f t="shared" si="8"/>
        <v>6.5986087859999998</v>
      </c>
      <c r="O167" s="26" t="s">
        <v>53</v>
      </c>
      <c r="P167" s="31" t="s">
        <v>19</v>
      </c>
    </row>
    <row r="168" spans="1:16" x14ac:dyDescent="0.25">
      <c r="A168" s="26">
        <v>167</v>
      </c>
      <c r="B168" s="27">
        <v>5208</v>
      </c>
      <c r="C168" s="26" t="s">
        <v>272</v>
      </c>
      <c r="D168" s="28" t="s">
        <v>273</v>
      </c>
      <c r="E168" s="26" t="s">
        <v>18</v>
      </c>
      <c r="F168" s="26"/>
      <c r="G168" s="29">
        <v>10</v>
      </c>
      <c r="H168" s="26">
        <v>106</v>
      </c>
      <c r="I168" s="26">
        <v>102</v>
      </c>
      <c r="J168" s="26">
        <f t="shared" si="6"/>
        <v>104</v>
      </c>
      <c r="K168" s="26"/>
      <c r="L168" s="26"/>
      <c r="M168" s="29">
        <f t="shared" si="7"/>
        <v>10</v>
      </c>
      <c r="N168" s="30">
        <f t="shared" si="8"/>
        <v>8.4948864000000004</v>
      </c>
      <c r="O168" s="26"/>
      <c r="P168" s="31" t="s">
        <v>19</v>
      </c>
    </row>
    <row r="169" spans="1:16" x14ac:dyDescent="0.25">
      <c r="A169" s="26">
        <v>168</v>
      </c>
      <c r="B169" s="27">
        <v>5203</v>
      </c>
      <c r="C169" s="26" t="s">
        <v>274</v>
      </c>
      <c r="D169" s="28" t="s">
        <v>275</v>
      </c>
      <c r="E169" s="26" t="s">
        <v>18</v>
      </c>
      <c r="F169" s="26"/>
      <c r="G169" s="29">
        <v>9.5</v>
      </c>
      <c r="H169" s="26">
        <v>109</v>
      </c>
      <c r="I169" s="26">
        <v>96</v>
      </c>
      <c r="J169" s="26">
        <f t="shared" si="6"/>
        <v>102</v>
      </c>
      <c r="K169" s="26"/>
      <c r="L169" s="26"/>
      <c r="M169" s="29">
        <f t="shared" si="7"/>
        <v>9.5</v>
      </c>
      <c r="N169" s="30">
        <f t="shared" si="8"/>
        <v>7.7627365199999998</v>
      </c>
      <c r="O169" s="26"/>
      <c r="P169" s="31" t="s">
        <v>19</v>
      </c>
    </row>
    <row r="170" spans="1:16" x14ac:dyDescent="0.25">
      <c r="A170" s="26">
        <v>169</v>
      </c>
      <c r="B170" s="27">
        <v>5204</v>
      </c>
      <c r="C170" s="26" t="s">
        <v>276</v>
      </c>
      <c r="D170" s="28">
        <v>1254</v>
      </c>
      <c r="E170" s="26" t="s">
        <v>18</v>
      </c>
      <c r="F170" s="26"/>
      <c r="G170" s="29">
        <v>11</v>
      </c>
      <c r="H170" s="26">
        <v>82</v>
      </c>
      <c r="I170" s="26">
        <v>61</v>
      </c>
      <c r="J170" s="26">
        <f t="shared" si="6"/>
        <v>71</v>
      </c>
      <c r="K170" s="26"/>
      <c r="L170" s="26"/>
      <c r="M170" s="29">
        <f t="shared" si="7"/>
        <v>11</v>
      </c>
      <c r="N170" s="30">
        <f t="shared" si="8"/>
        <v>4.3551215399999998</v>
      </c>
      <c r="O170" s="26"/>
      <c r="P170" s="31" t="s">
        <v>19</v>
      </c>
    </row>
    <row r="171" spans="1:16" x14ac:dyDescent="0.25">
      <c r="A171" s="26">
        <v>170</v>
      </c>
      <c r="B171" s="27">
        <v>5205</v>
      </c>
      <c r="C171" s="26" t="s">
        <v>277</v>
      </c>
      <c r="D171" s="28" t="s">
        <v>278</v>
      </c>
      <c r="E171" s="26" t="s">
        <v>18</v>
      </c>
      <c r="F171" s="26"/>
      <c r="G171" s="29">
        <v>4.0999999999999996</v>
      </c>
      <c r="H171" s="26">
        <v>100</v>
      </c>
      <c r="I171" s="26">
        <v>96</v>
      </c>
      <c r="J171" s="26">
        <f t="shared" si="6"/>
        <v>98</v>
      </c>
      <c r="K171" s="26"/>
      <c r="L171" s="26"/>
      <c r="M171" s="29">
        <f t="shared" si="7"/>
        <v>4.0999999999999996</v>
      </c>
      <c r="N171" s="30">
        <f t="shared" si="8"/>
        <v>3.0926224559999995</v>
      </c>
      <c r="O171" s="26"/>
      <c r="P171" s="31" t="s">
        <v>19</v>
      </c>
    </row>
    <row r="172" spans="1:16" x14ac:dyDescent="0.25">
      <c r="A172" s="26">
        <v>171</v>
      </c>
      <c r="B172" s="27">
        <v>5177</v>
      </c>
      <c r="C172" s="26" t="s">
        <v>279</v>
      </c>
      <c r="D172" s="28">
        <v>998</v>
      </c>
      <c r="E172" s="26" t="s">
        <v>18</v>
      </c>
      <c r="F172" s="26"/>
      <c r="G172" s="29">
        <v>12</v>
      </c>
      <c r="H172" s="26">
        <v>106</v>
      </c>
      <c r="I172" s="26">
        <v>94</v>
      </c>
      <c r="J172" s="26">
        <f t="shared" si="6"/>
        <v>100</v>
      </c>
      <c r="K172" s="26"/>
      <c r="L172" s="26"/>
      <c r="M172" s="29">
        <f t="shared" si="7"/>
        <v>12</v>
      </c>
      <c r="N172" s="30">
        <f t="shared" si="8"/>
        <v>9.4247999999999994</v>
      </c>
      <c r="O172" s="26"/>
      <c r="P172" s="31" t="s">
        <v>19</v>
      </c>
    </row>
    <row r="173" spans="1:16" x14ac:dyDescent="0.25">
      <c r="A173" s="26">
        <v>172</v>
      </c>
      <c r="B173" s="27">
        <v>5178</v>
      </c>
      <c r="C173" s="26" t="s">
        <v>280</v>
      </c>
      <c r="D173" s="28" t="s">
        <v>281</v>
      </c>
      <c r="E173" s="26" t="s">
        <v>18</v>
      </c>
      <c r="F173" s="26"/>
      <c r="G173" s="29">
        <v>7.7</v>
      </c>
      <c r="H173" s="26">
        <v>91</v>
      </c>
      <c r="I173" s="26">
        <v>82</v>
      </c>
      <c r="J173" s="26">
        <f t="shared" si="6"/>
        <v>86</v>
      </c>
      <c r="K173" s="26"/>
      <c r="L173" s="26"/>
      <c r="M173" s="29">
        <f t="shared" si="7"/>
        <v>7.7</v>
      </c>
      <c r="N173" s="30">
        <f t="shared" si="8"/>
        <v>4.4727901680000004</v>
      </c>
      <c r="O173" s="26"/>
      <c r="P173" s="31" t="s">
        <v>30</v>
      </c>
    </row>
    <row r="174" spans="1:16" x14ac:dyDescent="0.25">
      <c r="A174" s="26">
        <v>173</v>
      </c>
      <c r="B174" s="27">
        <v>5179</v>
      </c>
      <c r="C174" s="26" t="s">
        <v>282</v>
      </c>
      <c r="D174" s="28">
        <v>1200</v>
      </c>
      <c r="E174" s="26" t="s">
        <v>18</v>
      </c>
      <c r="F174" s="26"/>
      <c r="G174" s="29">
        <v>10</v>
      </c>
      <c r="H174" s="26">
        <v>95</v>
      </c>
      <c r="I174" s="26">
        <v>81</v>
      </c>
      <c r="J174" s="26">
        <f t="shared" si="6"/>
        <v>88</v>
      </c>
      <c r="K174" s="26"/>
      <c r="L174" s="26"/>
      <c r="M174" s="29">
        <f t="shared" si="7"/>
        <v>10</v>
      </c>
      <c r="N174" s="30">
        <f t="shared" si="8"/>
        <v>6.0821375999999994</v>
      </c>
      <c r="O174" s="26"/>
      <c r="P174" s="31" t="s">
        <v>19</v>
      </c>
    </row>
    <row r="175" spans="1:16" x14ac:dyDescent="0.25">
      <c r="A175" s="26">
        <v>174</v>
      </c>
      <c r="B175" s="27">
        <v>5180</v>
      </c>
      <c r="C175" s="26" t="s">
        <v>283</v>
      </c>
      <c r="D175" s="28" t="s">
        <v>284</v>
      </c>
      <c r="E175" s="26" t="s">
        <v>18</v>
      </c>
      <c r="F175" s="26"/>
      <c r="G175" s="29">
        <v>6.6</v>
      </c>
      <c r="H175" s="26">
        <v>82</v>
      </c>
      <c r="I175" s="26">
        <v>75</v>
      </c>
      <c r="J175" s="26">
        <f t="shared" si="6"/>
        <v>78</v>
      </c>
      <c r="K175" s="26"/>
      <c r="L175" s="26"/>
      <c r="M175" s="29">
        <f t="shared" si="7"/>
        <v>6.6</v>
      </c>
      <c r="N175" s="30">
        <f t="shared" si="8"/>
        <v>3.1537265760000004</v>
      </c>
      <c r="O175" s="26"/>
      <c r="P175" s="31" t="s">
        <v>19</v>
      </c>
    </row>
    <row r="176" spans="1:16" x14ac:dyDescent="0.25">
      <c r="A176" s="26">
        <v>175</v>
      </c>
      <c r="B176" s="27">
        <v>5181</v>
      </c>
      <c r="C176" s="26" t="s">
        <v>285</v>
      </c>
      <c r="D176" s="28" t="s">
        <v>286</v>
      </c>
      <c r="E176" s="26" t="s">
        <v>18</v>
      </c>
      <c r="F176" s="26"/>
      <c r="G176" s="29">
        <v>10.8</v>
      </c>
      <c r="H176" s="26">
        <v>86</v>
      </c>
      <c r="I176" s="26">
        <v>70</v>
      </c>
      <c r="J176" s="26">
        <f t="shared" si="6"/>
        <v>78</v>
      </c>
      <c r="K176" s="26"/>
      <c r="L176" s="26"/>
      <c r="M176" s="29">
        <f t="shared" si="7"/>
        <v>10.8</v>
      </c>
      <c r="N176" s="30">
        <f t="shared" si="8"/>
        <v>5.1606434879999989</v>
      </c>
      <c r="O176" s="26"/>
      <c r="P176" s="31" t="s">
        <v>30</v>
      </c>
    </row>
    <row r="177" spans="1:16" x14ac:dyDescent="0.25">
      <c r="A177" s="26">
        <v>176</v>
      </c>
      <c r="B177" s="27">
        <v>5160</v>
      </c>
      <c r="C177" s="26" t="s">
        <v>287</v>
      </c>
      <c r="D177" s="28" t="s">
        <v>288</v>
      </c>
      <c r="E177" s="26" t="s">
        <v>18</v>
      </c>
      <c r="F177" s="26"/>
      <c r="G177" s="29">
        <v>10</v>
      </c>
      <c r="H177" s="26">
        <v>128</v>
      </c>
      <c r="I177" s="26">
        <v>114</v>
      </c>
      <c r="J177" s="26">
        <f t="shared" si="6"/>
        <v>121</v>
      </c>
      <c r="K177" s="26"/>
      <c r="L177" s="26"/>
      <c r="M177" s="29">
        <f t="shared" si="7"/>
        <v>10</v>
      </c>
      <c r="N177" s="30">
        <f t="shared" si="8"/>
        <v>11.499041400000001</v>
      </c>
      <c r="O177" s="26"/>
      <c r="P177" s="31" t="s">
        <v>19</v>
      </c>
    </row>
    <row r="178" spans="1:16" x14ac:dyDescent="0.25">
      <c r="A178" s="26">
        <v>177</v>
      </c>
      <c r="B178" s="27">
        <v>5161</v>
      </c>
      <c r="C178" s="26" t="s">
        <v>289</v>
      </c>
      <c r="D178" s="28">
        <v>1203</v>
      </c>
      <c r="E178" s="26" t="s">
        <v>18</v>
      </c>
      <c r="F178" s="26"/>
      <c r="G178" s="29">
        <v>10</v>
      </c>
      <c r="H178" s="26">
        <v>120</v>
      </c>
      <c r="I178" s="26">
        <v>104</v>
      </c>
      <c r="J178" s="26">
        <f t="shared" si="6"/>
        <v>112</v>
      </c>
      <c r="K178" s="26"/>
      <c r="L178" s="26"/>
      <c r="M178" s="29">
        <f t="shared" si="7"/>
        <v>10</v>
      </c>
      <c r="N178" s="30">
        <f t="shared" si="8"/>
        <v>9.8520576000000002</v>
      </c>
      <c r="O178" s="26"/>
      <c r="P178" s="31" t="s">
        <v>19</v>
      </c>
    </row>
    <row r="179" spans="1:16" x14ac:dyDescent="0.25">
      <c r="A179" s="26">
        <v>178</v>
      </c>
      <c r="B179" s="27">
        <v>5162</v>
      </c>
      <c r="C179" s="26" t="s">
        <v>290</v>
      </c>
      <c r="D179" s="28" t="s">
        <v>291</v>
      </c>
      <c r="E179" s="26" t="s">
        <v>18</v>
      </c>
      <c r="F179" s="26"/>
      <c r="G179" s="29">
        <v>5.7</v>
      </c>
      <c r="H179" s="26">
        <v>115</v>
      </c>
      <c r="I179" s="26">
        <v>111</v>
      </c>
      <c r="J179" s="26">
        <f t="shared" si="6"/>
        <v>113</v>
      </c>
      <c r="K179" s="26"/>
      <c r="L179" s="26"/>
      <c r="M179" s="29">
        <f t="shared" si="7"/>
        <v>5.7</v>
      </c>
      <c r="N179" s="30">
        <f t="shared" si="8"/>
        <v>5.7164003819999998</v>
      </c>
      <c r="O179" s="26"/>
      <c r="P179" s="31" t="s">
        <v>30</v>
      </c>
    </row>
    <row r="180" spans="1:16" x14ac:dyDescent="0.25">
      <c r="A180" s="26">
        <v>179</v>
      </c>
      <c r="B180" s="27">
        <v>5163</v>
      </c>
      <c r="C180" s="26" t="s">
        <v>292</v>
      </c>
      <c r="D180" s="28">
        <v>1204</v>
      </c>
      <c r="E180" s="26" t="s">
        <v>18</v>
      </c>
      <c r="F180" s="26"/>
      <c r="G180" s="29">
        <v>6.7</v>
      </c>
      <c r="H180" s="26">
        <v>91</v>
      </c>
      <c r="I180" s="26">
        <v>91</v>
      </c>
      <c r="J180" s="26">
        <f t="shared" si="6"/>
        <v>91</v>
      </c>
      <c r="K180" s="26"/>
      <c r="L180" s="26"/>
      <c r="M180" s="29">
        <f t="shared" si="7"/>
        <v>6.7</v>
      </c>
      <c r="N180" s="30">
        <f t="shared" si="8"/>
        <v>4.3576112580000004</v>
      </c>
      <c r="O180" s="26"/>
      <c r="P180" s="31" t="s">
        <v>19</v>
      </c>
    </row>
    <row r="181" spans="1:16" x14ac:dyDescent="0.25">
      <c r="A181" s="26">
        <v>180</v>
      </c>
      <c r="B181" s="27">
        <v>5158</v>
      </c>
      <c r="C181" s="26" t="s">
        <v>293</v>
      </c>
      <c r="D181" s="28">
        <v>4702</v>
      </c>
      <c r="E181" s="26" t="s">
        <v>18</v>
      </c>
      <c r="F181" s="26"/>
      <c r="G181" s="29">
        <v>11</v>
      </c>
      <c r="H181" s="26">
        <v>136</v>
      </c>
      <c r="I181" s="26">
        <v>109</v>
      </c>
      <c r="J181" s="26">
        <f t="shared" si="6"/>
        <v>122</v>
      </c>
      <c r="K181" s="26"/>
      <c r="L181" s="26"/>
      <c r="M181" s="29">
        <f t="shared" si="7"/>
        <v>11</v>
      </c>
      <c r="N181" s="30">
        <f t="shared" si="8"/>
        <v>12.858882959999999</v>
      </c>
      <c r="O181" s="26"/>
      <c r="P181" s="31" t="s">
        <v>19</v>
      </c>
    </row>
    <row r="182" spans="1:16" x14ac:dyDescent="0.25">
      <c r="A182" s="26">
        <v>181</v>
      </c>
      <c r="B182" s="27">
        <v>5159</v>
      </c>
      <c r="C182" s="26" t="s">
        <v>294</v>
      </c>
      <c r="D182" s="28" t="s">
        <v>295</v>
      </c>
      <c r="E182" s="26" t="s">
        <v>18</v>
      </c>
      <c r="F182" s="26"/>
      <c r="G182" s="29">
        <v>13</v>
      </c>
      <c r="H182" s="26">
        <v>98</v>
      </c>
      <c r="I182" s="26">
        <v>85</v>
      </c>
      <c r="J182" s="26">
        <f t="shared" si="6"/>
        <v>91</v>
      </c>
      <c r="K182" s="26">
        <v>0.5</v>
      </c>
      <c r="L182" s="26"/>
      <c r="M182" s="29">
        <f t="shared" si="7"/>
        <v>12.5</v>
      </c>
      <c r="N182" s="30">
        <f t="shared" si="8"/>
        <v>8.1298717499999995</v>
      </c>
      <c r="O182" s="26" t="s">
        <v>157</v>
      </c>
      <c r="P182" s="31" t="s">
        <v>19</v>
      </c>
    </row>
    <row r="183" spans="1:16" x14ac:dyDescent="0.25">
      <c r="A183" s="26">
        <v>182</v>
      </c>
      <c r="B183" s="27">
        <v>5172</v>
      </c>
      <c r="C183" s="26" t="s">
        <v>296</v>
      </c>
      <c r="D183" s="28" t="s">
        <v>297</v>
      </c>
      <c r="E183" s="26" t="s">
        <v>18</v>
      </c>
      <c r="F183" s="26"/>
      <c r="G183" s="29">
        <v>11</v>
      </c>
      <c r="H183" s="26">
        <v>96</v>
      </c>
      <c r="I183" s="26">
        <v>75</v>
      </c>
      <c r="J183" s="26">
        <f t="shared" si="6"/>
        <v>85</v>
      </c>
      <c r="K183" s="26"/>
      <c r="L183" s="26"/>
      <c r="M183" s="29">
        <f t="shared" si="7"/>
        <v>11</v>
      </c>
      <c r="N183" s="30">
        <f t="shared" si="8"/>
        <v>6.2419665000000002</v>
      </c>
      <c r="O183" s="26"/>
      <c r="P183" s="31" t="s">
        <v>19</v>
      </c>
    </row>
    <row r="184" spans="1:16" x14ac:dyDescent="0.25">
      <c r="A184" s="26">
        <v>183</v>
      </c>
      <c r="B184" s="27">
        <v>5173</v>
      </c>
      <c r="C184" s="26" t="s">
        <v>298</v>
      </c>
      <c r="D184" s="28" t="s">
        <v>299</v>
      </c>
      <c r="E184" s="26" t="s">
        <v>18</v>
      </c>
      <c r="F184" s="26"/>
      <c r="G184" s="29">
        <v>11</v>
      </c>
      <c r="H184" s="26">
        <v>102</v>
      </c>
      <c r="I184" s="26">
        <v>88</v>
      </c>
      <c r="J184" s="26">
        <f t="shared" si="6"/>
        <v>95</v>
      </c>
      <c r="K184" s="26"/>
      <c r="L184" s="26"/>
      <c r="M184" s="29">
        <f t="shared" si="7"/>
        <v>11</v>
      </c>
      <c r="N184" s="30">
        <f t="shared" si="8"/>
        <v>7.7970584999999994</v>
      </c>
      <c r="O184" s="26"/>
      <c r="P184" s="31" t="s">
        <v>19</v>
      </c>
    </row>
    <row r="185" spans="1:16" x14ac:dyDescent="0.25">
      <c r="A185" s="26">
        <v>184</v>
      </c>
      <c r="B185" s="27">
        <v>5174</v>
      </c>
      <c r="C185" s="26" t="s">
        <v>300</v>
      </c>
      <c r="D185" s="28" t="s">
        <v>301</v>
      </c>
      <c r="E185" s="26" t="s">
        <v>18</v>
      </c>
      <c r="F185" s="26"/>
      <c r="G185" s="29">
        <v>10.8</v>
      </c>
      <c r="H185" s="26">
        <v>82</v>
      </c>
      <c r="I185" s="26">
        <v>80</v>
      </c>
      <c r="J185" s="26">
        <f t="shared" si="6"/>
        <v>81</v>
      </c>
      <c r="K185" s="26"/>
      <c r="L185" s="26"/>
      <c r="M185" s="29">
        <f t="shared" si="7"/>
        <v>10.8</v>
      </c>
      <c r="N185" s="30">
        <f t="shared" si="8"/>
        <v>5.565250152</v>
      </c>
      <c r="O185" s="26"/>
      <c r="P185" s="31" t="s">
        <v>19</v>
      </c>
    </row>
    <row r="186" spans="1:16" x14ac:dyDescent="0.25">
      <c r="A186" s="26">
        <v>185</v>
      </c>
      <c r="B186" s="27">
        <v>5175</v>
      </c>
      <c r="C186" s="26" t="s">
        <v>302</v>
      </c>
      <c r="D186" s="28" t="s">
        <v>303</v>
      </c>
      <c r="E186" s="26" t="s">
        <v>18</v>
      </c>
      <c r="F186" s="26"/>
      <c r="G186" s="29">
        <v>11</v>
      </c>
      <c r="H186" s="26">
        <v>111</v>
      </c>
      <c r="I186" s="26">
        <v>89</v>
      </c>
      <c r="J186" s="26">
        <f t="shared" si="6"/>
        <v>100</v>
      </c>
      <c r="K186" s="26"/>
      <c r="L186" s="26"/>
      <c r="M186" s="29">
        <f t="shared" si="7"/>
        <v>11</v>
      </c>
      <c r="N186" s="30">
        <f t="shared" si="8"/>
        <v>8.6394000000000002</v>
      </c>
      <c r="O186" s="26"/>
      <c r="P186" s="31" t="s">
        <v>19</v>
      </c>
    </row>
    <row r="187" spans="1:16" x14ac:dyDescent="0.25">
      <c r="A187" s="26">
        <v>186</v>
      </c>
      <c r="B187" s="27">
        <v>5176</v>
      </c>
      <c r="C187" s="26" t="s">
        <v>304</v>
      </c>
      <c r="D187" s="28">
        <v>1206</v>
      </c>
      <c r="E187" s="26" t="s">
        <v>18</v>
      </c>
      <c r="F187" s="26"/>
      <c r="G187" s="29">
        <v>7.2</v>
      </c>
      <c r="H187" s="26">
        <v>91</v>
      </c>
      <c r="I187" s="26">
        <v>83</v>
      </c>
      <c r="J187" s="26">
        <f t="shared" si="6"/>
        <v>87</v>
      </c>
      <c r="K187" s="26">
        <v>0.5</v>
      </c>
      <c r="L187" s="26"/>
      <c r="M187" s="29">
        <f t="shared" si="7"/>
        <v>6.7</v>
      </c>
      <c r="N187" s="30">
        <f t="shared" si="8"/>
        <v>3.9829440419999997</v>
      </c>
      <c r="O187" s="26" t="s">
        <v>157</v>
      </c>
      <c r="P187" s="31" t="s">
        <v>19</v>
      </c>
    </row>
    <row r="188" spans="1:16" x14ac:dyDescent="0.25">
      <c r="A188" s="26">
        <v>187</v>
      </c>
      <c r="B188" s="27">
        <v>5189</v>
      </c>
      <c r="C188" s="26" t="s">
        <v>305</v>
      </c>
      <c r="D188" s="28" t="s">
        <v>306</v>
      </c>
      <c r="E188" s="26" t="s">
        <v>18</v>
      </c>
      <c r="F188" s="26"/>
      <c r="G188" s="29">
        <v>10</v>
      </c>
      <c r="H188" s="26">
        <v>75</v>
      </c>
      <c r="I188" s="26">
        <v>65</v>
      </c>
      <c r="J188" s="26">
        <f t="shared" si="6"/>
        <v>70</v>
      </c>
      <c r="K188" s="26"/>
      <c r="L188" s="26"/>
      <c r="M188" s="29">
        <f t="shared" si="7"/>
        <v>10</v>
      </c>
      <c r="N188" s="30">
        <f t="shared" si="8"/>
        <v>3.8484599999999998</v>
      </c>
      <c r="O188" s="26"/>
      <c r="P188" s="31" t="s">
        <v>30</v>
      </c>
    </row>
    <row r="189" spans="1:16" x14ac:dyDescent="0.25">
      <c r="A189" s="26">
        <v>188</v>
      </c>
      <c r="B189" s="27">
        <v>5191</v>
      </c>
      <c r="C189" s="26" t="s">
        <v>307</v>
      </c>
      <c r="D189" s="28" t="s">
        <v>308</v>
      </c>
      <c r="E189" s="26" t="s">
        <v>18</v>
      </c>
      <c r="F189" s="26"/>
      <c r="G189" s="29">
        <v>13.8</v>
      </c>
      <c r="H189" s="26">
        <v>80</v>
      </c>
      <c r="I189" s="26">
        <v>66</v>
      </c>
      <c r="J189" s="26">
        <f t="shared" si="6"/>
        <v>73</v>
      </c>
      <c r="K189" s="26"/>
      <c r="L189" s="26"/>
      <c r="M189" s="29">
        <f t="shared" si="7"/>
        <v>13.8</v>
      </c>
      <c r="N189" s="30">
        <f t="shared" si="8"/>
        <v>5.7758473079999995</v>
      </c>
      <c r="O189" s="26"/>
      <c r="P189" s="31" t="s">
        <v>19</v>
      </c>
    </row>
    <row r="190" spans="1:16" x14ac:dyDescent="0.25">
      <c r="A190" s="26">
        <v>189</v>
      </c>
      <c r="B190" s="27">
        <v>5192</v>
      </c>
      <c r="C190" s="26" t="s">
        <v>309</v>
      </c>
      <c r="D190" s="28">
        <v>1208</v>
      </c>
      <c r="E190" s="26" t="s">
        <v>18</v>
      </c>
      <c r="F190" s="26"/>
      <c r="G190" s="29">
        <v>12.9</v>
      </c>
      <c r="H190" s="26">
        <v>83</v>
      </c>
      <c r="I190" s="26">
        <v>62</v>
      </c>
      <c r="J190" s="26">
        <f t="shared" si="6"/>
        <v>72</v>
      </c>
      <c r="K190" s="26"/>
      <c r="L190" s="26"/>
      <c r="M190" s="29">
        <f t="shared" si="7"/>
        <v>12.9</v>
      </c>
      <c r="N190" s="30">
        <f t="shared" si="8"/>
        <v>5.2522525440000001</v>
      </c>
      <c r="O190" s="26"/>
      <c r="P190" s="31" t="s">
        <v>19</v>
      </c>
    </row>
    <row r="191" spans="1:16" x14ac:dyDescent="0.25">
      <c r="A191" s="26">
        <v>190</v>
      </c>
      <c r="B191" s="27">
        <v>5182</v>
      </c>
      <c r="C191" s="26" t="s">
        <v>310</v>
      </c>
      <c r="D191" s="28" t="s">
        <v>311</v>
      </c>
      <c r="E191" s="26" t="s">
        <v>18</v>
      </c>
      <c r="F191" s="26"/>
      <c r="G191" s="29">
        <v>10</v>
      </c>
      <c r="H191" s="26">
        <v>97</v>
      </c>
      <c r="I191" s="26">
        <v>72</v>
      </c>
      <c r="J191" s="26">
        <f t="shared" si="6"/>
        <v>84</v>
      </c>
      <c r="K191" s="26"/>
      <c r="L191" s="26"/>
      <c r="M191" s="29">
        <f t="shared" si="7"/>
        <v>10</v>
      </c>
      <c r="N191" s="30">
        <f t="shared" si="8"/>
        <v>5.5417823999999998</v>
      </c>
      <c r="O191" s="26"/>
      <c r="P191" s="31" t="s">
        <v>30</v>
      </c>
    </row>
    <row r="192" spans="1:16" x14ac:dyDescent="0.25">
      <c r="A192" s="26">
        <v>191</v>
      </c>
      <c r="B192" s="27">
        <v>5184</v>
      </c>
      <c r="C192" s="26" t="s">
        <v>312</v>
      </c>
      <c r="D192" s="28" t="s">
        <v>313</v>
      </c>
      <c r="E192" s="26" t="s">
        <v>18</v>
      </c>
      <c r="F192" s="26"/>
      <c r="G192" s="29">
        <v>12</v>
      </c>
      <c r="H192" s="26">
        <v>111</v>
      </c>
      <c r="I192" s="26">
        <v>95</v>
      </c>
      <c r="J192" s="26">
        <f t="shared" si="6"/>
        <v>103</v>
      </c>
      <c r="K192" s="26"/>
      <c r="L192" s="26"/>
      <c r="M192" s="29">
        <f t="shared" si="7"/>
        <v>12</v>
      </c>
      <c r="N192" s="30">
        <f t="shared" si="8"/>
        <v>9.9987703200000002</v>
      </c>
      <c r="O192" s="26"/>
      <c r="P192" s="31" t="s">
        <v>19</v>
      </c>
    </row>
    <row r="193" spans="1:16" x14ac:dyDescent="0.25">
      <c r="A193" s="26">
        <v>192</v>
      </c>
      <c r="B193" s="27">
        <v>5185</v>
      </c>
      <c r="C193" s="26" t="s">
        <v>314</v>
      </c>
      <c r="D193" s="28" t="s">
        <v>315</v>
      </c>
      <c r="E193" s="26" t="s">
        <v>18</v>
      </c>
      <c r="F193" s="26"/>
      <c r="G193" s="29">
        <v>11</v>
      </c>
      <c r="H193" s="26">
        <v>88</v>
      </c>
      <c r="I193" s="26">
        <v>62</v>
      </c>
      <c r="J193" s="26">
        <f t="shared" si="6"/>
        <v>75</v>
      </c>
      <c r="K193" s="26"/>
      <c r="L193" s="26"/>
      <c r="M193" s="29">
        <f t="shared" si="7"/>
        <v>11</v>
      </c>
      <c r="N193" s="30">
        <f t="shared" si="8"/>
        <v>4.8596624999999998</v>
      </c>
      <c r="O193" s="26"/>
      <c r="P193" s="31" t="s">
        <v>19</v>
      </c>
    </row>
    <row r="194" spans="1:16" x14ac:dyDescent="0.25">
      <c r="A194" s="26">
        <v>193</v>
      </c>
      <c r="B194" s="27">
        <v>5186</v>
      </c>
      <c r="C194" s="26" t="s">
        <v>316</v>
      </c>
      <c r="D194" s="28">
        <v>4707</v>
      </c>
      <c r="E194" s="26" t="s">
        <v>18</v>
      </c>
      <c r="F194" s="26"/>
      <c r="G194" s="29">
        <v>6</v>
      </c>
      <c r="H194" s="26">
        <v>88</v>
      </c>
      <c r="I194" s="26">
        <v>78</v>
      </c>
      <c r="J194" s="26">
        <f t="shared" ref="J194:J257" si="9">ROUNDDOWN((H194+I194)/2,0)</f>
        <v>83</v>
      </c>
      <c r="K194" s="26"/>
      <c r="L194" s="26"/>
      <c r="M194" s="29">
        <f t="shared" ref="M194:M257" si="10">G194-K194</f>
        <v>6</v>
      </c>
      <c r="N194" s="30">
        <f t="shared" ref="N194:N257" si="11">J194*J194*M194*0.7854/10000</f>
        <v>3.2463723600000001</v>
      </c>
      <c r="O194" s="26"/>
      <c r="P194" s="31" t="s">
        <v>30</v>
      </c>
    </row>
    <row r="195" spans="1:16" x14ac:dyDescent="0.25">
      <c r="A195" s="26">
        <v>194</v>
      </c>
      <c r="B195" s="27">
        <v>5183</v>
      </c>
      <c r="C195" s="26" t="s">
        <v>317</v>
      </c>
      <c r="D195" s="28">
        <v>181</v>
      </c>
      <c r="E195" s="26" t="s">
        <v>18</v>
      </c>
      <c r="F195" s="26"/>
      <c r="G195" s="29">
        <v>9.1</v>
      </c>
      <c r="H195" s="26">
        <v>87</v>
      </c>
      <c r="I195" s="26">
        <v>74</v>
      </c>
      <c r="J195" s="26">
        <f t="shared" si="9"/>
        <v>80</v>
      </c>
      <c r="K195" s="26"/>
      <c r="L195" s="26"/>
      <c r="M195" s="29">
        <f t="shared" si="10"/>
        <v>9.1</v>
      </c>
      <c r="N195" s="30">
        <f t="shared" si="11"/>
        <v>4.5741695999999994</v>
      </c>
      <c r="O195" s="26"/>
      <c r="P195" s="31" t="s">
        <v>19</v>
      </c>
    </row>
    <row r="196" spans="1:16" x14ac:dyDescent="0.25">
      <c r="A196" s="26">
        <v>195</v>
      </c>
      <c r="B196" s="27">
        <v>5194</v>
      </c>
      <c r="C196" s="26" t="s">
        <v>318</v>
      </c>
      <c r="D196" s="28" t="s">
        <v>319</v>
      </c>
      <c r="E196" s="26" t="s">
        <v>18</v>
      </c>
      <c r="F196" s="26"/>
      <c r="G196" s="29">
        <v>5.5</v>
      </c>
      <c r="H196" s="26">
        <v>107</v>
      </c>
      <c r="I196" s="26">
        <v>104</v>
      </c>
      <c r="J196" s="26">
        <f t="shared" si="9"/>
        <v>105</v>
      </c>
      <c r="K196" s="26"/>
      <c r="L196" s="26"/>
      <c r="M196" s="29">
        <f t="shared" si="10"/>
        <v>5.5</v>
      </c>
      <c r="N196" s="30">
        <f t="shared" si="11"/>
        <v>4.7624692499999997</v>
      </c>
      <c r="O196" s="26"/>
      <c r="P196" s="31" t="s">
        <v>19</v>
      </c>
    </row>
    <row r="197" spans="1:16" x14ac:dyDescent="0.25">
      <c r="A197" s="26">
        <v>196</v>
      </c>
      <c r="B197" s="27">
        <v>5195</v>
      </c>
      <c r="C197" s="26" t="s">
        <v>320</v>
      </c>
      <c r="D197" s="28" t="s">
        <v>321</v>
      </c>
      <c r="E197" s="26" t="s">
        <v>18</v>
      </c>
      <c r="F197" s="26"/>
      <c r="G197" s="29">
        <v>9.3000000000000007</v>
      </c>
      <c r="H197" s="26">
        <v>151</v>
      </c>
      <c r="I197" s="26">
        <v>127</v>
      </c>
      <c r="J197" s="26">
        <f t="shared" si="9"/>
        <v>139</v>
      </c>
      <c r="K197" s="26"/>
      <c r="L197" s="26"/>
      <c r="M197" s="29">
        <f t="shared" si="10"/>
        <v>9.3000000000000007</v>
      </c>
      <c r="N197" s="30">
        <f t="shared" si="11"/>
        <v>14.112483462</v>
      </c>
      <c r="O197" s="26"/>
      <c r="P197" s="31" t="s">
        <v>19</v>
      </c>
    </row>
    <row r="198" spans="1:16" x14ac:dyDescent="0.25">
      <c r="A198" s="26">
        <v>197</v>
      </c>
      <c r="B198" s="27">
        <v>5196</v>
      </c>
      <c r="C198" s="26" t="s">
        <v>322</v>
      </c>
      <c r="D198" s="28" t="s">
        <v>323</v>
      </c>
      <c r="E198" s="26" t="s">
        <v>18</v>
      </c>
      <c r="F198" s="26"/>
      <c r="G198" s="29">
        <v>11.8</v>
      </c>
      <c r="H198" s="26">
        <v>93</v>
      </c>
      <c r="I198" s="26">
        <v>87</v>
      </c>
      <c r="J198" s="26">
        <f t="shared" si="9"/>
        <v>90</v>
      </c>
      <c r="K198" s="26"/>
      <c r="L198" s="26"/>
      <c r="M198" s="29">
        <f t="shared" si="10"/>
        <v>11.8</v>
      </c>
      <c r="N198" s="30">
        <f t="shared" si="11"/>
        <v>7.5068531999999992</v>
      </c>
      <c r="O198" s="26"/>
      <c r="P198" s="31" t="s">
        <v>19</v>
      </c>
    </row>
    <row r="199" spans="1:16" x14ac:dyDescent="0.25">
      <c r="A199" s="26">
        <v>198</v>
      </c>
      <c r="B199" s="27">
        <v>5197</v>
      </c>
      <c r="C199" s="26" t="s">
        <v>324</v>
      </c>
      <c r="D199" s="28">
        <v>4708</v>
      </c>
      <c r="E199" s="26" t="s">
        <v>18</v>
      </c>
      <c r="F199" s="26"/>
      <c r="G199" s="29">
        <v>5.2</v>
      </c>
      <c r="H199" s="26">
        <v>132</v>
      </c>
      <c r="I199" s="26">
        <v>121</v>
      </c>
      <c r="J199" s="26">
        <f t="shared" si="9"/>
        <v>126</v>
      </c>
      <c r="K199" s="26"/>
      <c r="L199" s="26"/>
      <c r="M199" s="29">
        <f t="shared" si="10"/>
        <v>5.2</v>
      </c>
      <c r="N199" s="30">
        <f t="shared" si="11"/>
        <v>6.4838854079999999</v>
      </c>
      <c r="O199" s="26"/>
      <c r="P199" s="31" t="s">
        <v>19</v>
      </c>
    </row>
    <row r="200" spans="1:16" x14ac:dyDescent="0.25">
      <c r="A200" s="26">
        <v>199</v>
      </c>
      <c r="B200" s="27">
        <v>5167</v>
      </c>
      <c r="C200" s="26" t="s">
        <v>325</v>
      </c>
      <c r="D200" s="28">
        <v>1212</v>
      </c>
      <c r="E200" s="26" t="s">
        <v>18</v>
      </c>
      <c r="F200" s="26"/>
      <c r="G200" s="29">
        <v>5.6</v>
      </c>
      <c r="H200" s="26">
        <v>78</v>
      </c>
      <c r="I200" s="26">
        <v>74</v>
      </c>
      <c r="J200" s="26">
        <f t="shared" si="9"/>
        <v>76</v>
      </c>
      <c r="K200" s="26"/>
      <c r="L200" s="26"/>
      <c r="M200" s="29">
        <f t="shared" si="10"/>
        <v>5.6</v>
      </c>
      <c r="N200" s="30">
        <f t="shared" si="11"/>
        <v>2.5404234239999997</v>
      </c>
      <c r="O200" s="26"/>
      <c r="P200" s="31" t="s">
        <v>19</v>
      </c>
    </row>
    <row r="201" spans="1:16" x14ac:dyDescent="0.25">
      <c r="A201" s="26">
        <v>200</v>
      </c>
      <c r="B201" s="27">
        <v>5168</v>
      </c>
      <c r="C201" s="26" t="s">
        <v>326</v>
      </c>
      <c r="D201" s="28">
        <v>4709</v>
      </c>
      <c r="E201" s="26" t="s">
        <v>18</v>
      </c>
      <c r="F201" s="26"/>
      <c r="G201" s="29">
        <v>13</v>
      </c>
      <c r="H201" s="26">
        <v>115</v>
      </c>
      <c r="I201" s="26">
        <v>105</v>
      </c>
      <c r="J201" s="26">
        <f t="shared" si="9"/>
        <v>110</v>
      </c>
      <c r="K201" s="26"/>
      <c r="L201" s="26"/>
      <c r="M201" s="29">
        <f t="shared" si="10"/>
        <v>13</v>
      </c>
      <c r="N201" s="30">
        <f t="shared" si="11"/>
        <v>12.354341999999999</v>
      </c>
      <c r="O201" s="26"/>
      <c r="P201" s="31" t="s">
        <v>19</v>
      </c>
    </row>
    <row r="202" spans="1:16" x14ac:dyDescent="0.25">
      <c r="A202" s="26">
        <v>201</v>
      </c>
      <c r="B202" s="27">
        <v>5169</v>
      </c>
      <c r="C202" s="26" t="s">
        <v>327</v>
      </c>
      <c r="D202" s="28" t="s">
        <v>328</v>
      </c>
      <c r="E202" s="26" t="s">
        <v>18</v>
      </c>
      <c r="F202" s="26"/>
      <c r="G202" s="29">
        <v>5.0999999999999996</v>
      </c>
      <c r="H202" s="26">
        <v>79</v>
      </c>
      <c r="I202" s="26">
        <v>70</v>
      </c>
      <c r="J202" s="26">
        <f t="shared" si="9"/>
        <v>74</v>
      </c>
      <c r="K202" s="26"/>
      <c r="L202" s="26"/>
      <c r="M202" s="29">
        <f t="shared" si="10"/>
        <v>5.0999999999999996</v>
      </c>
      <c r="N202" s="30">
        <f t="shared" si="11"/>
        <v>2.1934337039999998</v>
      </c>
      <c r="O202" s="26"/>
      <c r="P202" s="31" t="s">
        <v>19</v>
      </c>
    </row>
    <row r="203" spans="1:16" x14ac:dyDescent="0.25">
      <c r="A203" s="26">
        <v>202</v>
      </c>
      <c r="B203" s="27">
        <v>5170</v>
      </c>
      <c r="C203" s="26" t="s">
        <v>329</v>
      </c>
      <c r="D203" s="28">
        <v>1213</v>
      </c>
      <c r="E203" s="26" t="s">
        <v>18</v>
      </c>
      <c r="F203" s="26"/>
      <c r="G203" s="29">
        <v>12</v>
      </c>
      <c r="H203" s="26">
        <v>88</v>
      </c>
      <c r="I203" s="26">
        <v>77</v>
      </c>
      <c r="J203" s="26">
        <f t="shared" si="9"/>
        <v>82</v>
      </c>
      <c r="K203" s="26"/>
      <c r="L203" s="26"/>
      <c r="M203" s="29">
        <f t="shared" si="10"/>
        <v>12</v>
      </c>
      <c r="N203" s="30">
        <f t="shared" si="11"/>
        <v>6.3372355200000001</v>
      </c>
      <c r="O203" s="26"/>
      <c r="P203" s="31" t="s">
        <v>30</v>
      </c>
    </row>
    <row r="204" spans="1:16" x14ac:dyDescent="0.25">
      <c r="A204" s="26">
        <v>203</v>
      </c>
      <c r="B204" s="27">
        <v>5171</v>
      </c>
      <c r="C204" s="26" t="s">
        <v>330</v>
      </c>
      <c r="D204" s="28">
        <v>4710</v>
      </c>
      <c r="E204" s="26" t="s">
        <v>18</v>
      </c>
      <c r="F204" s="26"/>
      <c r="G204" s="29">
        <v>6</v>
      </c>
      <c r="H204" s="26">
        <v>94</v>
      </c>
      <c r="I204" s="26">
        <v>80</v>
      </c>
      <c r="J204" s="26">
        <f t="shared" si="9"/>
        <v>87</v>
      </c>
      <c r="K204" s="26"/>
      <c r="L204" s="26"/>
      <c r="M204" s="29">
        <f t="shared" si="10"/>
        <v>6</v>
      </c>
      <c r="N204" s="30">
        <f t="shared" si="11"/>
        <v>3.5668155599999998</v>
      </c>
      <c r="O204" s="26"/>
      <c r="P204" s="31" t="s">
        <v>19</v>
      </c>
    </row>
    <row r="205" spans="1:16" x14ac:dyDescent="0.25">
      <c r="A205" s="26">
        <v>204</v>
      </c>
      <c r="B205" s="27">
        <v>5200</v>
      </c>
      <c r="C205" s="26" t="s">
        <v>331</v>
      </c>
      <c r="D205" s="28" t="s">
        <v>332</v>
      </c>
      <c r="E205" s="26" t="s">
        <v>18</v>
      </c>
      <c r="F205" s="26"/>
      <c r="G205" s="29">
        <v>14</v>
      </c>
      <c r="H205" s="26">
        <v>98</v>
      </c>
      <c r="I205" s="26">
        <v>94</v>
      </c>
      <c r="J205" s="26">
        <f t="shared" si="9"/>
        <v>96</v>
      </c>
      <c r="K205" s="26"/>
      <c r="L205" s="26"/>
      <c r="M205" s="29">
        <f t="shared" si="10"/>
        <v>14</v>
      </c>
      <c r="N205" s="30">
        <f t="shared" si="11"/>
        <v>10.13354496</v>
      </c>
      <c r="O205" s="26"/>
      <c r="P205" s="31" t="s">
        <v>19</v>
      </c>
    </row>
    <row r="206" spans="1:16" x14ac:dyDescent="0.25">
      <c r="A206" s="26">
        <v>205</v>
      </c>
      <c r="B206" s="27">
        <v>5199</v>
      </c>
      <c r="C206" s="26" t="s">
        <v>333</v>
      </c>
      <c r="D206" s="28" t="s">
        <v>334</v>
      </c>
      <c r="E206" s="26" t="s">
        <v>18</v>
      </c>
      <c r="F206" s="26"/>
      <c r="G206" s="29">
        <v>6</v>
      </c>
      <c r="H206" s="26">
        <v>92</v>
      </c>
      <c r="I206" s="26">
        <v>87</v>
      </c>
      <c r="J206" s="26">
        <f t="shared" si="9"/>
        <v>89</v>
      </c>
      <c r="K206" s="26"/>
      <c r="L206" s="26"/>
      <c r="M206" s="29">
        <f t="shared" si="10"/>
        <v>6</v>
      </c>
      <c r="N206" s="30">
        <f t="shared" si="11"/>
        <v>3.7326920400000003</v>
      </c>
      <c r="O206" s="26"/>
      <c r="P206" s="31" t="s">
        <v>30</v>
      </c>
    </row>
    <row r="207" spans="1:16" x14ac:dyDescent="0.25">
      <c r="A207" s="26">
        <v>206</v>
      </c>
      <c r="B207" s="27">
        <v>5198</v>
      </c>
      <c r="C207" s="26" t="s">
        <v>335</v>
      </c>
      <c r="D207" s="28" t="s">
        <v>336</v>
      </c>
      <c r="E207" s="26" t="s">
        <v>18</v>
      </c>
      <c r="F207" s="26"/>
      <c r="G207" s="29">
        <v>14</v>
      </c>
      <c r="H207" s="26">
        <v>78</v>
      </c>
      <c r="I207" s="26">
        <v>65</v>
      </c>
      <c r="J207" s="26">
        <f t="shared" si="9"/>
        <v>71</v>
      </c>
      <c r="K207" s="26"/>
      <c r="L207" s="26"/>
      <c r="M207" s="29">
        <f t="shared" si="10"/>
        <v>14</v>
      </c>
      <c r="N207" s="30">
        <f t="shared" si="11"/>
        <v>5.5428819599999999</v>
      </c>
      <c r="O207" s="26"/>
      <c r="P207" s="31" t="s">
        <v>19</v>
      </c>
    </row>
    <row r="208" spans="1:16" x14ac:dyDescent="0.25">
      <c r="A208" s="26">
        <v>207</v>
      </c>
      <c r="B208" s="27">
        <v>5201</v>
      </c>
      <c r="C208" s="26" t="s">
        <v>337</v>
      </c>
      <c r="D208" s="28" t="s">
        <v>338</v>
      </c>
      <c r="E208" s="26" t="s">
        <v>18</v>
      </c>
      <c r="F208" s="26"/>
      <c r="G208" s="29">
        <v>4.5</v>
      </c>
      <c r="H208" s="26">
        <v>77</v>
      </c>
      <c r="I208" s="26">
        <v>77</v>
      </c>
      <c r="J208" s="26">
        <f t="shared" si="9"/>
        <v>77</v>
      </c>
      <c r="K208" s="26"/>
      <c r="L208" s="26"/>
      <c r="M208" s="29">
        <f t="shared" si="10"/>
        <v>4.5</v>
      </c>
      <c r="N208" s="30">
        <f t="shared" si="11"/>
        <v>2.09548647</v>
      </c>
      <c r="O208" s="26"/>
      <c r="P208" s="31" t="s">
        <v>19</v>
      </c>
    </row>
    <row r="209" spans="1:16" x14ac:dyDescent="0.25">
      <c r="A209" s="26">
        <v>208</v>
      </c>
      <c r="B209" s="27">
        <v>5202</v>
      </c>
      <c r="C209" s="26" t="s">
        <v>339</v>
      </c>
      <c r="D209" s="28" t="s">
        <v>340</v>
      </c>
      <c r="E209" s="26" t="s">
        <v>18</v>
      </c>
      <c r="F209" s="26"/>
      <c r="G209" s="29">
        <v>12.8</v>
      </c>
      <c r="H209" s="26">
        <v>98</v>
      </c>
      <c r="I209" s="26">
        <v>90</v>
      </c>
      <c r="J209" s="26">
        <f t="shared" si="9"/>
        <v>94</v>
      </c>
      <c r="K209" s="26"/>
      <c r="L209" s="26"/>
      <c r="M209" s="29">
        <f t="shared" si="10"/>
        <v>12.8</v>
      </c>
      <c r="N209" s="30">
        <f t="shared" si="11"/>
        <v>8.8829368319999986</v>
      </c>
      <c r="O209" s="26"/>
      <c r="P209" s="31" t="s">
        <v>30</v>
      </c>
    </row>
    <row r="210" spans="1:16" x14ac:dyDescent="0.25">
      <c r="A210" s="26">
        <v>209</v>
      </c>
      <c r="B210" s="27">
        <v>5212</v>
      </c>
      <c r="C210" s="26" t="s">
        <v>341</v>
      </c>
      <c r="D210" s="28">
        <v>4712</v>
      </c>
      <c r="E210" s="26" t="s">
        <v>18</v>
      </c>
      <c r="F210" s="26"/>
      <c r="G210" s="29">
        <v>5</v>
      </c>
      <c r="H210" s="26">
        <v>84</v>
      </c>
      <c r="I210" s="26">
        <v>82</v>
      </c>
      <c r="J210" s="26">
        <f t="shared" si="9"/>
        <v>83</v>
      </c>
      <c r="K210" s="26"/>
      <c r="L210" s="26"/>
      <c r="M210" s="29">
        <f t="shared" si="10"/>
        <v>5</v>
      </c>
      <c r="N210" s="30">
        <f t="shared" si="11"/>
        <v>2.7053102999999998</v>
      </c>
      <c r="O210" s="26"/>
      <c r="P210" s="31" t="s">
        <v>19</v>
      </c>
    </row>
    <row r="211" spans="1:16" x14ac:dyDescent="0.25">
      <c r="A211" s="26">
        <v>210</v>
      </c>
      <c r="B211" s="27">
        <v>5213</v>
      </c>
      <c r="C211" s="26" t="s">
        <v>342</v>
      </c>
      <c r="D211" s="28">
        <v>185</v>
      </c>
      <c r="E211" s="26" t="s">
        <v>18</v>
      </c>
      <c r="F211" s="26"/>
      <c r="G211" s="29">
        <v>13</v>
      </c>
      <c r="H211" s="26">
        <v>79</v>
      </c>
      <c r="I211" s="26">
        <v>60</v>
      </c>
      <c r="J211" s="26">
        <f t="shared" si="9"/>
        <v>69</v>
      </c>
      <c r="K211" s="26"/>
      <c r="L211" s="26"/>
      <c r="M211" s="29">
        <f t="shared" si="10"/>
        <v>13</v>
      </c>
      <c r="N211" s="30">
        <f t="shared" si="11"/>
        <v>4.8610762200000002</v>
      </c>
      <c r="O211" s="26"/>
      <c r="P211" s="31" t="s">
        <v>19</v>
      </c>
    </row>
    <row r="212" spans="1:16" x14ac:dyDescent="0.25">
      <c r="A212" s="26">
        <v>211</v>
      </c>
      <c r="B212" s="27">
        <v>5214</v>
      </c>
      <c r="C212" s="26" t="s">
        <v>343</v>
      </c>
      <c r="D212" s="28" t="s">
        <v>344</v>
      </c>
      <c r="E212" s="26" t="s">
        <v>18</v>
      </c>
      <c r="F212" s="26"/>
      <c r="G212" s="29">
        <v>10.5</v>
      </c>
      <c r="H212" s="26">
        <v>73</v>
      </c>
      <c r="I212" s="26">
        <v>66</v>
      </c>
      <c r="J212" s="26">
        <f t="shared" si="9"/>
        <v>69</v>
      </c>
      <c r="K212" s="26"/>
      <c r="L212" s="26"/>
      <c r="M212" s="29">
        <f t="shared" si="10"/>
        <v>10.5</v>
      </c>
      <c r="N212" s="30">
        <f t="shared" si="11"/>
        <v>3.9262538699999996</v>
      </c>
      <c r="O212" s="26"/>
      <c r="P212" s="31" t="s">
        <v>19</v>
      </c>
    </row>
    <row r="213" spans="1:16" x14ac:dyDescent="0.25">
      <c r="A213" s="26">
        <v>212</v>
      </c>
      <c r="B213" s="27">
        <v>5215</v>
      </c>
      <c r="C213" s="26" t="s">
        <v>345</v>
      </c>
      <c r="D213" s="28" t="s">
        <v>346</v>
      </c>
      <c r="E213" s="26" t="s">
        <v>18</v>
      </c>
      <c r="F213" s="26"/>
      <c r="G213" s="29">
        <v>12</v>
      </c>
      <c r="H213" s="26">
        <v>80</v>
      </c>
      <c r="I213" s="26">
        <v>69</v>
      </c>
      <c r="J213" s="26">
        <f t="shared" si="9"/>
        <v>74</v>
      </c>
      <c r="K213" s="26"/>
      <c r="L213" s="26"/>
      <c r="M213" s="29">
        <f t="shared" si="10"/>
        <v>12</v>
      </c>
      <c r="N213" s="30">
        <f t="shared" si="11"/>
        <v>5.1610204800000004</v>
      </c>
      <c r="O213" s="26"/>
      <c r="P213" s="31" t="s">
        <v>19</v>
      </c>
    </row>
    <row r="214" spans="1:16" x14ac:dyDescent="0.25">
      <c r="A214" s="26">
        <v>213</v>
      </c>
      <c r="B214" s="27">
        <v>5216</v>
      </c>
      <c r="C214" s="26" t="s">
        <v>347</v>
      </c>
      <c r="D214" s="28">
        <v>1216</v>
      </c>
      <c r="E214" s="26" t="s">
        <v>18</v>
      </c>
      <c r="F214" s="26"/>
      <c r="G214" s="29">
        <v>12.6</v>
      </c>
      <c r="H214" s="26">
        <v>82</v>
      </c>
      <c r="I214" s="26">
        <v>67</v>
      </c>
      <c r="J214" s="26">
        <f t="shared" si="9"/>
        <v>74</v>
      </c>
      <c r="K214" s="26"/>
      <c r="L214" s="26"/>
      <c r="M214" s="29">
        <f t="shared" si="10"/>
        <v>12.6</v>
      </c>
      <c r="N214" s="30">
        <f t="shared" si="11"/>
        <v>5.4190715039999997</v>
      </c>
      <c r="O214" s="26"/>
      <c r="P214" s="31" t="s">
        <v>19</v>
      </c>
    </row>
    <row r="215" spans="1:16" x14ac:dyDescent="0.25">
      <c r="A215" s="26">
        <v>214</v>
      </c>
      <c r="B215" s="27">
        <v>5217</v>
      </c>
      <c r="C215" s="26" t="s">
        <v>348</v>
      </c>
      <c r="D215" s="28" t="s">
        <v>349</v>
      </c>
      <c r="E215" s="26" t="s">
        <v>18</v>
      </c>
      <c r="F215" s="26"/>
      <c r="G215" s="29">
        <v>12.5</v>
      </c>
      <c r="H215" s="26">
        <v>112</v>
      </c>
      <c r="I215" s="26">
        <v>87</v>
      </c>
      <c r="J215" s="26">
        <f t="shared" si="9"/>
        <v>99</v>
      </c>
      <c r="K215" s="26"/>
      <c r="L215" s="26"/>
      <c r="M215" s="29">
        <f t="shared" si="10"/>
        <v>12.5</v>
      </c>
      <c r="N215" s="30">
        <f t="shared" si="11"/>
        <v>9.6221317500000012</v>
      </c>
      <c r="O215" s="26"/>
      <c r="P215" s="31" t="s">
        <v>19</v>
      </c>
    </row>
    <row r="216" spans="1:16" x14ac:dyDescent="0.25">
      <c r="A216" s="26">
        <v>215</v>
      </c>
      <c r="B216" s="27">
        <v>5218</v>
      </c>
      <c r="C216" s="26" t="s">
        <v>350</v>
      </c>
      <c r="D216" s="28" t="s">
        <v>351</v>
      </c>
      <c r="E216" s="26" t="s">
        <v>18</v>
      </c>
      <c r="F216" s="26"/>
      <c r="G216" s="29">
        <v>10</v>
      </c>
      <c r="H216" s="26">
        <v>89</v>
      </c>
      <c r="I216" s="26">
        <v>80</v>
      </c>
      <c r="J216" s="26">
        <f t="shared" si="9"/>
        <v>84</v>
      </c>
      <c r="K216" s="26"/>
      <c r="L216" s="26"/>
      <c r="M216" s="29">
        <f t="shared" si="10"/>
        <v>10</v>
      </c>
      <c r="N216" s="30">
        <f t="shared" si="11"/>
        <v>5.5417823999999998</v>
      </c>
      <c r="O216" s="26"/>
      <c r="P216" s="31" t="s">
        <v>19</v>
      </c>
    </row>
    <row r="217" spans="1:16" x14ac:dyDescent="0.25">
      <c r="A217" s="26">
        <v>216</v>
      </c>
      <c r="B217" s="27">
        <v>5219</v>
      </c>
      <c r="C217" s="26" t="s">
        <v>352</v>
      </c>
      <c r="D217" s="28" t="s">
        <v>353</v>
      </c>
      <c r="E217" s="26" t="s">
        <v>18</v>
      </c>
      <c r="F217" s="26"/>
      <c r="G217" s="29">
        <v>13.2</v>
      </c>
      <c r="H217" s="26">
        <v>94</v>
      </c>
      <c r="I217" s="26">
        <v>83</v>
      </c>
      <c r="J217" s="26">
        <f t="shared" si="9"/>
        <v>88</v>
      </c>
      <c r="K217" s="26"/>
      <c r="L217" s="26"/>
      <c r="M217" s="29">
        <f t="shared" si="10"/>
        <v>13.2</v>
      </c>
      <c r="N217" s="30">
        <f t="shared" si="11"/>
        <v>8.0284216319999988</v>
      </c>
      <c r="O217" s="26"/>
      <c r="P217" s="31" t="s">
        <v>19</v>
      </c>
    </row>
    <row r="218" spans="1:16" x14ac:dyDescent="0.25">
      <c r="A218" s="26">
        <v>217</v>
      </c>
      <c r="B218" s="27">
        <v>5220</v>
      </c>
      <c r="C218" s="26" t="s">
        <v>354</v>
      </c>
      <c r="D218" s="28">
        <v>4672</v>
      </c>
      <c r="E218" s="26" t="s">
        <v>18</v>
      </c>
      <c r="F218" s="26"/>
      <c r="G218" s="29">
        <v>12.5</v>
      </c>
      <c r="H218" s="26">
        <v>104</v>
      </c>
      <c r="I218" s="26">
        <v>68</v>
      </c>
      <c r="J218" s="26">
        <f t="shared" si="9"/>
        <v>86</v>
      </c>
      <c r="K218" s="26">
        <v>1</v>
      </c>
      <c r="L218" s="26"/>
      <c r="M218" s="29">
        <f t="shared" si="10"/>
        <v>11.5</v>
      </c>
      <c r="N218" s="30">
        <f t="shared" si="11"/>
        <v>6.6801411599999989</v>
      </c>
      <c r="O218" s="26" t="s">
        <v>53</v>
      </c>
      <c r="P218" s="31" t="s">
        <v>30</v>
      </c>
    </row>
    <row r="219" spans="1:16" x14ac:dyDescent="0.25">
      <c r="A219" s="26">
        <v>218</v>
      </c>
      <c r="B219" s="27">
        <v>5221</v>
      </c>
      <c r="C219" s="26" t="s">
        <v>355</v>
      </c>
      <c r="D219" s="28" t="s">
        <v>356</v>
      </c>
      <c r="E219" s="26" t="s">
        <v>18</v>
      </c>
      <c r="F219" s="26"/>
      <c r="G219" s="29">
        <v>12.5</v>
      </c>
      <c r="H219" s="26">
        <v>82</v>
      </c>
      <c r="I219" s="26">
        <v>77</v>
      </c>
      <c r="J219" s="26">
        <f t="shared" si="9"/>
        <v>79</v>
      </c>
      <c r="K219" s="26"/>
      <c r="L219" s="26"/>
      <c r="M219" s="29">
        <f t="shared" si="10"/>
        <v>12.5</v>
      </c>
      <c r="N219" s="30">
        <f t="shared" si="11"/>
        <v>6.1271017500000005</v>
      </c>
      <c r="O219" s="26"/>
      <c r="P219" s="31" t="s">
        <v>19</v>
      </c>
    </row>
    <row r="220" spans="1:16" x14ac:dyDescent="0.25">
      <c r="A220" s="26">
        <v>219</v>
      </c>
      <c r="B220" s="27">
        <v>5222</v>
      </c>
      <c r="C220" s="26" t="s">
        <v>357</v>
      </c>
      <c r="D220" s="28" t="s">
        <v>358</v>
      </c>
      <c r="E220" s="26" t="s">
        <v>18</v>
      </c>
      <c r="F220" s="26"/>
      <c r="G220" s="29">
        <v>13.5</v>
      </c>
      <c r="H220" s="26">
        <v>84</v>
      </c>
      <c r="I220" s="26">
        <v>78</v>
      </c>
      <c r="J220" s="26">
        <f t="shared" si="9"/>
        <v>81</v>
      </c>
      <c r="K220" s="26"/>
      <c r="L220" s="26"/>
      <c r="M220" s="29">
        <f t="shared" si="10"/>
        <v>13.5</v>
      </c>
      <c r="N220" s="30">
        <f t="shared" si="11"/>
        <v>6.9565626900000002</v>
      </c>
      <c r="O220" s="26"/>
      <c r="P220" s="31" t="s">
        <v>19</v>
      </c>
    </row>
    <row r="221" spans="1:16" x14ac:dyDescent="0.25">
      <c r="A221" s="26">
        <v>220</v>
      </c>
      <c r="B221" s="27">
        <v>5223</v>
      </c>
      <c r="C221" s="26" t="s">
        <v>359</v>
      </c>
      <c r="D221" s="28" t="s">
        <v>360</v>
      </c>
      <c r="E221" s="26" t="s">
        <v>18</v>
      </c>
      <c r="F221" s="26"/>
      <c r="G221" s="29">
        <v>5</v>
      </c>
      <c r="H221" s="26">
        <v>122</v>
      </c>
      <c r="I221" s="26">
        <v>103</v>
      </c>
      <c r="J221" s="26">
        <f t="shared" si="9"/>
        <v>112</v>
      </c>
      <c r="K221" s="26">
        <v>0.5</v>
      </c>
      <c r="L221" s="26"/>
      <c r="M221" s="29">
        <f t="shared" si="10"/>
        <v>4.5</v>
      </c>
      <c r="N221" s="30">
        <f t="shared" si="11"/>
        <v>4.4334259200000004</v>
      </c>
      <c r="O221" s="26" t="s">
        <v>361</v>
      </c>
      <c r="P221" s="31" t="s">
        <v>30</v>
      </c>
    </row>
    <row r="222" spans="1:16" x14ac:dyDescent="0.25">
      <c r="A222" s="26">
        <v>221</v>
      </c>
      <c r="B222" s="27">
        <v>5224</v>
      </c>
      <c r="C222" s="26" t="s">
        <v>362</v>
      </c>
      <c r="D222" s="28" t="s">
        <v>363</v>
      </c>
      <c r="E222" s="26" t="s">
        <v>18</v>
      </c>
      <c r="F222" s="26"/>
      <c r="G222" s="29">
        <v>6.6</v>
      </c>
      <c r="H222" s="26">
        <v>101</v>
      </c>
      <c r="I222" s="26">
        <v>95</v>
      </c>
      <c r="J222" s="26">
        <f t="shared" si="9"/>
        <v>98</v>
      </c>
      <c r="K222" s="26">
        <v>0.5</v>
      </c>
      <c r="L222" s="26"/>
      <c r="M222" s="29">
        <f t="shared" si="10"/>
        <v>6.1</v>
      </c>
      <c r="N222" s="30">
        <f t="shared" si="11"/>
        <v>4.6012187759999996</v>
      </c>
      <c r="O222" s="26" t="s">
        <v>21</v>
      </c>
      <c r="P222" s="31" t="s">
        <v>19</v>
      </c>
    </row>
    <row r="223" spans="1:16" x14ac:dyDescent="0.25">
      <c r="A223" s="26">
        <v>222</v>
      </c>
      <c r="B223" s="27">
        <v>5225</v>
      </c>
      <c r="C223" s="26" t="s">
        <v>364</v>
      </c>
      <c r="D223" s="28">
        <v>1219</v>
      </c>
      <c r="E223" s="26" t="s">
        <v>18</v>
      </c>
      <c r="F223" s="26"/>
      <c r="G223" s="29">
        <v>4.5999999999999996</v>
      </c>
      <c r="H223" s="26">
        <v>98</v>
      </c>
      <c r="I223" s="26">
        <v>92</v>
      </c>
      <c r="J223" s="26">
        <f t="shared" si="9"/>
        <v>95</v>
      </c>
      <c r="K223" s="26"/>
      <c r="L223" s="26"/>
      <c r="M223" s="29">
        <f t="shared" si="10"/>
        <v>4.5999999999999996</v>
      </c>
      <c r="N223" s="30">
        <f t="shared" si="11"/>
        <v>3.2605881000000001</v>
      </c>
      <c r="O223" s="26"/>
      <c r="P223" s="31" t="s">
        <v>19</v>
      </c>
    </row>
    <row r="224" spans="1:16" x14ac:dyDescent="0.25">
      <c r="A224" s="26">
        <v>223</v>
      </c>
      <c r="B224" s="27">
        <v>5226</v>
      </c>
      <c r="C224" s="26" t="s">
        <v>365</v>
      </c>
      <c r="D224" s="28" t="s">
        <v>366</v>
      </c>
      <c r="E224" s="26" t="s">
        <v>18</v>
      </c>
      <c r="F224" s="26"/>
      <c r="G224" s="29">
        <v>7.4</v>
      </c>
      <c r="H224" s="26">
        <v>76</v>
      </c>
      <c r="I224" s="26">
        <v>75</v>
      </c>
      <c r="J224" s="26">
        <f t="shared" si="9"/>
        <v>75</v>
      </c>
      <c r="K224" s="26"/>
      <c r="L224" s="26"/>
      <c r="M224" s="29">
        <f t="shared" si="10"/>
        <v>7.4</v>
      </c>
      <c r="N224" s="30">
        <f t="shared" si="11"/>
        <v>3.2692275</v>
      </c>
      <c r="O224" s="26"/>
      <c r="P224" s="31" t="s">
        <v>30</v>
      </c>
    </row>
    <row r="225" spans="1:16" x14ac:dyDescent="0.25">
      <c r="A225" s="26">
        <v>224</v>
      </c>
      <c r="B225" s="27">
        <v>5227</v>
      </c>
      <c r="C225" s="26" t="s">
        <v>367</v>
      </c>
      <c r="D225" s="28" t="s">
        <v>368</v>
      </c>
      <c r="E225" s="26" t="s">
        <v>18</v>
      </c>
      <c r="F225" s="26"/>
      <c r="G225" s="29">
        <v>6.4</v>
      </c>
      <c r="H225" s="26">
        <v>79</v>
      </c>
      <c r="I225" s="26">
        <v>70</v>
      </c>
      <c r="J225" s="26">
        <f t="shared" si="9"/>
        <v>74</v>
      </c>
      <c r="K225" s="26"/>
      <c r="L225" s="26"/>
      <c r="M225" s="29">
        <f t="shared" si="10"/>
        <v>6.4</v>
      </c>
      <c r="N225" s="30">
        <f t="shared" si="11"/>
        <v>2.7525442559999997</v>
      </c>
      <c r="O225" s="26"/>
      <c r="P225" s="31" t="s">
        <v>19</v>
      </c>
    </row>
    <row r="226" spans="1:16" x14ac:dyDescent="0.25">
      <c r="A226" s="26">
        <v>225</v>
      </c>
      <c r="B226" s="27">
        <v>5228</v>
      </c>
      <c r="C226" s="26" t="s">
        <v>369</v>
      </c>
      <c r="D226" s="28" t="s">
        <v>370</v>
      </c>
      <c r="E226" s="26" t="s">
        <v>18</v>
      </c>
      <c r="F226" s="26"/>
      <c r="G226" s="29">
        <v>12.5</v>
      </c>
      <c r="H226" s="26">
        <v>118</v>
      </c>
      <c r="I226" s="26">
        <v>95</v>
      </c>
      <c r="J226" s="26">
        <f t="shared" si="9"/>
        <v>106</v>
      </c>
      <c r="K226" s="26"/>
      <c r="L226" s="26"/>
      <c r="M226" s="29">
        <f t="shared" si="10"/>
        <v>12.5</v>
      </c>
      <c r="N226" s="30">
        <f t="shared" si="11"/>
        <v>11.030942999999999</v>
      </c>
      <c r="O226" s="26"/>
      <c r="P226" s="31" t="s">
        <v>19</v>
      </c>
    </row>
    <row r="227" spans="1:16" x14ac:dyDescent="0.25">
      <c r="A227" s="26">
        <v>226</v>
      </c>
      <c r="B227" s="27">
        <v>5229</v>
      </c>
      <c r="C227" s="26" t="s">
        <v>371</v>
      </c>
      <c r="D227" s="28" t="s">
        <v>372</v>
      </c>
      <c r="E227" s="26" t="s">
        <v>18</v>
      </c>
      <c r="F227" s="26"/>
      <c r="G227" s="29">
        <v>12</v>
      </c>
      <c r="H227" s="26">
        <v>108</v>
      </c>
      <c r="I227" s="26">
        <v>95</v>
      </c>
      <c r="J227" s="26">
        <f t="shared" si="9"/>
        <v>101</v>
      </c>
      <c r="K227" s="26"/>
      <c r="L227" s="26"/>
      <c r="M227" s="29">
        <f t="shared" si="10"/>
        <v>12</v>
      </c>
      <c r="N227" s="30">
        <f t="shared" si="11"/>
        <v>9.6142384799999991</v>
      </c>
      <c r="O227" s="26"/>
      <c r="P227" s="31" t="s">
        <v>19</v>
      </c>
    </row>
    <row r="228" spans="1:16" x14ac:dyDescent="0.25">
      <c r="A228" s="26">
        <v>227</v>
      </c>
      <c r="B228" s="27">
        <v>5230</v>
      </c>
      <c r="C228" s="26" t="s">
        <v>373</v>
      </c>
      <c r="D228" s="28" t="s">
        <v>374</v>
      </c>
      <c r="E228" s="26" t="s">
        <v>18</v>
      </c>
      <c r="F228" s="26"/>
      <c r="G228" s="29">
        <v>11.2</v>
      </c>
      <c r="H228" s="26">
        <v>95</v>
      </c>
      <c r="I228" s="26">
        <v>79</v>
      </c>
      <c r="J228" s="26">
        <f t="shared" si="9"/>
        <v>87</v>
      </c>
      <c r="K228" s="26"/>
      <c r="L228" s="26"/>
      <c r="M228" s="29">
        <f t="shared" si="10"/>
        <v>11.2</v>
      </c>
      <c r="N228" s="30">
        <f t="shared" si="11"/>
        <v>6.6580557119999986</v>
      </c>
      <c r="O228" s="26"/>
      <c r="P228" s="31" t="s">
        <v>19</v>
      </c>
    </row>
    <row r="229" spans="1:16" x14ac:dyDescent="0.25">
      <c r="A229" s="26">
        <v>228</v>
      </c>
      <c r="B229" s="27">
        <v>5231</v>
      </c>
      <c r="C229" s="26" t="s">
        <v>375</v>
      </c>
      <c r="D229" s="28" t="s">
        <v>376</v>
      </c>
      <c r="E229" s="26" t="s">
        <v>18</v>
      </c>
      <c r="F229" s="26"/>
      <c r="G229" s="29">
        <v>11</v>
      </c>
      <c r="H229" s="26">
        <v>93</v>
      </c>
      <c r="I229" s="26">
        <v>83</v>
      </c>
      <c r="J229" s="26">
        <f t="shared" si="9"/>
        <v>88</v>
      </c>
      <c r="K229" s="26"/>
      <c r="L229" s="26"/>
      <c r="M229" s="29">
        <f t="shared" si="10"/>
        <v>11</v>
      </c>
      <c r="N229" s="30">
        <f t="shared" si="11"/>
        <v>6.6903513600000002</v>
      </c>
      <c r="O229" s="26"/>
      <c r="P229" s="31" t="s">
        <v>19</v>
      </c>
    </row>
    <row r="230" spans="1:16" x14ac:dyDescent="0.25">
      <c r="A230" s="26">
        <v>229</v>
      </c>
      <c r="B230" s="27">
        <v>5232</v>
      </c>
      <c r="C230" s="26" t="s">
        <v>377</v>
      </c>
      <c r="D230" s="28" t="s">
        <v>378</v>
      </c>
      <c r="E230" s="26" t="s">
        <v>18</v>
      </c>
      <c r="F230" s="26"/>
      <c r="G230" s="29">
        <v>10.5</v>
      </c>
      <c r="H230" s="26">
        <v>83</v>
      </c>
      <c r="I230" s="26">
        <v>71</v>
      </c>
      <c r="J230" s="26">
        <f t="shared" si="9"/>
        <v>77</v>
      </c>
      <c r="K230" s="26"/>
      <c r="L230" s="26"/>
      <c r="M230" s="29">
        <f t="shared" si="10"/>
        <v>10.5</v>
      </c>
      <c r="N230" s="30">
        <f t="shared" si="11"/>
        <v>4.88946843</v>
      </c>
      <c r="O230" s="26"/>
      <c r="P230" s="31" t="s">
        <v>19</v>
      </c>
    </row>
    <row r="231" spans="1:16" x14ac:dyDescent="0.25">
      <c r="A231" s="26">
        <v>230</v>
      </c>
      <c r="B231" s="27">
        <v>5233</v>
      </c>
      <c r="C231" s="26" t="s">
        <v>379</v>
      </c>
      <c r="D231" s="28" t="s">
        <v>380</v>
      </c>
      <c r="E231" s="26" t="s">
        <v>18</v>
      </c>
      <c r="F231" s="26"/>
      <c r="G231" s="29">
        <v>12.5</v>
      </c>
      <c r="H231" s="26">
        <v>99</v>
      </c>
      <c r="I231" s="26">
        <v>85</v>
      </c>
      <c r="J231" s="26">
        <f t="shared" si="9"/>
        <v>92</v>
      </c>
      <c r="K231" s="26"/>
      <c r="L231" s="26"/>
      <c r="M231" s="29">
        <f t="shared" si="10"/>
        <v>12.5</v>
      </c>
      <c r="N231" s="30">
        <f t="shared" si="11"/>
        <v>8.309531999999999</v>
      </c>
      <c r="O231" s="26"/>
      <c r="P231" s="31" t="s">
        <v>19</v>
      </c>
    </row>
    <row r="232" spans="1:16" x14ac:dyDescent="0.25">
      <c r="A232" s="26">
        <v>231</v>
      </c>
      <c r="B232" s="27">
        <v>5234</v>
      </c>
      <c r="C232" s="26" t="s">
        <v>381</v>
      </c>
      <c r="D232" s="28" t="s">
        <v>382</v>
      </c>
      <c r="E232" s="26" t="s">
        <v>18</v>
      </c>
      <c r="F232" s="26"/>
      <c r="G232" s="29">
        <v>9.8000000000000007</v>
      </c>
      <c r="H232" s="26">
        <v>88</v>
      </c>
      <c r="I232" s="26">
        <v>80</v>
      </c>
      <c r="J232" s="26">
        <f t="shared" si="9"/>
        <v>84</v>
      </c>
      <c r="K232" s="26">
        <v>0.5</v>
      </c>
      <c r="L232" s="26"/>
      <c r="M232" s="29">
        <f t="shared" si="10"/>
        <v>9.3000000000000007</v>
      </c>
      <c r="N232" s="30">
        <f t="shared" si="11"/>
        <v>5.1538576320000002</v>
      </c>
      <c r="O232" s="26" t="s">
        <v>35</v>
      </c>
      <c r="P232" s="31" t="s">
        <v>19</v>
      </c>
    </row>
    <row r="233" spans="1:16" x14ac:dyDescent="0.25">
      <c r="A233" s="26">
        <v>232</v>
      </c>
      <c r="B233" s="27">
        <v>5235</v>
      </c>
      <c r="C233" s="26" t="s">
        <v>383</v>
      </c>
      <c r="D233" s="28" t="s">
        <v>384</v>
      </c>
      <c r="E233" s="26" t="s">
        <v>18</v>
      </c>
      <c r="F233" s="26"/>
      <c r="G233" s="29">
        <v>13.5</v>
      </c>
      <c r="H233" s="26">
        <v>85</v>
      </c>
      <c r="I233" s="26">
        <v>65</v>
      </c>
      <c r="J233" s="26">
        <f t="shared" si="9"/>
        <v>75</v>
      </c>
      <c r="K233" s="26"/>
      <c r="L233" s="26"/>
      <c r="M233" s="29">
        <f t="shared" si="10"/>
        <v>13.5</v>
      </c>
      <c r="N233" s="30">
        <f t="shared" si="11"/>
        <v>5.9641312500000003</v>
      </c>
      <c r="O233" s="26"/>
      <c r="P233" s="31" t="s">
        <v>30</v>
      </c>
    </row>
    <row r="234" spans="1:16" x14ac:dyDescent="0.25">
      <c r="A234" s="26">
        <v>233</v>
      </c>
      <c r="B234" s="27">
        <v>5236</v>
      </c>
      <c r="C234" s="26" t="s">
        <v>385</v>
      </c>
      <c r="D234" s="28">
        <v>12223</v>
      </c>
      <c r="E234" s="26" t="s">
        <v>18</v>
      </c>
      <c r="F234" s="26"/>
      <c r="G234" s="29">
        <v>11</v>
      </c>
      <c r="H234" s="26">
        <v>81</v>
      </c>
      <c r="I234" s="26">
        <v>70</v>
      </c>
      <c r="J234" s="26">
        <f t="shared" si="9"/>
        <v>75</v>
      </c>
      <c r="K234" s="26"/>
      <c r="L234" s="26"/>
      <c r="M234" s="29">
        <f t="shared" si="10"/>
        <v>11</v>
      </c>
      <c r="N234" s="30">
        <f t="shared" si="11"/>
        <v>4.8596624999999998</v>
      </c>
      <c r="O234" s="26"/>
      <c r="P234" s="31" t="s">
        <v>19</v>
      </c>
    </row>
    <row r="235" spans="1:16" x14ac:dyDescent="0.25">
      <c r="A235" s="26">
        <v>234</v>
      </c>
      <c r="B235" s="27">
        <v>5237</v>
      </c>
      <c r="C235" s="26" t="s">
        <v>386</v>
      </c>
      <c r="D235" s="28">
        <v>1224</v>
      </c>
      <c r="E235" s="26" t="s">
        <v>18</v>
      </c>
      <c r="F235" s="26"/>
      <c r="G235" s="29">
        <v>12.8</v>
      </c>
      <c r="H235" s="26">
        <v>120</v>
      </c>
      <c r="I235" s="26">
        <v>107</v>
      </c>
      <c r="J235" s="26">
        <f t="shared" si="9"/>
        <v>113</v>
      </c>
      <c r="K235" s="26"/>
      <c r="L235" s="26"/>
      <c r="M235" s="29">
        <f t="shared" si="10"/>
        <v>12.8</v>
      </c>
      <c r="N235" s="30">
        <f t="shared" si="11"/>
        <v>12.836828928000001</v>
      </c>
      <c r="O235" s="26"/>
      <c r="P235" s="31" t="s">
        <v>19</v>
      </c>
    </row>
    <row r="236" spans="1:16" x14ac:dyDescent="0.25">
      <c r="A236" s="26">
        <v>235</v>
      </c>
      <c r="B236" s="27">
        <v>5238</v>
      </c>
      <c r="C236" s="26" t="s">
        <v>387</v>
      </c>
      <c r="D236" s="28">
        <v>4676</v>
      </c>
      <c r="E236" s="26" t="s">
        <v>18</v>
      </c>
      <c r="F236" s="26"/>
      <c r="G236" s="29">
        <v>12.5</v>
      </c>
      <c r="H236" s="26">
        <v>83</v>
      </c>
      <c r="I236" s="26">
        <v>66</v>
      </c>
      <c r="J236" s="26">
        <f t="shared" si="9"/>
        <v>74</v>
      </c>
      <c r="K236" s="26">
        <v>0.5</v>
      </c>
      <c r="L236" s="26"/>
      <c r="M236" s="29">
        <f t="shared" si="10"/>
        <v>12</v>
      </c>
      <c r="N236" s="30">
        <f t="shared" si="11"/>
        <v>5.1610204800000004</v>
      </c>
      <c r="O236" s="26" t="s">
        <v>157</v>
      </c>
      <c r="P236" s="31" t="s">
        <v>30</v>
      </c>
    </row>
    <row r="237" spans="1:16" x14ac:dyDescent="0.25">
      <c r="A237" s="26">
        <v>236</v>
      </c>
      <c r="B237" s="27">
        <v>5239</v>
      </c>
      <c r="C237" s="26" t="s">
        <v>388</v>
      </c>
      <c r="D237" s="28">
        <v>129</v>
      </c>
      <c r="E237" s="26" t="s">
        <v>18</v>
      </c>
      <c r="F237" s="26"/>
      <c r="G237" s="29">
        <v>13</v>
      </c>
      <c r="H237" s="26">
        <v>112</v>
      </c>
      <c r="I237" s="26">
        <v>102</v>
      </c>
      <c r="J237" s="26">
        <f t="shared" si="9"/>
        <v>107</v>
      </c>
      <c r="K237" s="26"/>
      <c r="L237" s="26"/>
      <c r="M237" s="29">
        <f t="shared" si="10"/>
        <v>13</v>
      </c>
      <c r="N237" s="30">
        <f t="shared" si="11"/>
        <v>11.68965798</v>
      </c>
      <c r="O237" s="26"/>
      <c r="P237" s="31" t="s">
        <v>19</v>
      </c>
    </row>
    <row r="238" spans="1:16" x14ac:dyDescent="0.25">
      <c r="A238" s="26">
        <v>237</v>
      </c>
      <c r="B238" s="27">
        <v>5272</v>
      </c>
      <c r="C238" s="26" t="s">
        <v>389</v>
      </c>
      <c r="D238" s="28">
        <v>130</v>
      </c>
      <c r="E238" s="26" t="s">
        <v>18</v>
      </c>
      <c r="F238" s="26"/>
      <c r="G238" s="29">
        <v>9.8000000000000007</v>
      </c>
      <c r="H238" s="26">
        <v>105</v>
      </c>
      <c r="I238" s="26">
        <v>83</v>
      </c>
      <c r="J238" s="26">
        <f t="shared" si="9"/>
        <v>94</v>
      </c>
      <c r="K238" s="26"/>
      <c r="L238" s="26"/>
      <c r="M238" s="29">
        <f t="shared" si="10"/>
        <v>9.8000000000000007</v>
      </c>
      <c r="N238" s="30">
        <f t="shared" si="11"/>
        <v>6.8009985119999996</v>
      </c>
      <c r="O238" s="26"/>
      <c r="P238" s="31" t="s">
        <v>19</v>
      </c>
    </row>
    <row r="239" spans="1:16" x14ac:dyDescent="0.25">
      <c r="A239" s="26">
        <v>238</v>
      </c>
      <c r="B239" s="27">
        <v>5273</v>
      </c>
      <c r="C239" s="26" t="s">
        <v>390</v>
      </c>
      <c r="D239" s="28" t="s">
        <v>391</v>
      </c>
      <c r="E239" s="26" t="s">
        <v>18</v>
      </c>
      <c r="F239" s="26"/>
      <c r="G239" s="29">
        <v>4.2</v>
      </c>
      <c r="H239" s="26">
        <v>83</v>
      </c>
      <c r="I239" s="26">
        <v>75</v>
      </c>
      <c r="J239" s="26">
        <f t="shared" si="9"/>
        <v>79</v>
      </c>
      <c r="K239" s="26"/>
      <c r="L239" s="26"/>
      <c r="M239" s="29">
        <f t="shared" si="10"/>
        <v>4.2</v>
      </c>
      <c r="N239" s="30">
        <f t="shared" si="11"/>
        <v>2.0587061879999999</v>
      </c>
      <c r="O239" s="26"/>
      <c r="P239" s="31" t="s">
        <v>30</v>
      </c>
    </row>
    <row r="240" spans="1:16" x14ac:dyDescent="0.25">
      <c r="A240" s="26">
        <v>239</v>
      </c>
      <c r="B240" s="27">
        <v>5276</v>
      </c>
      <c r="C240" s="26" t="s">
        <v>392</v>
      </c>
      <c r="D240" s="28" t="s">
        <v>393</v>
      </c>
      <c r="E240" s="26" t="s">
        <v>18</v>
      </c>
      <c r="F240" s="26"/>
      <c r="G240" s="29">
        <v>12</v>
      </c>
      <c r="H240" s="26">
        <v>92</v>
      </c>
      <c r="I240" s="26">
        <v>85</v>
      </c>
      <c r="J240" s="26">
        <f t="shared" si="9"/>
        <v>88</v>
      </c>
      <c r="K240" s="26"/>
      <c r="L240" s="26"/>
      <c r="M240" s="29">
        <f t="shared" si="10"/>
        <v>12</v>
      </c>
      <c r="N240" s="30">
        <f t="shared" si="11"/>
        <v>7.2985651199999992</v>
      </c>
      <c r="O240" s="26"/>
      <c r="P240" s="31" t="s">
        <v>19</v>
      </c>
    </row>
    <row r="241" spans="1:16" x14ac:dyDescent="0.25">
      <c r="A241" s="26">
        <v>240</v>
      </c>
      <c r="B241" s="27">
        <v>5277</v>
      </c>
      <c r="C241" s="26" t="s">
        <v>394</v>
      </c>
      <c r="D241" s="28" t="s">
        <v>395</v>
      </c>
      <c r="E241" s="26" t="s">
        <v>18</v>
      </c>
      <c r="F241" s="26"/>
      <c r="G241" s="29">
        <v>5.6</v>
      </c>
      <c r="H241" s="26">
        <v>87</v>
      </c>
      <c r="I241" s="26">
        <v>74</v>
      </c>
      <c r="J241" s="26">
        <f t="shared" si="9"/>
        <v>80</v>
      </c>
      <c r="K241" s="26"/>
      <c r="L241" s="26"/>
      <c r="M241" s="29">
        <f t="shared" si="10"/>
        <v>5.6</v>
      </c>
      <c r="N241" s="30">
        <f t="shared" si="11"/>
        <v>2.8148735999999999</v>
      </c>
      <c r="O241" s="26"/>
      <c r="P241" s="31" t="s">
        <v>19</v>
      </c>
    </row>
    <row r="242" spans="1:16" x14ac:dyDescent="0.25">
      <c r="A242" s="26">
        <v>241</v>
      </c>
      <c r="B242" s="27">
        <v>5248</v>
      </c>
      <c r="C242" s="26" t="s">
        <v>396</v>
      </c>
      <c r="D242" s="28" t="s">
        <v>397</v>
      </c>
      <c r="E242" s="26" t="s">
        <v>18</v>
      </c>
      <c r="F242" s="26"/>
      <c r="G242" s="29">
        <v>5.7</v>
      </c>
      <c r="H242" s="26">
        <v>75</v>
      </c>
      <c r="I242" s="26">
        <v>71</v>
      </c>
      <c r="J242" s="26">
        <f t="shared" si="9"/>
        <v>73</v>
      </c>
      <c r="K242" s="26"/>
      <c r="L242" s="26"/>
      <c r="M242" s="29">
        <f t="shared" si="10"/>
        <v>5.7</v>
      </c>
      <c r="N242" s="30">
        <f t="shared" si="11"/>
        <v>2.3856760619999999</v>
      </c>
      <c r="O242" s="26"/>
      <c r="P242" s="31" t="s">
        <v>19</v>
      </c>
    </row>
    <row r="243" spans="1:16" x14ac:dyDescent="0.25">
      <c r="A243" s="26">
        <v>242</v>
      </c>
      <c r="B243" s="27">
        <v>5249</v>
      </c>
      <c r="C243" s="26" t="s">
        <v>398</v>
      </c>
      <c r="D243" s="28" t="s">
        <v>399</v>
      </c>
      <c r="E243" s="26" t="s">
        <v>18</v>
      </c>
      <c r="F243" s="26"/>
      <c r="G243" s="29">
        <v>5.6</v>
      </c>
      <c r="H243" s="26">
        <v>90</v>
      </c>
      <c r="I243" s="26">
        <v>79</v>
      </c>
      <c r="J243" s="26">
        <f t="shared" si="9"/>
        <v>84</v>
      </c>
      <c r="K243" s="26"/>
      <c r="L243" s="26"/>
      <c r="M243" s="29">
        <f t="shared" si="10"/>
        <v>5.6</v>
      </c>
      <c r="N243" s="30">
        <f t="shared" si="11"/>
        <v>3.1033981439999998</v>
      </c>
      <c r="O243" s="26"/>
      <c r="P243" s="31" t="s">
        <v>19</v>
      </c>
    </row>
    <row r="244" spans="1:16" x14ac:dyDescent="0.25">
      <c r="A244" s="26">
        <v>243</v>
      </c>
      <c r="B244" s="27">
        <v>5250</v>
      </c>
      <c r="C244" s="26" t="s">
        <v>400</v>
      </c>
      <c r="D244" s="28">
        <v>132</v>
      </c>
      <c r="E244" s="26" t="s">
        <v>18</v>
      </c>
      <c r="F244" s="26"/>
      <c r="G244" s="29">
        <v>4.7</v>
      </c>
      <c r="H244" s="26">
        <v>93</v>
      </c>
      <c r="I244" s="26">
        <v>78</v>
      </c>
      <c r="J244" s="26">
        <f t="shared" si="9"/>
        <v>85</v>
      </c>
      <c r="K244" s="26"/>
      <c r="L244" s="26"/>
      <c r="M244" s="29">
        <f t="shared" si="10"/>
        <v>4.7</v>
      </c>
      <c r="N244" s="30">
        <f t="shared" si="11"/>
        <v>2.6670220499999999</v>
      </c>
      <c r="O244" s="26"/>
      <c r="P244" s="31" t="s">
        <v>19</v>
      </c>
    </row>
    <row r="245" spans="1:16" x14ac:dyDescent="0.25">
      <c r="A245" s="26">
        <v>244</v>
      </c>
      <c r="B245" s="27">
        <v>5251</v>
      </c>
      <c r="C245" s="26" t="s">
        <v>401</v>
      </c>
      <c r="D245" s="28" t="s">
        <v>402</v>
      </c>
      <c r="E245" s="26" t="s">
        <v>18</v>
      </c>
      <c r="F245" s="26"/>
      <c r="G245" s="29">
        <v>4.7</v>
      </c>
      <c r="H245" s="26">
        <v>74</v>
      </c>
      <c r="I245" s="26">
        <v>72</v>
      </c>
      <c r="J245" s="26">
        <f t="shared" si="9"/>
        <v>73</v>
      </c>
      <c r="K245" s="26"/>
      <c r="L245" s="26"/>
      <c r="M245" s="29">
        <f t="shared" si="10"/>
        <v>4.7</v>
      </c>
      <c r="N245" s="30">
        <f t="shared" si="11"/>
        <v>1.9671364020000002</v>
      </c>
      <c r="O245" s="26"/>
      <c r="P245" s="31" t="s">
        <v>19</v>
      </c>
    </row>
    <row r="246" spans="1:16" x14ac:dyDescent="0.25">
      <c r="A246" s="26">
        <v>245</v>
      </c>
      <c r="B246" s="27">
        <v>5252</v>
      </c>
      <c r="C246" s="26" t="s">
        <v>403</v>
      </c>
      <c r="D246" s="28" t="s">
        <v>404</v>
      </c>
      <c r="E246" s="26" t="s">
        <v>18</v>
      </c>
      <c r="F246" s="26"/>
      <c r="G246" s="29">
        <v>13</v>
      </c>
      <c r="H246" s="26">
        <v>102</v>
      </c>
      <c r="I246" s="26">
        <v>90</v>
      </c>
      <c r="J246" s="26">
        <f t="shared" si="9"/>
        <v>96</v>
      </c>
      <c r="K246" s="26"/>
      <c r="L246" s="26"/>
      <c r="M246" s="29">
        <f t="shared" si="10"/>
        <v>13</v>
      </c>
      <c r="N246" s="30">
        <f t="shared" si="11"/>
        <v>9.4097203199999999</v>
      </c>
      <c r="O246" s="26"/>
      <c r="P246" s="31" t="s">
        <v>19</v>
      </c>
    </row>
    <row r="247" spans="1:16" x14ac:dyDescent="0.25">
      <c r="A247" s="26">
        <v>246</v>
      </c>
      <c r="B247" s="27">
        <v>5253</v>
      </c>
      <c r="C247" s="26" t="s">
        <v>405</v>
      </c>
      <c r="D247" s="28" t="s">
        <v>406</v>
      </c>
      <c r="E247" s="26" t="s">
        <v>18</v>
      </c>
      <c r="F247" s="26"/>
      <c r="G247" s="29">
        <v>11</v>
      </c>
      <c r="H247" s="26">
        <v>82</v>
      </c>
      <c r="I247" s="26">
        <v>72</v>
      </c>
      <c r="J247" s="26">
        <f t="shared" si="9"/>
        <v>77</v>
      </c>
      <c r="K247" s="26"/>
      <c r="L247" s="26"/>
      <c r="M247" s="29">
        <f t="shared" si="10"/>
        <v>11</v>
      </c>
      <c r="N247" s="30">
        <f t="shared" si="11"/>
        <v>5.1223002600000003</v>
      </c>
      <c r="O247" s="26"/>
      <c r="P247" s="31" t="s">
        <v>19</v>
      </c>
    </row>
    <row r="248" spans="1:16" x14ac:dyDescent="0.25">
      <c r="A248" s="26">
        <v>247</v>
      </c>
      <c r="B248" s="27">
        <v>5254</v>
      </c>
      <c r="C248" s="26" t="s">
        <v>407</v>
      </c>
      <c r="D248" s="28" t="s">
        <v>408</v>
      </c>
      <c r="E248" s="26" t="s">
        <v>18</v>
      </c>
      <c r="F248" s="26"/>
      <c r="G248" s="29">
        <v>11</v>
      </c>
      <c r="H248" s="26">
        <v>79</v>
      </c>
      <c r="I248" s="26">
        <v>73</v>
      </c>
      <c r="J248" s="26">
        <f t="shared" si="9"/>
        <v>76</v>
      </c>
      <c r="K248" s="26"/>
      <c r="L248" s="26"/>
      <c r="M248" s="29">
        <f t="shared" si="10"/>
        <v>11</v>
      </c>
      <c r="N248" s="30">
        <f t="shared" si="11"/>
        <v>4.9901174399999997</v>
      </c>
      <c r="O248" s="26"/>
      <c r="P248" s="31" t="s">
        <v>30</v>
      </c>
    </row>
    <row r="249" spans="1:16" x14ac:dyDescent="0.25">
      <c r="A249" s="26">
        <v>248</v>
      </c>
      <c r="B249" s="27">
        <v>5244</v>
      </c>
      <c r="C249" s="26" t="s">
        <v>409</v>
      </c>
      <c r="D249" s="28" t="s">
        <v>410</v>
      </c>
      <c r="E249" s="26" t="s">
        <v>18</v>
      </c>
      <c r="F249" s="26"/>
      <c r="G249" s="29">
        <v>13</v>
      </c>
      <c r="H249" s="26">
        <v>93</v>
      </c>
      <c r="I249" s="26">
        <v>71</v>
      </c>
      <c r="J249" s="26">
        <f t="shared" si="9"/>
        <v>82</v>
      </c>
      <c r="K249" s="26"/>
      <c r="L249" s="26"/>
      <c r="M249" s="29">
        <f t="shared" si="10"/>
        <v>13</v>
      </c>
      <c r="N249" s="30">
        <f t="shared" si="11"/>
        <v>6.8653384800000001</v>
      </c>
      <c r="O249" s="26"/>
      <c r="P249" s="31" t="s">
        <v>19</v>
      </c>
    </row>
    <row r="250" spans="1:16" x14ac:dyDescent="0.25">
      <c r="A250" s="26">
        <v>249</v>
      </c>
      <c r="B250" s="27">
        <v>5245</v>
      </c>
      <c r="C250" s="26" t="s">
        <v>411</v>
      </c>
      <c r="D250" s="28" t="s">
        <v>412</v>
      </c>
      <c r="E250" s="26" t="s">
        <v>18</v>
      </c>
      <c r="F250" s="26"/>
      <c r="G250" s="29">
        <v>13</v>
      </c>
      <c r="H250" s="26">
        <v>85</v>
      </c>
      <c r="I250" s="26">
        <v>63</v>
      </c>
      <c r="J250" s="26">
        <f t="shared" si="9"/>
        <v>74</v>
      </c>
      <c r="K250" s="26"/>
      <c r="L250" s="26"/>
      <c r="M250" s="29">
        <f t="shared" si="10"/>
        <v>13</v>
      </c>
      <c r="N250" s="30">
        <f t="shared" si="11"/>
        <v>5.5911055200000002</v>
      </c>
      <c r="O250" s="26"/>
      <c r="P250" s="31" t="s">
        <v>19</v>
      </c>
    </row>
    <row r="251" spans="1:16" x14ac:dyDescent="0.25">
      <c r="A251" s="26">
        <v>250</v>
      </c>
      <c r="B251" s="27">
        <v>5246</v>
      </c>
      <c r="C251" s="26" t="s">
        <v>413</v>
      </c>
      <c r="D251" s="28" t="s">
        <v>414</v>
      </c>
      <c r="E251" s="26" t="s">
        <v>18</v>
      </c>
      <c r="F251" s="26"/>
      <c r="G251" s="29">
        <v>13</v>
      </c>
      <c r="H251" s="26">
        <v>99</v>
      </c>
      <c r="I251" s="26">
        <v>72</v>
      </c>
      <c r="J251" s="26">
        <f t="shared" si="9"/>
        <v>85</v>
      </c>
      <c r="K251" s="26">
        <v>0.5</v>
      </c>
      <c r="L251" s="26"/>
      <c r="M251" s="29">
        <f t="shared" si="10"/>
        <v>12.5</v>
      </c>
      <c r="N251" s="30">
        <f t="shared" si="11"/>
        <v>7.0931437500000003</v>
      </c>
      <c r="O251" s="26" t="s">
        <v>53</v>
      </c>
      <c r="P251" s="31" t="s">
        <v>30</v>
      </c>
    </row>
    <row r="252" spans="1:16" x14ac:dyDescent="0.25">
      <c r="A252" s="26">
        <v>251</v>
      </c>
      <c r="B252" s="27">
        <v>5247</v>
      </c>
      <c r="C252" s="26" t="s">
        <v>415</v>
      </c>
      <c r="D252" s="28">
        <v>4658</v>
      </c>
      <c r="E252" s="26" t="s">
        <v>18</v>
      </c>
      <c r="F252" s="26"/>
      <c r="G252" s="29">
        <v>13</v>
      </c>
      <c r="H252" s="26">
        <v>88</v>
      </c>
      <c r="I252" s="26">
        <v>70</v>
      </c>
      <c r="J252" s="26">
        <f t="shared" si="9"/>
        <v>79</v>
      </c>
      <c r="K252" s="26"/>
      <c r="L252" s="26"/>
      <c r="M252" s="29">
        <f t="shared" si="10"/>
        <v>13</v>
      </c>
      <c r="N252" s="30">
        <f t="shared" si="11"/>
        <v>6.3721858200000003</v>
      </c>
      <c r="O252" s="26"/>
      <c r="P252" s="31" t="s">
        <v>19</v>
      </c>
    </row>
    <row r="253" spans="1:16" x14ac:dyDescent="0.25">
      <c r="A253" s="26">
        <v>252</v>
      </c>
      <c r="B253" s="27">
        <v>5240</v>
      </c>
      <c r="C253" s="26" t="s">
        <v>416</v>
      </c>
      <c r="D253" s="28" t="s">
        <v>417</v>
      </c>
      <c r="E253" s="26" t="s">
        <v>18</v>
      </c>
      <c r="F253" s="26"/>
      <c r="G253" s="29">
        <v>12</v>
      </c>
      <c r="H253" s="26">
        <v>86</v>
      </c>
      <c r="I253" s="26">
        <v>78</v>
      </c>
      <c r="J253" s="26">
        <f t="shared" si="9"/>
        <v>82</v>
      </c>
      <c r="K253" s="26"/>
      <c r="L253" s="26"/>
      <c r="M253" s="29">
        <f t="shared" si="10"/>
        <v>12</v>
      </c>
      <c r="N253" s="30">
        <f t="shared" si="11"/>
        <v>6.3372355200000001</v>
      </c>
      <c r="O253" s="26"/>
      <c r="P253" s="31" t="s">
        <v>19</v>
      </c>
    </row>
    <row r="254" spans="1:16" x14ac:dyDescent="0.25">
      <c r="A254" s="26">
        <v>253</v>
      </c>
      <c r="B254" s="27">
        <v>5241</v>
      </c>
      <c r="C254" s="26" t="s">
        <v>418</v>
      </c>
      <c r="D254" s="28" t="s">
        <v>419</v>
      </c>
      <c r="E254" s="26" t="s">
        <v>18</v>
      </c>
      <c r="F254" s="26"/>
      <c r="G254" s="29">
        <v>13.5</v>
      </c>
      <c r="H254" s="26">
        <v>88</v>
      </c>
      <c r="I254" s="26">
        <v>75</v>
      </c>
      <c r="J254" s="26">
        <f t="shared" si="9"/>
        <v>81</v>
      </c>
      <c r="K254" s="26"/>
      <c r="L254" s="26"/>
      <c r="M254" s="29">
        <f t="shared" si="10"/>
        <v>13.5</v>
      </c>
      <c r="N254" s="30">
        <f t="shared" si="11"/>
        <v>6.9565626900000002</v>
      </c>
      <c r="O254" s="26"/>
      <c r="P254" s="31" t="s">
        <v>30</v>
      </c>
    </row>
    <row r="255" spans="1:16" x14ac:dyDescent="0.25">
      <c r="A255" s="26">
        <v>254</v>
      </c>
      <c r="B255" s="27">
        <v>5242</v>
      </c>
      <c r="C255" s="26" t="s">
        <v>420</v>
      </c>
      <c r="D255" s="28">
        <v>135</v>
      </c>
      <c r="E255" s="26" t="s">
        <v>18</v>
      </c>
      <c r="F255" s="26"/>
      <c r="G255" s="29">
        <v>13.5</v>
      </c>
      <c r="H255" s="26">
        <v>95</v>
      </c>
      <c r="I255" s="26">
        <v>72</v>
      </c>
      <c r="J255" s="26">
        <f t="shared" si="9"/>
        <v>83</v>
      </c>
      <c r="K255" s="26"/>
      <c r="L255" s="26"/>
      <c r="M255" s="29">
        <f t="shared" si="10"/>
        <v>13.5</v>
      </c>
      <c r="N255" s="30">
        <f t="shared" si="11"/>
        <v>7.3043378099999998</v>
      </c>
      <c r="O255" s="26"/>
      <c r="P255" s="31" t="s">
        <v>19</v>
      </c>
    </row>
    <row r="256" spans="1:16" x14ac:dyDescent="0.25">
      <c r="A256" s="26">
        <v>255</v>
      </c>
      <c r="B256" s="27">
        <v>5243</v>
      </c>
      <c r="C256" s="26" t="s">
        <v>421</v>
      </c>
      <c r="D256" s="28" t="s">
        <v>374</v>
      </c>
      <c r="E256" s="26" t="s">
        <v>18</v>
      </c>
      <c r="F256" s="26"/>
      <c r="G256" s="29">
        <v>5.3</v>
      </c>
      <c r="H256" s="26">
        <v>82</v>
      </c>
      <c r="I256" s="26">
        <v>78</v>
      </c>
      <c r="J256" s="26">
        <f t="shared" si="9"/>
        <v>80</v>
      </c>
      <c r="K256" s="26"/>
      <c r="L256" s="26"/>
      <c r="M256" s="29">
        <f t="shared" si="10"/>
        <v>5.3</v>
      </c>
      <c r="N256" s="30">
        <f t="shared" si="11"/>
        <v>2.6640768000000001</v>
      </c>
      <c r="O256" s="26"/>
      <c r="P256" s="31" t="s">
        <v>19</v>
      </c>
    </row>
    <row r="257" spans="1:16" x14ac:dyDescent="0.25">
      <c r="A257" s="26">
        <v>256</v>
      </c>
      <c r="B257" s="27">
        <v>5263</v>
      </c>
      <c r="C257" s="26" t="s">
        <v>422</v>
      </c>
      <c r="D257" s="28" t="s">
        <v>423</v>
      </c>
      <c r="E257" s="26" t="s">
        <v>18</v>
      </c>
      <c r="F257" s="26"/>
      <c r="G257" s="29">
        <v>8.8000000000000007</v>
      </c>
      <c r="H257" s="26">
        <v>107</v>
      </c>
      <c r="I257" s="26">
        <v>74</v>
      </c>
      <c r="J257" s="26">
        <f t="shared" si="9"/>
        <v>90</v>
      </c>
      <c r="K257" s="26"/>
      <c r="L257" s="26"/>
      <c r="M257" s="29">
        <f t="shared" si="10"/>
        <v>8.8000000000000007</v>
      </c>
      <c r="N257" s="30">
        <f t="shared" si="11"/>
        <v>5.5983311999999996</v>
      </c>
      <c r="O257" s="26"/>
      <c r="P257" s="31" t="s">
        <v>19</v>
      </c>
    </row>
    <row r="258" spans="1:16" x14ac:dyDescent="0.25">
      <c r="A258" s="26">
        <v>257</v>
      </c>
      <c r="B258" s="27">
        <v>5264</v>
      </c>
      <c r="C258" s="26" t="s">
        <v>424</v>
      </c>
      <c r="D258" s="28" t="s">
        <v>425</v>
      </c>
      <c r="E258" s="26" t="s">
        <v>18</v>
      </c>
      <c r="F258" s="26"/>
      <c r="G258" s="29">
        <v>13</v>
      </c>
      <c r="H258" s="26">
        <v>80</v>
      </c>
      <c r="I258" s="26">
        <v>70</v>
      </c>
      <c r="J258" s="26">
        <f t="shared" ref="J258:J321" si="12">ROUNDDOWN((H258+I258)/2,0)</f>
        <v>75</v>
      </c>
      <c r="K258" s="26"/>
      <c r="L258" s="26"/>
      <c r="M258" s="29">
        <f t="shared" ref="M258:M321" si="13">G258-K258</f>
        <v>13</v>
      </c>
      <c r="N258" s="30">
        <f t="shared" ref="N258:N321" si="14">J258*J258*M258*0.7854/10000</f>
        <v>5.7432375000000002</v>
      </c>
      <c r="O258" s="26"/>
      <c r="P258" s="31" t="s">
        <v>19</v>
      </c>
    </row>
    <row r="259" spans="1:16" x14ac:dyDescent="0.25">
      <c r="A259" s="26">
        <v>258</v>
      </c>
      <c r="B259" s="27">
        <v>5265</v>
      </c>
      <c r="C259" s="26" t="s">
        <v>426</v>
      </c>
      <c r="D259" s="28" t="s">
        <v>427</v>
      </c>
      <c r="E259" s="26" t="s">
        <v>18</v>
      </c>
      <c r="F259" s="26"/>
      <c r="G259" s="29">
        <v>13</v>
      </c>
      <c r="H259" s="26">
        <v>83</v>
      </c>
      <c r="I259" s="26">
        <v>73</v>
      </c>
      <c r="J259" s="26">
        <f t="shared" si="12"/>
        <v>78</v>
      </c>
      <c r="K259" s="26"/>
      <c r="L259" s="26"/>
      <c r="M259" s="29">
        <f t="shared" si="13"/>
        <v>13</v>
      </c>
      <c r="N259" s="30">
        <f t="shared" si="14"/>
        <v>6.21188568</v>
      </c>
      <c r="O259" s="26"/>
      <c r="P259" s="31" t="s">
        <v>19</v>
      </c>
    </row>
    <row r="260" spans="1:16" x14ac:dyDescent="0.25">
      <c r="A260" s="26">
        <v>259</v>
      </c>
      <c r="B260" s="27">
        <v>5266</v>
      </c>
      <c r="C260" s="26" t="s">
        <v>428</v>
      </c>
      <c r="D260" s="28">
        <v>1232</v>
      </c>
      <c r="E260" s="26" t="s">
        <v>18</v>
      </c>
      <c r="F260" s="26"/>
      <c r="G260" s="29">
        <v>13</v>
      </c>
      <c r="H260" s="26">
        <v>79</v>
      </c>
      <c r="I260" s="26">
        <v>69</v>
      </c>
      <c r="J260" s="26">
        <f t="shared" si="12"/>
        <v>74</v>
      </c>
      <c r="K260" s="26"/>
      <c r="L260" s="26"/>
      <c r="M260" s="29">
        <f t="shared" si="13"/>
        <v>13</v>
      </c>
      <c r="N260" s="30">
        <f t="shared" si="14"/>
        <v>5.5911055200000002</v>
      </c>
      <c r="O260" s="26"/>
      <c r="P260" s="31" t="s">
        <v>19</v>
      </c>
    </row>
    <row r="261" spans="1:16" x14ac:dyDescent="0.25">
      <c r="A261" s="26">
        <v>260</v>
      </c>
      <c r="B261" s="27">
        <v>5267</v>
      </c>
      <c r="C261" s="26" t="s">
        <v>429</v>
      </c>
      <c r="D261" s="28">
        <v>137</v>
      </c>
      <c r="E261" s="26" t="s">
        <v>18</v>
      </c>
      <c r="F261" s="26"/>
      <c r="G261" s="29">
        <v>13</v>
      </c>
      <c r="H261" s="26">
        <v>85</v>
      </c>
      <c r="I261" s="26">
        <v>72</v>
      </c>
      <c r="J261" s="26">
        <f t="shared" si="12"/>
        <v>78</v>
      </c>
      <c r="K261" s="26"/>
      <c r="L261" s="26"/>
      <c r="M261" s="29">
        <f t="shared" si="13"/>
        <v>13</v>
      </c>
      <c r="N261" s="30">
        <f t="shared" si="14"/>
        <v>6.21188568</v>
      </c>
      <c r="O261" s="26"/>
      <c r="P261" s="31" t="s">
        <v>19</v>
      </c>
    </row>
    <row r="262" spans="1:16" x14ac:dyDescent="0.25">
      <c r="A262" s="26">
        <v>261</v>
      </c>
      <c r="B262" s="27">
        <v>5259</v>
      </c>
      <c r="C262" s="26" t="s">
        <v>430</v>
      </c>
      <c r="D262" s="28">
        <v>1233</v>
      </c>
      <c r="E262" s="26" t="s">
        <v>18</v>
      </c>
      <c r="F262" s="26"/>
      <c r="G262" s="29">
        <v>11</v>
      </c>
      <c r="H262" s="26">
        <v>129</v>
      </c>
      <c r="I262" s="26">
        <v>120</v>
      </c>
      <c r="J262" s="26">
        <f t="shared" si="12"/>
        <v>124</v>
      </c>
      <c r="K262" s="26">
        <v>1</v>
      </c>
      <c r="L262" s="26"/>
      <c r="M262" s="29">
        <f t="shared" si="13"/>
        <v>10</v>
      </c>
      <c r="N262" s="30">
        <f t="shared" si="14"/>
        <v>12.076310399999999</v>
      </c>
      <c r="O262" s="26" t="s">
        <v>157</v>
      </c>
      <c r="P262" s="31" t="s">
        <v>19</v>
      </c>
    </row>
    <row r="263" spans="1:16" x14ac:dyDescent="0.25">
      <c r="A263" s="26">
        <v>262</v>
      </c>
      <c r="B263" s="27">
        <v>5260</v>
      </c>
      <c r="C263" s="26" t="s">
        <v>431</v>
      </c>
      <c r="D263" s="28">
        <v>4721</v>
      </c>
      <c r="E263" s="26" t="s">
        <v>18</v>
      </c>
      <c r="F263" s="26"/>
      <c r="G263" s="29">
        <v>13</v>
      </c>
      <c r="H263" s="26">
        <v>93</v>
      </c>
      <c r="I263" s="26">
        <v>73</v>
      </c>
      <c r="J263" s="26">
        <f t="shared" si="12"/>
        <v>83</v>
      </c>
      <c r="K263" s="26"/>
      <c r="L263" s="26"/>
      <c r="M263" s="29">
        <f t="shared" si="13"/>
        <v>13</v>
      </c>
      <c r="N263" s="30">
        <f t="shared" si="14"/>
        <v>7.0338067800000008</v>
      </c>
      <c r="O263" s="26"/>
      <c r="P263" s="31" t="s">
        <v>30</v>
      </c>
    </row>
    <row r="264" spans="1:16" x14ac:dyDescent="0.25">
      <c r="A264" s="26">
        <v>263</v>
      </c>
      <c r="B264" s="27">
        <v>5261</v>
      </c>
      <c r="C264" s="26" t="s">
        <v>432</v>
      </c>
      <c r="D264" s="28">
        <v>1234</v>
      </c>
      <c r="E264" s="26" t="s">
        <v>18</v>
      </c>
      <c r="F264" s="26"/>
      <c r="G264" s="29">
        <v>6.2</v>
      </c>
      <c r="H264" s="26">
        <v>75</v>
      </c>
      <c r="I264" s="26">
        <v>75</v>
      </c>
      <c r="J264" s="26">
        <f t="shared" si="12"/>
        <v>75</v>
      </c>
      <c r="K264" s="26"/>
      <c r="L264" s="26"/>
      <c r="M264" s="29">
        <f t="shared" si="13"/>
        <v>6.2</v>
      </c>
      <c r="N264" s="30">
        <f t="shared" si="14"/>
        <v>2.7390824999999999</v>
      </c>
      <c r="O264" s="26"/>
      <c r="P264" s="31" t="s">
        <v>19</v>
      </c>
    </row>
    <row r="265" spans="1:16" x14ac:dyDescent="0.25">
      <c r="A265" s="26">
        <v>264</v>
      </c>
      <c r="B265" s="27">
        <v>5262</v>
      </c>
      <c r="C265" s="26" t="s">
        <v>433</v>
      </c>
      <c r="D265" s="28" t="s">
        <v>434</v>
      </c>
      <c r="E265" s="26" t="s">
        <v>18</v>
      </c>
      <c r="F265" s="26"/>
      <c r="G265" s="29">
        <v>5</v>
      </c>
      <c r="H265" s="26">
        <v>75</v>
      </c>
      <c r="I265" s="26">
        <v>75</v>
      </c>
      <c r="J265" s="26">
        <f t="shared" si="12"/>
        <v>75</v>
      </c>
      <c r="K265" s="26"/>
      <c r="L265" s="26"/>
      <c r="M265" s="29">
        <f t="shared" si="13"/>
        <v>5</v>
      </c>
      <c r="N265" s="30">
        <f t="shared" si="14"/>
        <v>2.2089375000000002</v>
      </c>
      <c r="O265" s="26"/>
      <c r="P265" s="31" t="s">
        <v>19</v>
      </c>
    </row>
    <row r="266" spans="1:16" x14ac:dyDescent="0.25">
      <c r="A266" s="26">
        <v>265</v>
      </c>
      <c r="B266" s="27">
        <v>5255</v>
      </c>
      <c r="C266" s="26" t="s">
        <v>435</v>
      </c>
      <c r="D266" s="28">
        <v>1236</v>
      </c>
      <c r="E266" s="26" t="s">
        <v>18</v>
      </c>
      <c r="F266" s="26"/>
      <c r="G266" s="29">
        <v>12</v>
      </c>
      <c r="H266" s="26">
        <v>100</v>
      </c>
      <c r="I266" s="26">
        <v>89</v>
      </c>
      <c r="J266" s="26">
        <f t="shared" si="12"/>
        <v>94</v>
      </c>
      <c r="K266" s="26"/>
      <c r="L266" s="26"/>
      <c r="M266" s="29">
        <f t="shared" si="13"/>
        <v>12</v>
      </c>
      <c r="N266" s="30">
        <f t="shared" si="14"/>
        <v>8.3277532799999996</v>
      </c>
      <c r="O266" s="26"/>
      <c r="P266" s="31" t="s">
        <v>30</v>
      </c>
    </row>
    <row r="267" spans="1:16" x14ac:dyDescent="0.25">
      <c r="A267" s="26">
        <v>266</v>
      </c>
      <c r="B267" s="27">
        <v>5256</v>
      </c>
      <c r="C267" s="26" t="s">
        <v>436</v>
      </c>
      <c r="D267" s="28">
        <v>4663</v>
      </c>
      <c r="E267" s="26" t="s">
        <v>18</v>
      </c>
      <c r="F267" s="26"/>
      <c r="G267" s="29">
        <v>6</v>
      </c>
      <c r="H267" s="26">
        <v>89</v>
      </c>
      <c r="I267" s="26">
        <v>85</v>
      </c>
      <c r="J267" s="26">
        <f t="shared" si="12"/>
        <v>87</v>
      </c>
      <c r="K267" s="26"/>
      <c r="L267" s="26"/>
      <c r="M267" s="29">
        <f t="shared" si="13"/>
        <v>6</v>
      </c>
      <c r="N267" s="30">
        <f t="shared" si="14"/>
        <v>3.5668155599999998</v>
      </c>
      <c r="O267" s="26"/>
      <c r="P267" s="31" t="s">
        <v>19</v>
      </c>
    </row>
    <row r="268" spans="1:16" x14ac:dyDescent="0.25">
      <c r="A268" s="26">
        <v>267</v>
      </c>
      <c r="B268" s="27">
        <v>5257</v>
      </c>
      <c r="C268" s="26" t="s">
        <v>437</v>
      </c>
      <c r="D268" s="28">
        <v>140</v>
      </c>
      <c r="E268" s="26" t="s">
        <v>18</v>
      </c>
      <c r="F268" s="26"/>
      <c r="G268" s="29">
        <v>12</v>
      </c>
      <c r="H268" s="26">
        <v>100</v>
      </c>
      <c r="I268" s="26">
        <v>82</v>
      </c>
      <c r="J268" s="26">
        <f t="shared" si="12"/>
        <v>91</v>
      </c>
      <c r="K268" s="26"/>
      <c r="L268" s="26"/>
      <c r="M268" s="29">
        <f t="shared" si="13"/>
        <v>12</v>
      </c>
      <c r="N268" s="30">
        <f t="shared" si="14"/>
        <v>7.8046768800000006</v>
      </c>
      <c r="O268" s="26"/>
      <c r="P268" s="31" t="s">
        <v>19</v>
      </c>
    </row>
    <row r="269" spans="1:16" x14ac:dyDescent="0.25">
      <c r="A269" s="26">
        <v>268</v>
      </c>
      <c r="B269" s="27">
        <v>5258</v>
      </c>
      <c r="C269" s="26" t="s">
        <v>438</v>
      </c>
      <c r="D269" s="28">
        <v>1238</v>
      </c>
      <c r="E269" s="26" t="s">
        <v>18</v>
      </c>
      <c r="F269" s="26"/>
      <c r="G269" s="29">
        <v>5</v>
      </c>
      <c r="H269" s="26">
        <v>141</v>
      </c>
      <c r="I269" s="26">
        <v>132</v>
      </c>
      <c r="J269" s="26">
        <f t="shared" si="12"/>
        <v>136</v>
      </c>
      <c r="K269" s="26">
        <v>0.5</v>
      </c>
      <c r="L269" s="26"/>
      <c r="M269" s="29">
        <f t="shared" si="13"/>
        <v>4.5</v>
      </c>
      <c r="N269" s="30">
        <f t="shared" si="14"/>
        <v>6.5370412799999995</v>
      </c>
      <c r="O269" s="26"/>
      <c r="P269" s="31" t="s">
        <v>30</v>
      </c>
    </row>
    <row r="270" spans="1:16" x14ac:dyDescent="0.25">
      <c r="A270" s="26">
        <v>269</v>
      </c>
      <c r="B270" s="27">
        <v>5268</v>
      </c>
      <c r="C270" s="26" t="s">
        <v>439</v>
      </c>
      <c r="D270" s="28">
        <v>1239</v>
      </c>
      <c r="E270" s="26" t="s">
        <v>18</v>
      </c>
      <c r="F270" s="26"/>
      <c r="G270" s="29">
        <v>11</v>
      </c>
      <c r="H270" s="26">
        <v>94</v>
      </c>
      <c r="I270" s="26">
        <v>83</v>
      </c>
      <c r="J270" s="26">
        <f t="shared" si="12"/>
        <v>88</v>
      </c>
      <c r="K270" s="26"/>
      <c r="L270" s="26"/>
      <c r="M270" s="29">
        <f t="shared" si="13"/>
        <v>11</v>
      </c>
      <c r="N270" s="30">
        <f t="shared" si="14"/>
        <v>6.6903513600000002</v>
      </c>
      <c r="O270" s="26"/>
      <c r="P270" s="31" t="s">
        <v>19</v>
      </c>
    </row>
    <row r="271" spans="1:16" x14ac:dyDescent="0.25">
      <c r="A271" s="26">
        <v>270</v>
      </c>
      <c r="B271" s="27">
        <v>5269</v>
      </c>
      <c r="C271" s="26" t="s">
        <v>440</v>
      </c>
      <c r="D271" s="28" t="s">
        <v>441</v>
      </c>
      <c r="E271" s="26" t="s">
        <v>18</v>
      </c>
      <c r="F271" s="26"/>
      <c r="G271" s="29">
        <v>12</v>
      </c>
      <c r="H271" s="26">
        <v>91</v>
      </c>
      <c r="I271" s="26">
        <v>72</v>
      </c>
      <c r="J271" s="26">
        <f t="shared" si="12"/>
        <v>81</v>
      </c>
      <c r="K271" s="26"/>
      <c r="L271" s="26"/>
      <c r="M271" s="29">
        <f t="shared" si="13"/>
        <v>12</v>
      </c>
      <c r="N271" s="30">
        <f t="shared" si="14"/>
        <v>6.18361128</v>
      </c>
      <c r="O271" s="26"/>
      <c r="P271" s="31" t="s">
        <v>19</v>
      </c>
    </row>
    <row r="272" spans="1:16" x14ac:dyDescent="0.25">
      <c r="A272" s="26">
        <v>271</v>
      </c>
      <c r="B272" s="27">
        <v>5270</v>
      </c>
      <c r="C272" s="26" t="s">
        <v>442</v>
      </c>
      <c r="D272" s="28">
        <v>4667</v>
      </c>
      <c r="E272" s="26" t="s">
        <v>18</v>
      </c>
      <c r="F272" s="26"/>
      <c r="G272" s="29">
        <v>12</v>
      </c>
      <c r="H272" s="26">
        <v>91</v>
      </c>
      <c r="I272" s="26">
        <v>69</v>
      </c>
      <c r="J272" s="26">
        <f t="shared" si="12"/>
        <v>80</v>
      </c>
      <c r="K272" s="26"/>
      <c r="L272" s="26"/>
      <c r="M272" s="29">
        <f t="shared" si="13"/>
        <v>12</v>
      </c>
      <c r="N272" s="30">
        <f t="shared" si="14"/>
        <v>6.0318719999999999</v>
      </c>
      <c r="O272" s="26"/>
      <c r="P272" s="31" t="s">
        <v>19</v>
      </c>
    </row>
    <row r="273" spans="1:16" x14ac:dyDescent="0.25">
      <c r="A273" s="26">
        <v>272</v>
      </c>
      <c r="B273" s="27">
        <v>5271</v>
      </c>
      <c r="C273" s="26" t="s">
        <v>443</v>
      </c>
      <c r="D273" s="28">
        <v>4668</v>
      </c>
      <c r="E273" s="26" t="s">
        <v>18</v>
      </c>
      <c r="F273" s="26"/>
      <c r="G273" s="29">
        <v>12</v>
      </c>
      <c r="H273" s="26">
        <v>84</v>
      </c>
      <c r="I273" s="26">
        <v>72</v>
      </c>
      <c r="J273" s="26">
        <f t="shared" si="12"/>
        <v>78</v>
      </c>
      <c r="K273" s="26"/>
      <c r="L273" s="26"/>
      <c r="M273" s="29">
        <f t="shared" si="13"/>
        <v>12</v>
      </c>
      <c r="N273" s="30">
        <f t="shared" si="14"/>
        <v>5.7340483200000003</v>
      </c>
      <c r="O273" s="26"/>
      <c r="P273" s="31" t="s">
        <v>19</v>
      </c>
    </row>
    <row r="274" spans="1:16" x14ac:dyDescent="0.25">
      <c r="A274" s="26">
        <v>273</v>
      </c>
      <c r="B274" s="27">
        <v>5282</v>
      </c>
      <c r="C274" s="26" t="s">
        <v>444</v>
      </c>
      <c r="D274" s="28" t="s">
        <v>445</v>
      </c>
      <c r="E274" s="26" t="s">
        <v>18</v>
      </c>
      <c r="F274" s="26"/>
      <c r="G274" s="29">
        <v>11</v>
      </c>
      <c r="H274" s="26">
        <v>86</v>
      </c>
      <c r="I274" s="26">
        <v>74</v>
      </c>
      <c r="J274" s="26">
        <f t="shared" si="12"/>
        <v>80</v>
      </c>
      <c r="K274" s="26"/>
      <c r="L274" s="26"/>
      <c r="M274" s="29">
        <f t="shared" si="13"/>
        <v>11</v>
      </c>
      <c r="N274" s="30">
        <f t="shared" si="14"/>
        <v>5.5292159999999999</v>
      </c>
      <c r="O274" s="26"/>
      <c r="P274" s="31" t="s">
        <v>19</v>
      </c>
    </row>
    <row r="275" spans="1:16" x14ac:dyDescent="0.25">
      <c r="A275" s="26">
        <v>274</v>
      </c>
      <c r="B275" s="27">
        <v>5283</v>
      </c>
      <c r="C275" s="26" t="s">
        <v>446</v>
      </c>
      <c r="D275" s="28" t="s">
        <v>445</v>
      </c>
      <c r="E275" s="26" t="s">
        <v>18</v>
      </c>
      <c r="F275" s="26"/>
      <c r="G275" s="29">
        <v>10</v>
      </c>
      <c r="H275" s="26">
        <v>87</v>
      </c>
      <c r="I275" s="26">
        <v>87</v>
      </c>
      <c r="J275" s="26">
        <f t="shared" si="12"/>
        <v>87</v>
      </c>
      <c r="K275" s="26"/>
      <c r="L275" s="26"/>
      <c r="M275" s="29">
        <f t="shared" si="13"/>
        <v>10</v>
      </c>
      <c r="N275" s="30">
        <f t="shared" si="14"/>
        <v>5.9446925999999998</v>
      </c>
      <c r="O275" s="26"/>
      <c r="P275" s="31" t="s">
        <v>19</v>
      </c>
    </row>
    <row r="276" spans="1:16" x14ac:dyDescent="0.25">
      <c r="A276" s="26">
        <v>275</v>
      </c>
      <c r="B276" s="27">
        <v>5284</v>
      </c>
      <c r="C276" s="26" t="s">
        <v>447</v>
      </c>
      <c r="D276" s="28" t="s">
        <v>448</v>
      </c>
      <c r="E276" s="26" t="s">
        <v>18</v>
      </c>
      <c r="F276" s="26"/>
      <c r="G276" s="29">
        <v>11</v>
      </c>
      <c r="H276" s="26">
        <v>97</v>
      </c>
      <c r="I276" s="26">
        <v>74</v>
      </c>
      <c r="J276" s="26">
        <f t="shared" si="12"/>
        <v>85</v>
      </c>
      <c r="K276" s="26"/>
      <c r="L276" s="26"/>
      <c r="M276" s="29">
        <f t="shared" si="13"/>
        <v>11</v>
      </c>
      <c r="N276" s="30">
        <f t="shared" si="14"/>
        <v>6.2419665000000002</v>
      </c>
      <c r="O276" s="26"/>
      <c r="P276" s="31" t="s">
        <v>19</v>
      </c>
    </row>
    <row r="277" spans="1:16" x14ac:dyDescent="0.25">
      <c r="A277" s="26">
        <v>276</v>
      </c>
      <c r="B277" s="27">
        <v>5285</v>
      </c>
      <c r="C277" s="26" t="s">
        <v>449</v>
      </c>
      <c r="D277" s="28" t="s">
        <v>450</v>
      </c>
      <c r="E277" s="26" t="s">
        <v>18</v>
      </c>
      <c r="F277" s="26"/>
      <c r="G277" s="29">
        <v>9</v>
      </c>
      <c r="H277" s="26">
        <v>89</v>
      </c>
      <c r="I277" s="26">
        <v>78</v>
      </c>
      <c r="J277" s="26">
        <f t="shared" si="12"/>
        <v>83</v>
      </c>
      <c r="K277" s="26"/>
      <c r="L277" s="26"/>
      <c r="M277" s="29">
        <f t="shared" si="13"/>
        <v>9</v>
      </c>
      <c r="N277" s="30">
        <f t="shared" si="14"/>
        <v>4.8695585399999999</v>
      </c>
      <c r="O277" s="26"/>
      <c r="P277" s="31" t="s">
        <v>19</v>
      </c>
    </row>
    <row r="278" spans="1:16" x14ac:dyDescent="0.25">
      <c r="A278" s="26">
        <v>277</v>
      </c>
      <c r="B278" s="27">
        <v>5286</v>
      </c>
      <c r="C278" s="26" t="s">
        <v>451</v>
      </c>
      <c r="D278" s="28">
        <v>4655</v>
      </c>
      <c r="E278" s="26" t="s">
        <v>18</v>
      </c>
      <c r="F278" s="26"/>
      <c r="G278" s="29">
        <v>8.6</v>
      </c>
      <c r="H278" s="26">
        <v>77</v>
      </c>
      <c r="I278" s="26">
        <v>70</v>
      </c>
      <c r="J278" s="26">
        <f t="shared" si="12"/>
        <v>73</v>
      </c>
      <c r="K278" s="26"/>
      <c r="L278" s="26"/>
      <c r="M278" s="29">
        <f t="shared" si="13"/>
        <v>8.6</v>
      </c>
      <c r="N278" s="30">
        <f t="shared" si="14"/>
        <v>3.5994410759999997</v>
      </c>
      <c r="O278" s="26"/>
      <c r="P278" s="31" t="s">
        <v>30</v>
      </c>
    </row>
    <row r="279" spans="1:16" x14ac:dyDescent="0.25">
      <c r="A279" s="26">
        <v>278</v>
      </c>
      <c r="B279" s="27">
        <v>5278</v>
      </c>
      <c r="C279" s="26" t="s">
        <v>452</v>
      </c>
      <c r="D279" s="28" t="s">
        <v>453</v>
      </c>
      <c r="E279" s="26" t="s">
        <v>18</v>
      </c>
      <c r="F279" s="26"/>
      <c r="G279" s="29">
        <v>8.8000000000000007</v>
      </c>
      <c r="H279" s="26">
        <v>102</v>
      </c>
      <c r="I279" s="26">
        <v>100</v>
      </c>
      <c r="J279" s="26">
        <f t="shared" si="12"/>
        <v>101</v>
      </c>
      <c r="K279" s="26">
        <v>1</v>
      </c>
      <c r="L279" s="26"/>
      <c r="M279" s="29">
        <f t="shared" si="13"/>
        <v>7.8000000000000007</v>
      </c>
      <c r="N279" s="30">
        <f t="shared" si="14"/>
        <v>6.2492550119999999</v>
      </c>
      <c r="O279" s="26" t="s">
        <v>21</v>
      </c>
      <c r="P279" s="31" t="s">
        <v>19</v>
      </c>
    </row>
    <row r="280" spans="1:16" x14ac:dyDescent="0.25">
      <c r="A280" s="26">
        <v>279</v>
      </c>
      <c r="B280" s="27">
        <v>5279</v>
      </c>
      <c r="C280" s="26" t="s">
        <v>454</v>
      </c>
      <c r="D280" s="28" t="s">
        <v>455</v>
      </c>
      <c r="E280" s="26" t="s">
        <v>18</v>
      </c>
      <c r="F280" s="26"/>
      <c r="G280" s="29">
        <v>10</v>
      </c>
      <c r="H280" s="26">
        <v>100</v>
      </c>
      <c r="I280" s="26">
        <v>88</v>
      </c>
      <c r="J280" s="26">
        <f t="shared" si="12"/>
        <v>94</v>
      </c>
      <c r="K280" s="26">
        <v>0.5</v>
      </c>
      <c r="L280" s="26"/>
      <c r="M280" s="29">
        <f t="shared" si="13"/>
        <v>9.5</v>
      </c>
      <c r="N280" s="30">
        <f t="shared" si="14"/>
        <v>6.5928046799999995</v>
      </c>
      <c r="O280" s="26" t="s">
        <v>157</v>
      </c>
      <c r="P280" s="31" t="s">
        <v>19</v>
      </c>
    </row>
    <row r="281" spans="1:16" x14ac:dyDescent="0.25">
      <c r="A281" s="26">
        <v>280</v>
      </c>
      <c r="B281" s="27">
        <v>5280</v>
      </c>
      <c r="C281" s="26" t="s">
        <v>456</v>
      </c>
      <c r="D281" s="28" t="s">
        <v>457</v>
      </c>
      <c r="E281" s="26" t="s">
        <v>18</v>
      </c>
      <c r="F281" s="26"/>
      <c r="G281" s="29">
        <v>13</v>
      </c>
      <c r="H281" s="26">
        <v>86</v>
      </c>
      <c r="I281" s="26">
        <v>64</v>
      </c>
      <c r="J281" s="26">
        <f t="shared" si="12"/>
        <v>75</v>
      </c>
      <c r="K281" s="26"/>
      <c r="L281" s="26"/>
      <c r="M281" s="29">
        <f t="shared" si="13"/>
        <v>13</v>
      </c>
      <c r="N281" s="30">
        <f t="shared" si="14"/>
        <v>5.7432375000000002</v>
      </c>
      <c r="O281" s="26"/>
      <c r="P281" s="31" t="s">
        <v>30</v>
      </c>
    </row>
    <row r="282" spans="1:16" x14ac:dyDescent="0.25">
      <c r="A282" s="26">
        <v>281</v>
      </c>
      <c r="B282" s="27">
        <v>5281</v>
      </c>
      <c r="C282" s="26" t="s">
        <v>458</v>
      </c>
      <c r="D282" s="28" t="s">
        <v>459</v>
      </c>
      <c r="E282" s="26" t="s">
        <v>18</v>
      </c>
      <c r="F282" s="26"/>
      <c r="G282" s="29">
        <v>13</v>
      </c>
      <c r="H282" s="26">
        <v>104</v>
      </c>
      <c r="I282" s="26">
        <v>77</v>
      </c>
      <c r="J282" s="26">
        <f t="shared" si="12"/>
        <v>90</v>
      </c>
      <c r="K282" s="26"/>
      <c r="L282" s="26"/>
      <c r="M282" s="29">
        <f t="shared" si="13"/>
        <v>13</v>
      </c>
      <c r="N282" s="30">
        <f t="shared" si="14"/>
        <v>8.2702619999999989</v>
      </c>
      <c r="O282" s="26"/>
      <c r="P282" s="31" t="s">
        <v>19</v>
      </c>
    </row>
    <row r="283" spans="1:16" x14ac:dyDescent="0.25">
      <c r="A283" s="26">
        <v>282</v>
      </c>
      <c r="B283" s="27">
        <v>5297</v>
      </c>
      <c r="C283" s="26" t="s">
        <v>460</v>
      </c>
      <c r="D283" s="28" t="s">
        <v>461</v>
      </c>
      <c r="E283" s="26" t="s">
        <v>18</v>
      </c>
      <c r="F283" s="26"/>
      <c r="G283" s="29">
        <v>12.5</v>
      </c>
      <c r="H283" s="26">
        <v>74</v>
      </c>
      <c r="I283" s="26">
        <v>67</v>
      </c>
      <c r="J283" s="26">
        <f t="shared" si="12"/>
        <v>70</v>
      </c>
      <c r="K283" s="26"/>
      <c r="L283" s="26"/>
      <c r="M283" s="29">
        <f t="shared" si="13"/>
        <v>12.5</v>
      </c>
      <c r="N283" s="30">
        <f t="shared" si="14"/>
        <v>4.810575</v>
      </c>
      <c r="O283" s="26"/>
      <c r="P283" s="31" t="s">
        <v>19</v>
      </c>
    </row>
    <row r="284" spans="1:16" x14ac:dyDescent="0.25">
      <c r="A284" s="26">
        <v>283</v>
      </c>
      <c r="B284" s="27">
        <v>5298</v>
      </c>
      <c r="C284" s="26" t="s">
        <v>462</v>
      </c>
      <c r="D284" s="28" t="s">
        <v>463</v>
      </c>
      <c r="E284" s="26" t="s">
        <v>18</v>
      </c>
      <c r="F284" s="26"/>
      <c r="G284" s="29">
        <v>11</v>
      </c>
      <c r="H284" s="26">
        <v>94</v>
      </c>
      <c r="I284" s="26">
        <v>92</v>
      </c>
      <c r="J284" s="26">
        <f t="shared" si="12"/>
        <v>93</v>
      </c>
      <c r="K284" s="26"/>
      <c r="L284" s="26"/>
      <c r="M284" s="29">
        <f t="shared" si="13"/>
        <v>11</v>
      </c>
      <c r="N284" s="30">
        <f t="shared" si="14"/>
        <v>7.4722170600000002</v>
      </c>
      <c r="O284" s="26"/>
      <c r="P284" s="31" t="s">
        <v>30</v>
      </c>
    </row>
    <row r="285" spans="1:16" x14ac:dyDescent="0.25">
      <c r="A285" s="26">
        <v>284</v>
      </c>
      <c r="B285" s="27">
        <v>5294</v>
      </c>
      <c r="C285" s="26" t="s">
        <v>464</v>
      </c>
      <c r="D285" s="28">
        <v>195</v>
      </c>
      <c r="E285" s="26" t="s">
        <v>18</v>
      </c>
      <c r="F285" s="26"/>
      <c r="G285" s="29">
        <v>12.1</v>
      </c>
      <c r="H285" s="26">
        <v>96</v>
      </c>
      <c r="I285" s="26">
        <v>87</v>
      </c>
      <c r="J285" s="26">
        <f t="shared" si="12"/>
        <v>91</v>
      </c>
      <c r="K285" s="26"/>
      <c r="L285" s="26"/>
      <c r="M285" s="29">
        <f t="shared" si="13"/>
        <v>12.1</v>
      </c>
      <c r="N285" s="30">
        <f t="shared" si="14"/>
        <v>7.869715853999999</v>
      </c>
      <c r="O285" s="26"/>
      <c r="P285" s="31" t="s">
        <v>19</v>
      </c>
    </row>
    <row r="286" spans="1:16" x14ac:dyDescent="0.25">
      <c r="A286" s="26">
        <v>285</v>
      </c>
      <c r="B286" s="27">
        <v>5295</v>
      </c>
      <c r="C286" s="26" t="s">
        <v>465</v>
      </c>
      <c r="D286" s="28">
        <v>4816</v>
      </c>
      <c r="E286" s="26" t="s">
        <v>18</v>
      </c>
      <c r="F286" s="26"/>
      <c r="G286" s="29">
        <v>9.1</v>
      </c>
      <c r="H286" s="26">
        <v>85</v>
      </c>
      <c r="I286" s="26">
        <v>84</v>
      </c>
      <c r="J286" s="26">
        <f t="shared" si="12"/>
        <v>84</v>
      </c>
      <c r="K286" s="26"/>
      <c r="L286" s="26"/>
      <c r="M286" s="29">
        <f t="shared" si="13"/>
        <v>9.1</v>
      </c>
      <c r="N286" s="30">
        <f t="shared" si="14"/>
        <v>5.0430219840000001</v>
      </c>
      <c r="O286" s="26"/>
      <c r="P286" s="31" t="s">
        <v>19</v>
      </c>
    </row>
    <row r="287" spans="1:16" x14ac:dyDescent="0.25">
      <c r="A287" s="26">
        <v>286</v>
      </c>
      <c r="B287" s="27">
        <v>5296</v>
      </c>
      <c r="C287" s="26" t="s">
        <v>466</v>
      </c>
      <c r="D287" s="28">
        <v>1294</v>
      </c>
      <c r="E287" s="26" t="s">
        <v>18</v>
      </c>
      <c r="F287" s="26"/>
      <c r="G287" s="29">
        <v>4.9000000000000004</v>
      </c>
      <c r="H287" s="26">
        <v>86</v>
      </c>
      <c r="I287" s="26">
        <v>82</v>
      </c>
      <c r="J287" s="26">
        <f t="shared" si="12"/>
        <v>84</v>
      </c>
      <c r="K287" s="26"/>
      <c r="L287" s="26"/>
      <c r="M287" s="29">
        <f t="shared" si="13"/>
        <v>4.9000000000000004</v>
      </c>
      <c r="N287" s="30">
        <f t="shared" si="14"/>
        <v>2.7154733759999998</v>
      </c>
      <c r="O287" s="26"/>
      <c r="P287" s="31" t="s">
        <v>19</v>
      </c>
    </row>
    <row r="288" spans="1:16" x14ac:dyDescent="0.25">
      <c r="A288" s="26">
        <v>287</v>
      </c>
      <c r="B288" s="27">
        <v>5289</v>
      </c>
      <c r="C288" s="26" t="s">
        <v>467</v>
      </c>
      <c r="D288" s="28">
        <v>1295</v>
      </c>
      <c r="E288" s="26" t="s">
        <v>18</v>
      </c>
      <c r="F288" s="26"/>
      <c r="G288" s="29">
        <v>12</v>
      </c>
      <c r="H288" s="26">
        <v>99</v>
      </c>
      <c r="I288" s="26">
        <v>84</v>
      </c>
      <c r="J288" s="26">
        <f t="shared" si="12"/>
        <v>91</v>
      </c>
      <c r="K288" s="26"/>
      <c r="L288" s="26"/>
      <c r="M288" s="29">
        <f t="shared" si="13"/>
        <v>12</v>
      </c>
      <c r="N288" s="30">
        <f t="shared" si="14"/>
        <v>7.8046768800000006</v>
      </c>
      <c r="O288" s="26"/>
      <c r="P288" s="31" t="s">
        <v>19</v>
      </c>
    </row>
    <row r="289" spans="1:16" x14ac:dyDescent="0.25">
      <c r="A289" s="26">
        <v>288</v>
      </c>
      <c r="B289" s="27">
        <v>5290</v>
      </c>
      <c r="C289" s="26" t="s">
        <v>468</v>
      </c>
      <c r="D289" s="28" t="s">
        <v>469</v>
      </c>
      <c r="E289" s="26" t="s">
        <v>18</v>
      </c>
      <c r="F289" s="26"/>
      <c r="G289" s="29">
        <v>8.8000000000000007</v>
      </c>
      <c r="H289" s="26">
        <v>86</v>
      </c>
      <c r="I289" s="26">
        <v>83</v>
      </c>
      <c r="J289" s="26">
        <f t="shared" si="12"/>
        <v>84</v>
      </c>
      <c r="K289" s="26">
        <v>0.5</v>
      </c>
      <c r="L289" s="26"/>
      <c r="M289" s="29">
        <f t="shared" si="13"/>
        <v>8.3000000000000007</v>
      </c>
      <c r="N289" s="30">
        <f t="shared" si="14"/>
        <v>4.5996793920000005</v>
      </c>
      <c r="O289" s="26" t="s">
        <v>157</v>
      </c>
      <c r="P289" s="31" t="s">
        <v>19</v>
      </c>
    </row>
    <row r="290" spans="1:16" x14ac:dyDescent="0.25">
      <c r="A290" s="26">
        <v>289</v>
      </c>
      <c r="B290" s="27">
        <v>5291</v>
      </c>
      <c r="C290" s="26" t="s">
        <v>470</v>
      </c>
      <c r="D290" s="28" t="s">
        <v>471</v>
      </c>
      <c r="E290" s="26" t="s">
        <v>18</v>
      </c>
      <c r="F290" s="26"/>
      <c r="G290" s="29">
        <v>12</v>
      </c>
      <c r="H290" s="26">
        <v>108</v>
      </c>
      <c r="I290" s="26">
        <v>88</v>
      </c>
      <c r="J290" s="26">
        <f t="shared" si="12"/>
        <v>98</v>
      </c>
      <c r="K290" s="26"/>
      <c r="L290" s="26"/>
      <c r="M290" s="29">
        <f t="shared" si="13"/>
        <v>12</v>
      </c>
      <c r="N290" s="30">
        <f t="shared" si="14"/>
        <v>9.0515779199999997</v>
      </c>
      <c r="O290" s="26"/>
      <c r="P290" s="31" t="s">
        <v>19</v>
      </c>
    </row>
    <row r="291" spans="1:16" x14ac:dyDescent="0.25">
      <c r="A291" s="26">
        <v>290</v>
      </c>
      <c r="B291" s="27">
        <v>5292</v>
      </c>
      <c r="C291" s="26" t="s">
        <v>472</v>
      </c>
      <c r="D291" s="28" t="s">
        <v>473</v>
      </c>
      <c r="E291" s="26" t="s">
        <v>18</v>
      </c>
      <c r="F291" s="26"/>
      <c r="G291" s="29">
        <v>12.5</v>
      </c>
      <c r="H291" s="26">
        <v>84</v>
      </c>
      <c r="I291" s="26">
        <v>79</v>
      </c>
      <c r="J291" s="26">
        <f t="shared" si="12"/>
        <v>81</v>
      </c>
      <c r="K291" s="26">
        <v>1</v>
      </c>
      <c r="L291" s="26"/>
      <c r="M291" s="29">
        <f t="shared" si="13"/>
        <v>11.5</v>
      </c>
      <c r="N291" s="30">
        <f t="shared" si="14"/>
        <v>5.9259608099999994</v>
      </c>
      <c r="O291" s="26" t="s">
        <v>157</v>
      </c>
      <c r="P291" s="31" t="s">
        <v>19</v>
      </c>
    </row>
    <row r="292" spans="1:16" x14ac:dyDescent="0.25">
      <c r="A292" s="26">
        <v>291</v>
      </c>
      <c r="B292" s="27">
        <v>5293</v>
      </c>
      <c r="C292" s="26" t="s">
        <v>474</v>
      </c>
      <c r="D292" s="28">
        <v>1298</v>
      </c>
      <c r="E292" s="26" t="s">
        <v>18</v>
      </c>
      <c r="F292" s="26"/>
      <c r="G292" s="29">
        <v>5.6</v>
      </c>
      <c r="H292" s="26">
        <v>144</v>
      </c>
      <c r="I292" s="26">
        <v>128</v>
      </c>
      <c r="J292" s="26">
        <f t="shared" si="12"/>
        <v>136</v>
      </c>
      <c r="K292" s="26"/>
      <c r="L292" s="26"/>
      <c r="M292" s="29">
        <f t="shared" si="13"/>
        <v>5.6</v>
      </c>
      <c r="N292" s="30">
        <f t="shared" si="14"/>
        <v>8.134984703999999</v>
      </c>
      <c r="O292" s="26"/>
      <c r="P292" s="31" t="s">
        <v>19</v>
      </c>
    </row>
    <row r="293" spans="1:16" x14ac:dyDescent="0.25">
      <c r="A293" s="26">
        <v>292</v>
      </c>
      <c r="B293" s="27">
        <v>5299</v>
      </c>
      <c r="C293" s="26" t="s">
        <v>475</v>
      </c>
      <c r="D293" s="28">
        <v>1299</v>
      </c>
      <c r="E293" s="26" t="s">
        <v>18</v>
      </c>
      <c r="F293" s="26"/>
      <c r="G293" s="29">
        <v>13</v>
      </c>
      <c r="H293" s="26">
        <v>88</v>
      </c>
      <c r="I293" s="26">
        <v>65</v>
      </c>
      <c r="J293" s="26">
        <f t="shared" si="12"/>
        <v>76</v>
      </c>
      <c r="K293" s="26"/>
      <c r="L293" s="26"/>
      <c r="M293" s="29">
        <f t="shared" si="13"/>
        <v>13</v>
      </c>
      <c r="N293" s="30">
        <f t="shared" si="14"/>
        <v>5.8974115200000004</v>
      </c>
      <c r="O293" s="26"/>
      <c r="P293" s="31" t="s">
        <v>30</v>
      </c>
    </row>
    <row r="294" spans="1:16" x14ac:dyDescent="0.25">
      <c r="A294" s="26">
        <v>293</v>
      </c>
      <c r="B294" s="27">
        <v>5300</v>
      </c>
      <c r="C294" s="26" t="s">
        <v>476</v>
      </c>
      <c r="D294" s="28" t="s">
        <v>477</v>
      </c>
      <c r="E294" s="26" t="s">
        <v>18</v>
      </c>
      <c r="F294" s="26"/>
      <c r="G294" s="29">
        <v>10</v>
      </c>
      <c r="H294" s="26">
        <v>95</v>
      </c>
      <c r="I294" s="26">
        <v>89</v>
      </c>
      <c r="J294" s="26">
        <f t="shared" si="12"/>
        <v>92</v>
      </c>
      <c r="K294" s="26"/>
      <c r="L294" s="26"/>
      <c r="M294" s="29">
        <f t="shared" si="13"/>
        <v>10</v>
      </c>
      <c r="N294" s="30">
        <f t="shared" si="14"/>
        <v>6.6476255999999996</v>
      </c>
      <c r="O294" s="26"/>
      <c r="P294" s="31" t="s">
        <v>19</v>
      </c>
    </row>
    <row r="295" spans="1:16" x14ac:dyDescent="0.25">
      <c r="A295" s="26">
        <v>294</v>
      </c>
      <c r="B295" s="27">
        <v>5301</v>
      </c>
      <c r="C295" s="26" t="s">
        <v>478</v>
      </c>
      <c r="D295" s="28" t="s">
        <v>479</v>
      </c>
      <c r="E295" s="26" t="s">
        <v>18</v>
      </c>
      <c r="F295" s="26"/>
      <c r="G295" s="29">
        <v>13</v>
      </c>
      <c r="H295" s="26">
        <v>98</v>
      </c>
      <c r="I295" s="26">
        <v>92</v>
      </c>
      <c r="J295" s="26">
        <f t="shared" si="12"/>
        <v>95</v>
      </c>
      <c r="K295" s="26"/>
      <c r="L295" s="26"/>
      <c r="M295" s="29">
        <f t="shared" si="13"/>
        <v>13</v>
      </c>
      <c r="N295" s="30">
        <f t="shared" si="14"/>
        <v>9.2147054999999991</v>
      </c>
      <c r="O295" s="26"/>
      <c r="P295" s="31" t="s">
        <v>19</v>
      </c>
    </row>
    <row r="296" spans="1:16" x14ac:dyDescent="0.25">
      <c r="A296" s="26">
        <v>295</v>
      </c>
      <c r="B296" s="27">
        <v>5302</v>
      </c>
      <c r="C296" s="26" t="s">
        <v>480</v>
      </c>
      <c r="D296" s="28">
        <v>1401</v>
      </c>
      <c r="E296" s="26" t="s">
        <v>18</v>
      </c>
      <c r="F296" s="26"/>
      <c r="G296" s="29">
        <v>6.2</v>
      </c>
      <c r="H296" s="26">
        <v>89</v>
      </c>
      <c r="I296" s="26">
        <v>85</v>
      </c>
      <c r="J296" s="26">
        <f t="shared" si="12"/>
        <v>87</v>
      </c>
      <c r="K296" s="26"/>
      <c r="L296" s="26"/>
      <c r="M296" s="29">
        <f t="shared" si="13"/>
        <v>6.2</v>
      </c>
      <c r="N296" s="30">
        <f t="shared" si="14"/>
        <v>3.685709412</v>
      </c>
      <c r="O296" s="26"/>
      <c r="P296" s="31" t="s">
        <v>30</v>
      </c>
    </row>
    <row r="297" spans="1:16" x14ac:dyDescent="0.25">
      <c r="A297" s="26">
        <v>296</v>
      </c>
      <c r="B297" s="27">
        <v>5303</v>
      </c>
      <c r="C297" s="26" t="s">
        <v>481</v>
      </c>
      <c r="D297" s="28" t="s">
        <v>482</v>
      </c>
      <c r="E297" s="26" t="s">
        <v>18</v>
      </c>
      <c r="F297" s="26"/>
      <c r="G297" s="29">
        <v>13.8</v>
      </c>
      <c r="H297" s="26">
        <v>116</v>
      </c>
      <c r="I297" s="26">
        <v>93</v>
      </c>
      <c r="J297" s="26">
        <f t="shared" si="12"/>
        <v>104</v>
      </c>
      <c r="K297" s="26"/>
      <c r="L297" s="26"/>
      <c r="M297" s="29">
        <f t="shared" si="13"/>
        <v>13.8</v>
      </c>
      <c r="N297" s="30">
        <f t="shared" si="14"/>
        <v>11.722943232</v>
      </c>
      <c r="O297" s="26"/>
      <c r="P297" s="31" t="s">
        <v>19</v>
      </c>
    </row>
    <row r="298" spans="1:16" x14ac:dyDescent="0.25">
      <c r="A298" s="26">
        <v>297</v>
      </c>
      <c r="B298" s="27">
        <v>5304</v>
      </c>
      <c r="C298" s="26" t="s">
        <v>483</v>
      </c>
      <c r="D298" s="28">
        <v>1402</v>
      </c>
      <c r="E298" s="26" t="s">
        <v>18</v>
      </c>
      <c r="F298" s="26"/>
      <c r="G298" s="29">
        <v>12</v>
      </c>
      <c r="H298" s="26">
        <v>101</v>
      </c>
      <c r="I298" s="26">
        <v>80</v>
      </c>
      <c r="J298" s="26">
        <f t="shared" si="12"/>
        <v>90</v>
      </c>
      <c r="K298" s="26"/>
      <c r="L298" s="26"/>
      <c r="M298" s="29">
        <f t="shared" si="13"/>
        <v>12</v>
      </c>
      <c r="N298" s="30">
        <f t="shared" si="14"/>
        <v>7.6340880000000002</v>
      </c>
      <c r="O298" s="26"/>
      <c r="P298" s="31" t="s">
        <v>19</v>
      </c>
    </row>
    <row r="299" spans="1:16" x14ac:dyDescent="0.25">
      <c r="A299" s="26">
        <v>298</v>
      </c>
      <c r="B299" s="27">
        <v>5305</v>
      </c>
      <c r="C299" s="26" t="s">
        <v>484</v>
      </c>
      <c r="D299" s="28" t="s">
        <v>485</v>
      </c>
      <c r="E299" s="26" t="s">
        <v>18</v>
      </c>
      <c r="F299" s="26"/>
      <c r="G299" s="29">
        <v>6.6</v>
      </c>
      <c r="H299" s="26">
        <v>83</v>
      </c>
      <c r="I299" s="26">
        <v>79</v>
      </c>
      <c r="J299" s="26">
        <f t="shared" si="12"/>
        <v>81</v>
      </c>
      <c r="K299" s="26"/>
      <c r="L299" s="26"/>
      <c r="M299" s="29">
        <f t="shared" si="13"/>
        <v>6.6</v>
      </c>
      <c r="N299" s="30">
        <f t="shared" si="14"/>
        <v>3.4009862040000001</v>
      </c>
      <c r="O299" s="26"/>
      <c r="P299" s="31" t="s">
        <v>30</v>
      </c>
    </row>
    <row r="300" spans="1:16" x14ac:dyDescent="0.25">
      <c r="A300" s="26">
        <v>299</v>
      </c>
      <c r="B300" s="27">
        <v>5306</v>
      </c>
      <c r="C300" s="26" t="s">
        <v>486</v>
      </c>
      <c r="D300" s="28" t="s">
        <v>487</v>
      </c>
      <c r="E300" s="26" t="s">
        <v>18</v>
      </c>
      <c r="F300" s="26"/>
      <c r="G300" s="29">
        <v>6.2</v>
      </c>
      <c r="H300" s="26">
        <v>87</v>
      </c>
      <c r="I300" s="26">
        <v>81</v>
      </c>
      <c r="J300" s="26">
        <f t="shared" si="12"/>
        <v>84</v>
      </c>
      <c r="K300" s="26"/>
      <c r="L300" s="26"/>
      <c r="M300" s="29">
        <f t="shared" si="13"/>
        <v>6.2</v>
      </c>
      <c r="N300" s="30">
        <f t="shared" si="14"/>
        <v>3.4359050880000002</v>
      </c>
      <c r="O300" s="26"/>
      <c r="P300" s="31" t="s">
        <v>19</v>
      </c>
    </row>
    <row r="301" spans="1:16" x14ac:dyDescent="0.25">
      <c r="A301" s="26">
        <v>300</v>
      </c>
      <c r="B301" s="27">
        <v>5312</v>
      </c>
      <c r="C301" s="26" t="s">
        <v>488</v>
      </c>
      <c r="D301" s="28">
        <v>4733</v>
      </c>
      <c r="E301" s="26" t="s">
        <v>18</v>
      </c>
      <c r="F301" s="26"/>
      <c r="G301" s="29">
        <v>11.8</v>
      </c>
      <c r="H301" s="26">
        <v>115</v>
      </c>
      <c r="I301" s="26">
        <v>104</v>
      </c>
      <c r="J301" s="26">
        <f t="shared" si="12"/>
        <v>109</v>
      </c>
      <c r="K301" s="26"/>
      <c r="L301" s="26"/>
      <c r="M301" s="29">
        <f t="shared" si="13"/>
        <v>11.8</v>
      </c>
      <c r="N301" s="30">
        <f t="shared" si="14"/>
        <v>11.010978132000002</v>
      </c>
      <c r="O301" s="26"/>
      <c r="P301" s="31" t="s">
        <v>19</v>
      </c>
    </row>
    <row r="302" spans="1:16" x14ac:dyDescent="0.25">
      <c r="A302" s="26">
        <v>301</v>
      </c>
      <c r="B302" s="27">
        <v>5313</v>
      </c>
      <c r="C302" s="26" t="s">
        <v>489</v>
      </c>
      <c r="D302" s="28" t="s">
        <v>490</v>
      </c>
      <c r="E302" s="26" t="s">
        <v>18</v>
      </c>
      <c r="F302" s="26"/>
      <c r="G302" s="29">
        <v>11.1</v>
      </c>
      <c r="H302" s="26">
        <v>94</v>
      </c>
      <c r="I302" s="26">
        <v>81</v>
      </c>
      <c r="J302" s="26">
        <f t="shared" si="12"/>
        <v>87</v>
      </c>
      <c r="K302" s="26"/>
      <c r="L302" s="26"/>
      <c r="M302" s="29">
        <f t="shared" si="13"/>
        <v>11.1</v>
      </c>
      <c r="N302" s="30">
        <f t="shared" si="14"/>
        <v>6.5986087859999998</v>
      </c>
      <c r="O302" s="26"/>
      <c r="P302" s="31" t="s">
        <v>19</v>
      </c>
    </row>
    <row r="303" spans="1:16" x14ac:dyDescent="0.25">
      <c r="A303" s="26">
        <v>302</v>
      </c>
      <c r="B303" s="27">
        <v>5314</v>
      </c>
      <c r="C303" s="26" t="s">
        <v>491</v>
      </c>
      <c r="D303" s="28" t="s">
        <v>492</v>
      </c>
      <c r="E303" s="26" t="s">
        <v>18</v>
      </c>
      <c r="F303" s="26"/>
      <c r="G303" s="29">
        <v>13</v>
      </c>
      <c r="H303" s="26">
        <v>84</v>
      </c>
      <c r="I303" s="26">
        <v>74</v>
      </c>
      <c r="J303" s="26">
        <f t="shared" si="12"/>
        <v>79</v>
      </c>
      <c r="K303" s="26"/>
      <c r="L303" s="26"/>
      <c r="M303" s="29">
        <f t="shared" si="13"/>
        <v>13</v>
      </c>
      <c r="N303" s="30">
        <f t="shared" si="14"/>
        <v>6.3721858200000003</v>
      </c>
      <c r="O303" s="26"/>
      <c r="P303" s="31" t="s">
        <v>19</v>
      </c>
    </row>
    <row r="304" spans="1:16" x14ac:dyDescent="0.25">
      <c r="A304" s="26">
        <v>303</v>
      </c>
      <c r="B304" s="27">
        <v>5315</v>
      </c>
      <c r="C304" s="26" t="s">
        <v>493</v>
      </c>
      <c r="D304" s="28" t="s">
        <v>494</v>
      </c>
      <c r="E304" s="26" t="s">
        <v>18</v>
      </c>
      <c r="F304" s="26"/>
      <c r="G304" s="29">
        <v>5.7</v>
      </c>
      <c r="H304" s="26">
        <v>82</v>
      </c>
      <c r="I304" s="26">
        <v>77</v>
      </c>
      <c r="J304" s="26">
        <f t="shared" si="12"/>
        <v>79</v>
      </c>
      <c r="K304" s="26"/>
      <c r="L304" s="26"/>
      <c r="M304" s="29">
        <f t="shared" si="13"/>
        <v>5.7</v>
      </c>
      <c r="N304" s="30">
        <f t="shared" si="14"/>
        <v>2.7939583980000005</v>
      </c>
      <c r="O304" s="26"/>
      <c r="P304" s="31" t="s">
        <v>19</v>
      </c>
    </row>
    <row r="305" spans="1:16" x14ac:dyDescent="0.25">
      <c r="A305" s="26">
        <v>304</v>
      </c>
      <c r="B305" s="27">
        <v>5311</v>
      </c>
      <c r="C305" s="26" t="s">
        <v>495</v>
      </c>
      <c r="D305" s="28" t="s">
        <v>496</v>
      </c>
      <c r="E305" s="26" t="s">
        <v>18</v>
      </c>
      <c r="F305" s="26"/>
      <c r="G305" s="29">
        <v>13.5</v>
      </c>
      <c r="H305" s="26">
        <v>85</v>
      </c>
      <c r="I305" s="26">
        <v>74</v>
      </c>
      <c r="J305" s="26">
        <f t="shared" si="12"/>
        <v>79</v>
      </c>
      <c r="K305" s="26">
        <v>0.5</v>
      </c>
      <c r="L305" s="26"/>
      <c r="M305" s="29">
        <f t="shared" si="13"/>
        <v>13</v>
      </c>
      <c r="N305" s="30">
        <f t="shared" si="14"/>
        <v>6.3721858200000003</v>
      </c>
      <c r="O305" s="26" t="s">
        <v>157</v>
      </c>
      <c r="P305" s="31" t="s">
        <v>19</v>
      </c>
    </row>
    <row r="306" spans="1:16" x14ac:dyDescent="0.25">
      <c r="A306" s="26">
        <v>305</v>
      </c>
      <c r="B306" s="27">
        <v>5307</v>
      </c>
      <c r="C306" s="26" t="s">
        <v>497</v>
      </c>
      <c r="D306" s="28">
        <v>104</v>
      </c>
      <c r="E306" s="26" t="s">
        <v>18</v>
      </c>
      <c r="F306" s="26"/>
      <c r="G306" s="29">
        <v>11.1</v>
      </c>
      <c r="H306" s="26">
        <v>103</v>
      </c>
      <c r="I306" s="26">
        <v>82</v>
      </c>
      <c r="J306" s="26">
        <f t="shared" si="12"/>
        <v>92</v>
      </c>
      <c r="K306" s="26"/>
      <c r="L306" s="26"/>
      <c r="M306" s="29">
        <f t="shared" si="13"/>
        <v>11.1</v>
      </c>
      <c r="N306" s="30">
        <f t="shared" si="14"/>
        <v>7.3788644159999999</v>
      </c>
      <c r="O306" s="26"/>
      <c r="P306" s="31" t="s">
        <v>19</v>
      </c>
    </row>
    <row r="307" spans="1:16" x14ac:dyDescent="0.25">
      <c r="A307" s="26">
        <v>306</v>
      </c>
      <c r="B307" s="27">
        <v>5308</v>
      </c>
      <c r="C307" s="26" t="s">
        <v>498</v>
      </c>
      <c r="D307" s="28">
        <v>4642</v>
      </c>
      <c r="E307" s="26" t="s">
        <v>18</v>
      </c>
      <c r="F307" s="26"/>
      <c r="G307" s="29">
        <v>13.5</v>
      </c>
      <c r="H307" s="26">
        <v>83</v>
      </c>
      <c r="I307" s="26">
        <v>72</v>
      </c>
      <c r="J307" s="26">
        <f t="shared" si="12"/>
        <v>77</v>
      </c>
      <c r="K307" s="26"/>
      <c r="L307" s="26"/>
      <c r="M307" s="29">
        <f t="shared" si="13"/>
        <v>13.5</v>
      </c>
      <c r="N307" s="30">
        <f t="shared" si="14"/>
        <v>6.28645941</v>
      </c>
      <c r="O307" s="26"/>
      <c r="P307" s="31" t="s">
        <v>19</v>
      </c>
    </row>
    <row r="308" spans="1:16" x14ac:dyDescent="0.25">
      <c r="A308" s="26">
        <v>307</v>
      </c>
      <c r="B308" s="27">
        <v>5309</v>
      </c>
      <c r="C308" s="26" t="s">
        <v>499</v>
      </c>
      <c r="D308" s="28" t="s">
        <v>500</v>
      </c>
      <c r="E308" s="26" t="s">
        <v>18</v>
      </c>
      <c r="F308" s="26"/>
      <c r="G308" s="29">
        <v>6.5</v>
      </c>
      <c r="H308" s="26">
        <v>83</v>
      </c>
      <c r="I308" s="26">
        <v>81</v>
      </c>
      <c r="J308" s="26">
        <f t="shared" si="12"/>
        <v>82</v>
      </c>
      <c r="K308" s="26"/>
      <c r="L308" s="26"/>
      <c r="M308" s="29">
        <f t="shared" si="13"/>
        <v>6.5</v>
      </c>
      <c r="N308" s="30">
        <f t="shared" si="14"/>
        <v>3.4326692400000001</v>
      </c>
      <c r="O308" s="26"/>
      <c r="P308" s="31" t="s">
        <v>30</v>
      </c>
    </row>
    <row r="309" spans="1:16" x14ac:dyDescent="0.25">
      <c r="A309" s="26">
        <v>308</v>
      </c>
      <c r="B309" s="27">
        <v>5310</v>
      </c>
      <c r="C309" s="26" t="s">
        <v>501</v>
      </c>
      <c r="D309" s="28">
        <v>1405</v>
      </c>
      <c r="E309" s="26" t="s">
        <v>18</v>
      </c>
      <c r="F309" s="26"/>
      <c r="G309" s="29">
        <v>10</v>
      </c>
      <c r="H309" s="26">
        <v>97</v>
      </c>
      <c r="I309" s="26">
        <v>85</v>
      </c>
      <c r="J309" s="26">
        <f t="shared" si="12"/>
        <v>91</v>
      </c>
      <c r="K309" s="26"/>
      <c r="L309" s="26"/>
      <c r="M309" s="29">
        <f t="shared" si="13"/>
        <v>10</v>
      </c>
      <c r="N309" s="30">
        <f t="shared" si="14"/>
        <v>6.5038974000000005</v>
      </c>
      <c r="O309" s="26"/>
      <c r="P309" s="31" t="s">
        <v>19</v>
      </c>
    </row>
    <row r="310" spans="1:16" x14ac:dyDescent="0.25">
      <c r="A310" s="26">
        <v>309</v>
      </c>
      <c r="B310" s="27">
        <v>5319</v>
      </c>
      <c r="C310" s="26" t="s">
        <v>502</v>
      </c>
      <c r="D310" s="28">
        <v>4643</v>
      </c>
      <c r="E310" s="26" t="s">
        <v>18</v>
      </c>
      <c r="F310" s="26"/>
      <c r="G310" s="29">
        <v>13.7</v>
      </c>
      <c r="H310" s="26">
        <v>111</v>
      </c>
      <c r="I310" s="26">
        <v>96</v>
      </c>
      <c r="J310" s="26">
        <f t="shared" si="12"/>
        <v>103</v>
      </c>
      <c r="K310" s="26"/>
      <c r="L310" s="26"/>
      <c r="M310" s="29">
        <f t="shared" si="13"/>
        <v>13.7</v>
      </c>
      <c r="N310" s="30">
        <f t="shared" si="14"/>
        <v>11.415262781999999</v>
      </c>
      <c r="O310" s="26"/>
      <c r="P310" s="31" t="s">
        <v>19</v>
      </c>
    </row>
    <row r="311" spans="1:16" x14ac:dyDescent="0.25">
      <c r="A311" s="26">
        <v>310</v>
      </c>
      <c r="B311" s="27">
        <v>5320</v>
      </c>
      <c r="C311" s="26" t="s">
        <v>503</v>
      </c>
      <c r="D311" s="28" t="s">
        <v>504</v>
      </c>
      <c r="E311" s="26" t="s">
        <v>18</v>
      </c>
      <c r="F311" s="26"/>
      <c r="G311" s="29">
        <v>13.5</v>
      </c>
      <c r="H311" s="26">
        <v>90</v>
      </c>
      <c r="I311" s="26">
        <v>81</v>
      </c>
      <c r="J311" s="26">
        <f t="shared" si="12"/>
        <v>85</v>
      </c>
      <c r="K311" s="26"/>
      <c r="L311" s="26"/>
      <c r="M311" s="29">
        <f t="shared" si="13"/>
        <v>13.5</v>
      </c>
      <c r="N311" s="30">
        <f t="shared" si="14"/>
        <v>7.6605952500000001</v>
      </c>
      <c r="O311" s="26"/>
      <c r="P311" s="31" t="s">
        <v>30</v>
      </c>
    </row>
    <row r="312" spans="1:16" x14ac:dyDescent="0.25">
      <c r="A312" s="26">
        <v>311</v>
      </c>
      <c r="B312" s="27">
        <v>5321</v>
      </c>
      <c r="C312" s="26" t="s">
        <v>505</v>
      </c>
      <c r="D312" s="28" t="s">
        <v>506</v>
      </c>
      <c r="E312" s="26" t="s">
        <v>18</v>
      </c>
      <c r="F312" s="26"/>
      <c r="G312" s="29">
        <v>9.1</v>
      </c>
      <c r="H312" s="26">
        <v>82</v>
      </c>
      <c r="I312" s="26">
        <v>78</v>
      </c>
      <c r="J312" s="26">
        <f t="shared" si="12"/>
        <v>80</v>
      </c>
      <c r="K312" s="26"/>
      <c r="L312" s="26"/>
      <c r="M312" s="29">
        <f t="shared" si="13"/>
        <v>9.1</v>
      </c>
      <c r="N312" s="30">
        <f t="shared" si="14"/>
        <v>4.5741695999999994</v>
      </c>
      <c r="O312" s="26"/>
      <c r="P312" s="31" t="s">
        <v>19</v>
      </c>
    </row>
    <row r="313" spans="1:16" x14ac:dyDescent="0.25">
      <c r="A313" s="26">
        <v>312</v>
      </c>
      <c r="B313" s="27">
        <v>5316</v>
      </c>
      <c r="C313" s="26" t="s">
        <v>507</v>
      </c>
      <c r="D313" s="28">
        <v>4644</v>
      </c>
      <c r="E313" s="26" t="s">
        <v>18</v>
      </c>
      <c r="F313" s="26"/>
      <c r="G313" s="29">
        <v>13.5</v>
      </c>
      <c r="H313" s="26">
        <v>93</v>
      </c>
      <c r="I313" s="26">
        <v>85</v>
      </c>
      <c r="J313" s="26">
        <f t="shared" si="12"/>
        <v>89</v>
      </c>
      <c r="K313" s="26"/>
      <c r="L313" s="26"/>
      <c r="M313" s="29">
        <f t="shared" si="13"/>
        <v>13.5</v>
      </c>
      <c r="N313" s="30">
        <f t="shared" si="14"/>
        <v>8.3985570899999988</v>
      </c>
      <c r="O313" s="26"/>
      <c r="P313" s="31" t="s">
        <v>19</v>
      </c>
    </row>
    <row r="314" spans="1:16" x14ac:dyDescent="0.25">
      <c r="A314" s="26">
        <v>313</v>
      </c>
      <c r="B314" s="27">
        <v>5317</v>
      </c>
      <c r="C314" s="26" t="s">
        <v>508</v>
      </c>
      <c r="D314" s="28" t="s">
        <v>509</v>
      </c>
      <c r="E314" s="26" t="s">
        <v>18</v>
      </c>
      <c r="F314" s="26"/>
      <c r="G314" s="29">
        <v>6.1</v>
      </c>
      <c r="H314" s="26">
        <v>87</v>
      </c>
      <c r="I314" s="26">
        <v>79</v>
      </c>
      <c r="J314" s="26">
        <f t="shared" si="12"/>
        <v>83</v>
      </c>
      <c r="K314" s="26"/>
      <c r="L314" s="26"/>
      <c r="M314" s="29">
        <f t="shared" si="13"/>
        <v>6.1</v>
      </c>
      <c r="N314" s="30">
        <f t="shared" si="14"/>
        <v>3.3004785659999993</v>
      </c>
      <c r="O314" s="26"/>
      <c r="P314" s="31" t="s">
        <v>30</v>
      </c>
    </row>
    <row r="315" spans="1:16" x14ac:dyDescent="0.25">
      <c r="A315" s="26">
        <v>314</v>
      </c>
      <c r="B315" s="27">
        <v>5318</v>
      </c>
      <c r="C315" s="26" t="s">
        <v>510</v>
      </c>
      <c r="D315" s="28">
        <v>4645</v>
      </c>
      <c r="E315" s="26" t="s">
        <v>18</v>
      </c>
      <c r="F315" s="26"/>
      <c r="G315" s="29">
        <v>13</v>
      </c>
      <c r="H315" s="26">
        <v>107</v>
      </c>
      <c r="I315" s="26">
        <v>83</v>
      </c>
      <c r="J315" s="26">
        <f t="shared" si="12"/>
        <v>95</v>
      </c>
      <c r="K315" s="26">
        <v>0.5</v>
      </c>
      <c r="L315" s="26"/>
      <c r="M315" s="29">
        <f t="shared" si="13"/>
        <v>12.5</v>
      </c>
      <c r="N315" s="30">
        <f t="shared" si="14"/>
        <v>8.8602937500000003</v>
      </c>
      <c r="O315" s="26" t="s">
        <v>21</v>
      </c>
      <c r="P315" s="31" t="s">
        <v>19</v>
      </c>
    </row>
    <row r="316" spans="1:16" x14ac:dyDescent="0.25">
      <c r="A316" s="26">
        <v>315</v>
      </c>
      <c r="B316" s="27">
        <v>5322</v>
      </c>
      <c r="C316" s="26" t="s">
        <v>511</v>
      </c>
      <c r="D316" s="28" t="s">
        <v>512</v>
      </c>
      <c r="E316" s="26" t="s">
        <v>18</v>
      </c>
      <c r="F316" s="26"/>
      <c r="G316" s="29">
        <v>13.5</v>
      </c>
      <c r="H316" s="26">
        <v>89</v>
      </c>
      <c r="I316" s="26">
        <v>71</v>
      </c>
      <c r="J316" s="26">
        <f t="shared" si="12"/>
        <v>80</v>
      </c>
      <c r="K316" s="26"/>
      <c r="L316" s="26"/>
      <c r="M316" s="29">
        <f t="shared" si="13"/>
        <v>13.5</v>
      </c>
      <c r="N316" s="30">
        <f t="shared" si="14"/>
        <v>6.7858559999999999</v>
      </c>
      <c r="O316" s="26"/>
      <c r="P316" s="31" t="s">
        <v>19</v>
      </c>
    </row>
    <row r="317" spans="1:16" x14ac:dyDescent="0.25">
      <c r="A317" s="26">
        <v>316</v>
      </c>
      <c r="B317" s="27">
        <v>5323</v>
      </c>
      <c r="C317" s="26" t="s">
        <v>513</v>
      </c>
      <c r="D317" s="28">
        <v>107</v>
      </c>
      <c r="E317" s="26" t="s">
        <v>18</v>
      </c>
      <c r="F317" s="26"/>
      <c r="G317" s="29">
        <v>9.1999999999999993</v>
      </c>
      <c r="H317" s="26">
        <v>82</v>
      </c>
      <c r="I317" s="26">
        <v>76</v>
      </c>
      <c r="J317" s="26">
        <f t="shared" si="12"/>
        <v>79</v>
      </c>
      <c r="K317" s="26"/>
      <c r="L317" s="26"/>
      <c r="M317" s="29">
        <f t="shared" si="13"/>
        <v>9.1999999999999993</v>
      </c>
      <c r="N317" s="30">
        <f t="shared" si="14"/>
        <v>4.509546888</v>
      </c>
      <c r="O317" s="26"/>
      <c r="P317" s="31" t="s">
        <v>19</v>
      </c>
    </row>
    <row r="318" spans="1:16" x14ac:dyDescent="0.25">
      <c r="A318" s="26">
        <v>317</v>
      </c>
      <c r="B318" s="27">
        <v>5324</v>
      </c>
      <c r="C318" s="26" t="s">
        <v>514</v>
      </c>
      <c r="D318" s="28" t="s">
        <v>515</v>
      </c>
      <c r="E318" s="26" t="s">
        <v>18</v>
      </c>
      <c r="F318" s="26"/>
      <c r="G318" s="29">
        <v>13.5</v>
      </c>
      <c r="H318" s="26">
        <v>89</v>
      </c>
      <c r="I318" s="26">
        <v>73</v>
      </c>
      <c r="J318" s="26">
        <f t="shared" si="12"/>
        <v>81</v>
      </c>
      <c r="K318" s="26"/>
      <c r="L318" s="26"/>
      <c r="M318" s="29">
        <f t="shared" si="13"/>
        <v>13.5</v>
      </c>
      <c r="N318" s="30">
        <f t="shared" si="14"/>
        <v>6.9565626900000002</v>
      </c>
      <c r="O318" s="26"/>
      <c r="P318" s="31" t="s">
        <v>19</v>
      </c>
    </row>
    <row r="319" spans="1:16" x14ac:dyDescent="0.25">
      <c r="A319" s="26">
        <v>318</v>
      </c>
      <c r="B319" s="27">
        <v>5325</v>
      </c>
      <c r="C319" s="26" t="s">
        <v>516</v>
      </c>
      <c r="D319" s="28" t="s">
        <v>517</v>
      </c>
      <c r="E319" s="26" t="s">
        <v>18</v>
      </c>
      <c r="F319" s="26"/>
      <c r="G319" s="29">
        <v>11</v>
      </c>
      <c r="H319" s="26">
        <v>93</v>
      </c>
      <c r="I319" s="26">
        <v>81</v>
      </c>
      <c r="J319" s="26">
        <f t="shared" si="12"/>
        <v>87</v>
      </c>
      <c r="K319" s="26"/>
      <c r="L319" s="26"/>
      <c r="M319" s="29">
        <f t="shared" si="13"/>
        <v>11</v>
      </c>
      <c r="N319" s="30">
        <f t="shared" si="14"/>
        <v>6.5391618600000001</v>
      </c>
      <c r="O319" s="26"/>
      <c r="P319" s="31" t="s">
        <v>19</v>
      </c>
    </row>
    <row r="320" spans="1:16" x14ac:dyDescent="0.25">
      <c r="A320" s="26">
        <v>319</v>
      </c>
      <c r="B320" s="27">
        <v>5326</v>
      </c>
      <c r="C320" s="26" t="s">
        <v>518</v>
      </c>
      <c r="D320" s="28" t="s">
        <v>519</v>
      </c>
      <c r="E320" s="26" t="s">
        <v>18</v>
      </c>
      <c r="F320" s="26"/>
      <c r="G320" s="29">
        <v>13</v>
      </c>
      <c r="H320" s="26">
        <v>91</v>
      </c>
      <c r="I320" s="26">
        <v>73</v>
      </c>
      <c r="J320" s="26">
        <f t="shared" si="12"/>
        <v>82</v>
      </c>
      <c r="K320" s="26"/>
      <c r="L320" s="26"/>
      <c r="M320" s="29">
        <f t="shared" si="13"/>
        <v>13</v>
      </c>
      <c r="N320" s="30">
        <f t="shared" si="14"/>
        <v>6.8653384800000001</v>
      </c>
      <c r="O320" s="26"/>
      <c r="P320" s="31" t="s">
        <v>19</v>
      </c>
    </row>
    <row r="321" spans="1:16" x14ac:dyDescent="0.25">
      <c r="A321" s="26">
        <v>320</v>
      </c>
      <c r="B321" s="27">
        <v>5336</v>
      </c>
      <c r="C321" s="26" t="s">
        <v>520</v>
      </c>
      <c r="D321" s="28" t="s">
        <v>517</v>
      </c>
      <c r="E321" s="26" t="s">
        <v>18</v>
      </c>
      <c r="F321" s="26"/>
      <c r="G321" s="29">
        <v>11.3</v>
      </c>
      <c r="H321" s="26">
        <v>100</v>
      </c>
      <c r="I321" s="26">
        <v>84</v>
      </c>
      <c r="J321" s="26">
        <f t="shared" si="12"/>
        <v>92</v>
      </c>
      <c r="K321" s="26">
        <v>1</v>
      </c>
      <c r="L321" s="26"/>
      <c r="M321" s="29">
        <f t="shared" si="13"/>
        <v>10.3</v>
      </c>
      <c r="N321" s="30">
        <f t="shared" si="14"/>
        <v>6.8470543680000002</v>
      </c>
      <c r="O321" s="26"/>
      <c r="P321" s="31" t="s">
        <v>19</v>
      </c>
    </row>
    <row r="322" spans="1:16" x14ac:dyDescent="0.25">
      <c r="A322" s="26">
        <v>321</v>
      </c>
      <c r="B322" s="27">
        <v>5337</v>
      </c>
      <c r="C322" s="26" t="s">
        <v>521</v>
      </c>
      <c r="D322" s="28" t="s">
        <v>522</v>
      </c>
      <c r="E322" s="26" t="s">
        <v>18</v>
      </c>
      <c r="F322" s="26"/>
      <c r="G322" s="29">
        <v>3.9</v>
      </c>
      <c r="H322" s="26">
        <v>115</v>
      </c>
      <c r="I322" s="26">
        <v>108</v>
      </c>
      <c r="J322" s="26">
        <f t="shared" ref="J322:J385" si="15">ROUNDDOWN((H322+I322)/2,0)</f>
        <v>111</v>
      </c>
      <c r="K322" s="26"/>
      <c r="L322" s="26"/>
      <c r="M322" s="29">
        <f t="shared" ref="M322:M385" si="16">G322-K322</f>
        <v>3.9</v>
      </c>
      <c r="N322" s="30">
        <f t="shared" ref="N322:N385" si="17">J322*J322*M322*0.7854/10000</f>
        <v>3.773996226</v>
      </c>
      <c r="O322" s="26"/>
      <c r="P322" s="31" t="s">
        <v>19</v>
      </c>
    </row>
    <row r="323" spans="1:16" x14ac:dyDescent="0.25">
      <c r="A323" s="26">
        <v>322</v>
      </c>
      <c r="B323" s="27">
        <v>5338</v>
      </c>
      <c r="C323" s="26" t="s">
        <v>523</v>
      </c>
      <c r="D323" s="28" t="s">
        <v>524</v>
      </c>
      <c r="E323" s="26" t="s">
        <v>18</v>
      </c>
      <c r="F323" s="26"/>
      <c r="G323" s="29">
        <v>4</v>
      </c>
      <c r="H323" s="26">
        <v>88</v>
      </c>
      <c r="I323" s="26">
        <v>82</v>
      </c>
      <c r="J323" s="26">
        <f t="shared" si="15"/>
        <v>85</v>
      </c>
      <c r="K323" s="26">
        <v>1</v>
      </c>
      <c r="L323" s="26"/>
      <c r="M323" s="29">
        <f t="shared" si="16"/>
        <v>3</v>
      </c>
      <c r="N323" s="30">
        <f t="shared" si="17"/>
        <v>1.7023544999999998</v>
      </c>
      <c r="O323" s="26"/>
      <c r="P323" s="31" t="s">
        <v>30</v>
      </c>
    </row>
    <row r="324" spans="1:16" x14ac:dyDescent="0.25">
      <c r="A324" s="26">
        <v>323</v>
      </c>
      <c r="B324" s="27">
        <v>5339</v>
      </c>
      <c r="C324" s="26" t="s">
        <v>525</v>
      </c>
      <c r="D324" s="28" t="s">
        <v>526</v>
      </c>
      <c r="E324" s="26" t="s">
        <v>18</v>
      </c>
      <c r="F324" s="26"/>
      <c r="G324" s="29">
        <v>12</v>
      </c>
      <c r="H324" s="26">
        <v>92</v>
      </c>
      <c r="I324" s="26">
        <v>83</v>
      </c>
      <c r="J324" s="26">
        <f t="shared" si="15"/>
        <v>87</v>
      </c>
      <c r="K324" s="26"/>
      <c r="L324" s="26"/>
      <c r="M324" s="29">
        <f t="shared" si="16"/>
        <v>12</v>
      </c>
      <c r="N324" s="30">
        <f t="shared" si="17"/>
        <v>7.1336311199999995</v>
      </c>
      <c r="O324" s="26"/>
      <c r="P324" s="31" t="s">
        <v>19</v>
      </c>
    </row>
    <row r="325" spans="1:16" x14ac:dyDescent="0.25">
      <c r="A325" s="26">
        <v>324</v>
      </c>
      <c r="B325" s="27">
        <v>5340</v>
      </c>
      <c r="C325" s="26" t="s">
        <v>527</v>
      </c>
      <c r="D325" s="28" t="s">
        <v>528</v>
      </c>
      <c r="E325" s="26" t="s">
        <v>18</v>
      </c>
      <c r="F325" s="26"/>
      <c r="G325" s="29">
        <v>9.9</v>
      </c>
      <c r="H325" s="26">
        <v>119</v>
      </c>
      <c r="I325" s="26">
        <v>112</v>
      </c>
      <c r="J325" s="26">
        <f t="shared" si="15"/>
        <v>115</v>
      </c>
      <c r="K325" s="26"/>
      <c r="L325" s="26"/>
      <c r="M325" s="29">
        <f t="shared" si="16"/>
        <v>9.9</v>
      </c>
      <c r="N325" s="30">
        <f t="shared" si="17"/>
        <v>10.283045849999999</v>
      </c>
      <c r="O325" s="26"/>
      <c r="P325" s="31" t="s">
        <v>19</v>
      </c>
    </row>
    <row r="326" spans="1:16" x14ac:dyDescent="0.25">
      <c r="A326" s="26">
        <v>325</v>
      </c>
      <c r="B326" s="27">
        <v>5331</v>
      </c>
      <c r="C326" s="26" t="s">
        <v>529</v>
      </c>
      <c r="D326" s="28">
        <v>1410</v>
      </c>
      <c r="E326" s="26" t="s">
        <v>18</v>
      </c>
      <c r="F326" s="26"/>
      <c r="G326" s="29">
        <v>12.8</v>
      </c>
      <c r="H326" s="26">
        <v>86</v>
      </c>
      <c r="I326" s="26">
        <v>80</v>
      </c>
      <c r="J326" s="26">
        <f t="shared" si="15"/>
        <v>83</v>
      </c>
      <c r="K326" s="26"/>
      <c r="L326" s="26"/>
      <c r="M326" s="29">
        <f t="shared" si="16"/>
        <v>12.8</v>
      </c>
      <c r="N326" s="30">
        <f t="shared" si="17"/>
        <v>6.9255943680000014</v>
      </c>
      <c r="O326" s="26"/>
      <c r="P326" s="31" t="s">
        <v>30</v>
      </c>
    </row>
    <row r="327" spans="1:16" x14ac:dyDescent="0.25">
      <c r="A327" s="26">
        <v>326</v>
      </c>
      <c r="B327" s="27">
        <v>5332</v>
      </c>
      <c r="C327" s="26" t="s">
        <v>530</v>
      </c>
      <c r="D327" s="28" t="s">
        <v>531</v>
      </c>
      <c r="E327" s="26" t="s">
        <v>18</v>
      </c>
      <c r="F327" s="26"/>
      <c r="G327" s="29">
        <v>15</v>
      </c>
      <c r="H327" s="26">
        <v>82</v>
      </c>
      <c r="I327" s="26">
        <v>67</v>
      </c>
      <c r="J327" s="26">
        <f t="shared" si="15"/>
        <v>74</v>
      </c>
      <c r="K327" s="26"/>
      <c r="L327" s="26"/>
      <c r="M327" s="29">
        <f t="shared" si="16"/>
        <v>15</v>
      </c>
      <c r="N327" s="30">
        <f t="shared" si="17"/>
        <v>6.4512755999999998</v>
      </c>
      <c r="O327" s="26"/>
      <c r="P327" s="31" t="s">
        <v>19</v>
      </c>
    </row>
    <row r="328" spans="1:16" x14ac:dyDescent="0.25">
      <c r="A328" s="26">
        <v>327</v>
      </c>
      <c r="B328" s="27">
        <v>5333</v>
      </c>
      <c r="C328" s="26" t="s">
        <v>532</v>
      </c>
      <c r="D328" s="28" t="s">
        <v>533</v>
      </c>
      <c r="E328" s="26" t="s">
        <v>18</v>
      </c>
      <c r="F328" s="26"/>
      <c r="G328" s="29">
        <v>11.8</v>
      </c>
      <c r="H328" s="26">
        <v>104</v>
      </c>
      <c r="I328" s="26">
        <v>92</v>
      </c>
      <c r="J328" s="26">
        <f t="shared" si="15"/>
        <v>98</v>
      </c>
      <c r="K328" s="26"/>
      <c r="L328" s="26"/>
      <c r="M328" s="29">
        <f t="shared" si="16"/>
        <v>11.8</v>
      </c>
      <c r="N328" s="30">
        <f t="shared" si="17"/>
        <v>8.9007182880000002</v>
      </c>
      <c r="O328" s="26"/>
      <c r="P328" s="31" t="s">
        <v>19</v>
      </c>
    </row>
    <row r="329" spans="1:16" x14ac:dyDescent="0.25">
      <c r="A329" s="26">
        <v>328</v>
      </c>
      <c r="B329" s="27">
        <v>5334</v>
      </c>
      <c r="C329" s="26" t="s">
        <v>534</v>
      </c>
      <c r="D329" s="28" t="s">
        <v>535</v>
      </c>
      <c r="E329" s="26" t="s">
        <v>18</v>
      </c>
      <c r="F329" s="26"/>
      <c r="G329" s="29">
        <v>5</v>
      </c>
      <c r="H329" s="26">
        <v>80</v>
      </c>
      <c r="I329" s="26">
        <v>76</v>
      </c>
      <c r="J329" s="26">
        <f t="shared" si="15"/>
        <v>78</v>
      </c>
      <c r="K329" s="26"/>
      <c r="L329" s="26"/>
      <c r="M329" s="29">
        <f t="shared" si="16"/>
        <v>5</v>
      </c>
      <c r="N329" s="30">
        <f t="shared" si="17"/>
        <v>2.3891868000000001</v>
      </c>
      <c r="O329" s="26"/>
      <c r="P329" s="31" t="s">
        <v>30</v>
      </c>
    </row>
    <row r="330" spans="1:16" x14ac:dyDescent="0.25">
      <c r="A330" s="26">
        <v>329</v>
      </c>
      <c r="B330" s="27">
        <v>5328</v>
      </c>
      <c r="C330" s="26" t="s">
        <v>536</v>
      </c>
      <c r="D330" s="28" t="s">
        <v>537</v>
      </c>
      <c r="E330" s="26" t="s">
        <v>18</v>
      </c>
      <c r="F330" s="26"/>
      <c r="G330" s="29">
        <v>10.5</v>
      </c>
      <c r="H330" s="26">
        <v>107</v>
      </c>
      <c r="I330" s="26">
        <v>92</v>
      </c>
      <c r="J330" s="26">
        <f t="shared" si="15"/>
        <v>99</v>
      </c>
      <c r="K330" s="26"/>
      <c r="L330" s="26"/>
      <c r="M330" s="29">
        <f t="shared" si="16"/>
        <v>10.5</v>
      </c>
      <c r="N330" s="30">
        <f t="shared" si="17"/>
        <v>8.0825906700000001</v>
      </c>
      <c r="O330" s="26"/>
      <c r="P330" s="31" t="s">
        <v>19</v>
      </c>
    </row>
    <row r="331" spans="1:16" x14ac:dyDescent="0.25">
      <c r="A331" s="26">
        <v>330</v>
      </c>
      <c r="B331" s="27">
        <v>5329</v>
      </c>
      <c r="C331" s="26" t="s">
        <v>538</v>
      </c>
      <c r="D331" s="28" t="s">
        <v>539</v>
      </c>
      <c r="E331" s="26" t="s">
        <v>18</v>
      </c>
      <c r="F331" s="26"/>
      <c r="G331" s="29">
        <v>12</v>
      </c>
      <c r="H331" s="26">
        <v>111</v>
      </c>
      <c r="I331" s="26">
        <v>106</v>
      </c>
      <c r="J331" s="26">
        <f t="shared" si="15"/>
        <v>108</v>
      </c>
      <c r="K331" s="26"/>
      <c r="L331" s="26"/>
      <c r="M331" s="29">
        <f t="shared" si="16"/>
        <v>12</v>
      </c>
      <c r="N331" s="30">
        <f t="shared" si="17"/>
        <v>10.993086719999999</v>
      </c>
      <c r="O331" s="26"/>
      <c r="P331" s="31" t="s">
        <v>19</v>
      </c>
    </row>
    <row r="332" spans="1:16" x14ac:dyDescent="0.25">
      <c r="A332" s="26">
        <v>331</v>
      </c>
      <c r="B332" s="27">
        <v>5330</v>
      </c>
      <c r="C332" s="26" t="s">
        <v>540</v>
      </c>
      <c r="D332" s="28" t="s">
        <v>541</v>
      </c>
      <c r="E332" s="26" t="s">
        <v>18</v>
      </c>
      <c r="F332" s="26"/>
      <c r="G332" s="29">
        <v>11.4</v>
      </c>
      <c r="H332" s="26">
        <v>102</v>
      </c>
      <c r="I332" s="26">
        <v>76</v>
      </c>
      <c r="J332" s="26">
        <f t="shared" si="15"/>
        <v>89</v>
      </c>
      <c r="K332" s="26"/>
      <c r="L332" s="26"/>
      <c r="M332" s="29">
        <f t="shared" si="16"/>
        <v>11.4</v>
      </c>
      <c r="N332" s="30">
        <f t="shared" si="17"/>
        <v>7.092114876000001</v>
      </c>
      <c r="O332" s="26"/>
      <c r="P332" s="31" t="s">
        <v>19</v>
      </c>
    </row>
    <row r="333" spans="1:16" x14ac:dyDescent="0.25">
      <c r="A333" s="26">
        <v>332</v>
      </c>
      <c r="B333" s="27">
        <v>5327</v>
      </c>
      <c r="C333" s="26" t="s">
        <v>542</v>
      </c>
      <c r="D333" s="28" t="s">
        <v>543</v>
      </c>
      <c r="E333" s="26" t="s">
        <v>18</v>
      </c>
      <c r="F333" s="26"/>
      <c r="G333" s="29">
        <v>12</v>
      </c>
      <c r="H333" s="26">
        <v>92</v>
      </c>
      <c r="I333" s="26">
        <v>68</v>
      </c>
      <c r="J333" s="26">
        <f t="shared" si="15"/>
        <v>80</v>
      </c>
      <c r="K333" s="26"/>
      <c r="L333" s="26"/>
      <c r="M333" s="29">
        <f t="shared" si="16"/>
        <v>12</v>
      </c>
      <c r="N333" s="30">
        <f t="shared" si="17"/>
        <v>6.0318719999999999</v>
      </c>
      <c r="O333" s="26"/>
      <c r="P333" s="31" t="s">
        <v>19</v>
      </c>
    </row>
    <row r="334" spans="1:16" x14ac:dyDescent="0.25">
      <c r="A334" s="26">
        <v>333</v>
      </c>
      <c r="B334" s="27">
        <v>5335</v>
      </c>
      <c r="C334" s="26" t="s">
        <v>544</v>
      </c>
      <c r="D334" s="28" t="s">
        <v>545</v>
      </c>
      <c r="E334" s="26" t="s">
        <v>18</v>
      </c>
      <c r="F334" s="26"/>
      <c r="G334" s="29">
        <v>12.4</v>
      </c>
      <c r="H334" s="26">
        <v>111</v>
      </c>
      <c r="I334" s="26">
        <v>107</v>
      </c>
      <c r="J334" s="26">
        <f t="shared" si="15"/>
        <v>109</v>
      </c>
      <c r="K334" s="26">
        <v>1</v>
      </c>
      <c r="L334" s="26"/>
      <c r="M334" s="29">
        <f t="shared" si="16"/>
        <v>11.4</v>
      </c>
      <c r="N334" s="30">
        <f t="shared" si="17"/>
        <v>10.637724636</v>
      </c>
      <c r="O334" s="26" t="s">
        <v>157</v>
      </c>
      <c r="P334" s="31" t="s">
        <v>19</v>
      </c>
    </row>
    <row r="335" spans="1:16" x14ac:dyDescent="0.25">
      <c r="A335" s="26">
        <v>334</v>
      </c>
      <c r="B335" s="27">
        <v>5341</v>
      </c>
      <c r="C335" s="26" t="s">
        <v>546</v>
      </c>
      <c r="D335" s="28">
        <v>1414</v>
      </c>
      <c r="E335" s="26" t="s">
        <v>18</v>
      </c>
      <c r="F335" s="26"/>
      <c r="G335" s="29">
        <v>11.1</v>
      </c>
      <c r="H335" s="26">
        <v>96</v>
      </c>
      <c r="I335" s="26">
        <v>80</v>
      </c>
      <c r="J335" s="26">
        <f t="shared" si="15"/>
        <v>88</v>
      </c>
      <c r="K335" s="26"/>
      <c r="L335" s="26"/>
      <c r="M335" s="29">
        <f t="shared" si="16"/>
        <v>11.1</v>
      </c>
      <c r="N335" s="30">
        <f t="shared" si="17"/>
        <v>6.7511727359999991</v>
      </c>
      <c r="O335" s="26"/>
      <c r="P335" s="31" t="s">
        <v>19</v>
      </c>
    </row>
    <row r="336" spans="1:16" x14ac:dyDescent="0.25">
      <c r="A336" s="26">
        <v>335</v>
      </c>
      <c r="B336" s="27">
        <v>5342</v>
      </c>
      <c r="C336" s="26" t="s">
        <v>547</v>
      </c>
      <c r="D336" s="28">
        <v>1415</v>
      </c>
      <c r="E336" s="26" t="s">
        <v>18</v>
      </c>
      <c r="F336" s="26"/>
      <c r="G336" s="29">
        <v>11.1</v>
      </c>
      <c r="H336" s="26">
        <v>79</v>
      </c>
      <c r="I336" s="26">
        <v>71</v>
      </c>
      <c r="J336" s="26">
        <f t="shared" si="15"/>
        <v>75</v>
      </c>
      <c r="K336" s="26"/>
      <c r="L336" s="26"/>
      <c r="M336" s="29">
        <f t="shared" si="16"/>
        <v>11.1</v>
      </c>
      <c r="N336" s="30">
        <f t="shared" si="17"/>
        <v>4.9038412500000002</v>
      </c>
      <c r="O336" s="26"/>
      <c r="P336" s="31" t="s">
        <v>19</v>
      </c>
    </row>
    <row r="337" spans="1:16" x14ac:dyDescent="0.25">
      <c r="A337" s="26">
        <v>336</v>
      </c>
      <c r="B337" s="27">
        <v>5351</v>
      </c>
      <c r="C337" s="26" t="s">
        <v>548</v>
      </c>
      <c r="D337" s="28" t="s">
        <v>549</v>
      </c>
      <c r="E337" s="26" t="s">
        <v>18</v>
      </c>
      <c r="F337" s="26"/>
      <c r="G337" s="29">
        <v>4.9000000000000004</v>
      </c>
      <c r="H337" s="26">
        <v>79</v>
      </c>
      <c r="I337" s="26">
        <v>76</v>
      </c>
      <c r="J337" s="26">
        <f t="shared" si="15"/>
        <v>77</v>
      </c>
      <c r="K337" s="26"/>
      <c r="L337" s="26"/>
      <c r="M337" s="29">
        <f t="shared" si="16"/>
        <v>4.9000000000000004</v>
      </c>
      <c r="N337" s="30">
        <f t="shared" si="17"/>
        <v>2.2817519340000003</v>
      </c>
      <c r="O337" s="26"/>
      <c r="P337" s="31" t="s">
        <v>19</v>
      </c>
    </row>
    <row r="338" spans="1:16" x14ac:dyDescent="0.25">
      <c r="A338" s="26">
        <v>337</v>
      </c>
      <c r="B338" s="27">
        <v>5352</v>
      </c>
      <c r="C338" s="26" t="s">
        <v>550</v>
      </c>
      <c r="D338" s="28" t="s">
        <v>551</v>
      </c>
      <c r="E338" s="26" t="s">
        <v>18</v>
      </c>
      <c r="F338" s="26"/>
      <c r="G338" s="29">
        <v>9.8000000000000007</v>
      </c>
      <c r="H338" s="26">
        <v>120</v>
      </c>
      <c r="I338" s="26">
        <v>111</v>
      </c>
      <c r="J338" s="26">
        <f t="shared" si="15"/>
        <v>115</v>
      </c>
      <c r="K338" s="26"/>
      <c r="L338" s="26"/>
      <c r="M338" s="29">
        <f t="shared" si="16"/>
        <v>9.8000000000000007</v>
      </c>
      <c r="N338" s="30">
        <f t="shared" si="17"/>
        <v>10.179176700000001</v>
      </c>
      <c r="O338" s="26"/>
      <c r="P338" s="31" t="s">
        <v>30</v>
      </c>
    </row>
    <row r="339" spans="1:16" x14ac:dyDescent="0.25">
      <c r="A339" s="26">
        <v>338</v>
      </c>
      <c r="B339" s="27">
        <v>5353</v>
      </c>
      <c r="C339" s="26" t="s">
        <v>552</v>
      </c>
      <c r="D339" s="28">
        <v>1417</v>
      </c>
      <c r="E339" s="26" t="s">
        <v>18</v>
      </c>
      <c r="F339" s="26"/>
      <c r="G339" s="29">
        <v>4.8</v>
      </c>
      <c r="H339" s="26">
        <v>110</v>
      </c>
      <c r="I339" s="26">
        <v>105</v>
      </c>
      <c r="J339" s="26">
        <f t="shared" si="15"/>
        <v>107</v>
      </c>
      <c r="K339" s="26"/>
      <c r="L339" s="26"/>
      <c r="M339" s="29">
        <f t="shared" si="16"/>
        <v>4.8</v>
      </c>
      <c r="N339" s="30">
        <f t="shared" si="17"/>
        <v>4.3161814079999994</v>
      </c>
      <c r="O339" s="26"/>
      <c r="P339" s="31" t="s">
        <v>19</v>
      </c>
    </row>
    <row r="340" spans="1:16" x14ac:dyDescent="0.25">
      <c r="A340" s="26">
        <v>339</v>
      </c>
      <c r="B340" s="27">
        <v>5354</v>
      </c>
      <c r="C340" s="26" t="s">
        <v>553</v>
      </c>
      <c r="D340" s="28">
        <v>1418</v>
      </c>
      <c r="E340" s="26" t="s">
        <v>18</v>
      </c>
      <c r="F340" s="26"/>
      <c r="G340" s="29">
        <v>10</v>
      </c>
      <c r="H340" s="26">
        <v>111</v>
      </c>
      <c r="I340" s="26">
        <v>97</v>
      </c>
      <c r="J340" s="26">
        <f t="shared" si="15"/>
        <v>104</v>
      </c>
      <c r="K340" s="26"/>
      <c r="L340" s="26"/>
      <c r="M340" s="29">
        <f t="shared" si="16"/>
        <v>10</v>
      </c>
      <c r="N340" s="30">
        <f t="shared" si="17"/>
        <v>8.4948864000000004</v>
      </c>
      <c r="O340" s="26"/>
      <c r="P340" s="31" t="s">
        <v>19</v>
      </c>
    </row>
    <row r="341" spans="1:16" x14ac:dyDescent="0.25">
      <c r="A341" s="26">
        <v>340</v>
      </c>
      <c r="B341" s="27">
        <v>5343</v>
      </c>
      <c r="C341" s="26" t="s">
        <v>554</v>
      </c>
      <c r="D341" s="28" t="s">
        <v>555</v>
      </c>
      <c r="E341" s="26" t="s">
        <v>18</v>
      </c>
      <c r="F341" s="26"/>
      <c r="G341" s="29">
        <v>10</v>
      </c>
      <c r="H341" s="26">
        <v>132</v>
      </c>
      <c r="I341" s="26">
        <v>125</v>
      </c>
      <c r="J341" s="26">
        <f t="shared" si="15"/>
        <v>128</v>
      </c>
      <c r="K341" s="26">
        <v>0.5</v>
      </c>
      <c r="L341" s="26"/>
      <c r="M341" s="29">
        <f t="shared" si="16"/>
        <v>9.5</v>
      </c>
      <c r="N341" s="30">
        <f t="shared" si="17"/>
        <v>12.22459392</v>
      </c>
      <c r="O341" s="26"/>
      <c r="P341" s="31" t="s">
        <v>30</v>
      </c>
    </row>
    <row r="342" spans="1:16" x14ac:dyDescent="0.25">
      <c r="A342" s="26">
        <v>341</v>
      </c>
      <c r="B342" s="27">
        <v>5344</v>
      </c>
      <c r="C342" s="26" t="s">
        <v>556</v>
      </c>
      <c r="D342" s="28" t="s">
        <v>557</v>
      </c>
      <c r="E342" s="26" t="s">
        <v>18</v>
      </c>
      <c r="F342" s="26"/>
      <c r="G342" s="29">
        <v>5.4</v>
      </c>
      <c r="H342" s="26">
        <v>125</v>
      </c>
      <c r="I342" s="26">
        <v>120</v>
      </c>
      <c r="J342" s="26">
        <f t="shared" si="15"/>
        <v>122</v>
      </c>
      <c r="K342" s="26">
        <v>0.5</v>
      </c>
      <c r="L342" s="26"/>
      <c r="M342" s="29">
        <f t="shared" si="16"/>
        <v>4.9000000000000004</v>
      </c>
      <c r="N342" s="30">
        <f t="shared" si="17"/>
        <v>5.7280478640000005</v>
      </c>
      <c r="O342" s="26"/>
      <c r="P342" s="31" t="s">
        <v>19</v>
      </c>
    </row>
    <row r="343" spans="1:16" x14ac:dyDescent="0.25">
      <c r="A343" s="26">
        <v>342</v>
      </c>
      <c r="B343" s="27">
        <v>5345</v>
      </c>
      <c r="C343" s="26" t="s">
        <v>558</v>
      </c>
      <c r="D343" s="28" t="s">
        <v>559</v>
      </c>
      <c r="E343" s="26" t="s">
        <v>18</v>
      </c>
      <c r="F343" s="26"/>
      <c r="G343" s="29">
        <v>11</v>
      </c>
      <c r="H343" s="26">
        <v>83</v>
      </c>
      <c r="I343" s="26">
        <v>78</v>
      </c>
      <c r="J343" s="26">
        <f t="shared" si="15"/>
        <v>80</v>
      </c>
      <c r="K343" s="26"/>
      <c r="L343" s="26"/>
      <c r="M343" s="29">
        <f t="shared" si="16"/>
        <v>11</v>
      </c>
      <c r="N343" s="30">
        <f t="shared" si="17"/>
        <v>5.5292159999999999</v>
      </c>
      <c r="O343" s="26"/>
      <c r="P343" s="31" t="s">
        <v>19</v>
      </c>
    </row>
    <row r="344" spans="1:16" x14ac:dyDescent="0.25">
      <c r="A344" s="26">
        <v>343</v>
      </c>
      <c r="B344" s="27">
        <v>5346</v>
      </c>
      <c r="C344" s="26" t="s">
        <v>560</v>
      </c>
      <c r="D344" s="28" t="s">
        <v>561</v>
      </c>
      <c r="E344" s="26" t="s">
        <v>18</v>
      </c>
      <c r="F344" s="26"/>
      <c r="G344" s="29">
        <v>11</v>
      </c>
      <c r="H344" s="26">
        <v>106</v>
      </c>
      <c r="I344" s="26">
        <v>85</v>
      </c>
      <c r="J344" s="26">
        <f t="shared" si="15"/>
        <v>95</v>
      </c>
      <c r="K344" s="26"/>
      <c r="L344" s="26"/>
      <c r="M344" s="29">
        <f t="shared" si="16"/>
        <v>11</v>
      </c>
      <c r="N344" s="30">
        <f t="shared" si="17"/>
        <v>7.7970584999999994</v>
      </c>
      <c r="O344" s="26"/>
      <c r="P344" s="31" t="s">
        <v>30</v>
      </c>
    </row>
    <row r="345" spans="1:16" x14ac:dyDescent="0.25">
      <c r="A345" s="26">
        <v>344</v>
      </c>
      <c r="B345" s="27">
        <v>5347</v>
      </c>
      <c r="C345" s="26" t="s">
        <v>562</v>
      </c>
      <c r="D345" s="28" t="s">
        <v>563</v>
      </c>
      <c r="E345" s="26" t="s">
        <v>18</v>
      </c>
      <c r="F345" s="26"/>
      <c r="G345" s="29">
        <v>4.7</v>
      </c>
      <c r="H345" s="26">
        <v>98</v>
      </c>
      <c r="I345" s="26">
        <v>93</v>
      </c>
      <c r="J345" s="26">
        <f t="shared" si="15"/>
        <v>95</v>
      </c>
      <c r="K345" s="26"/>
      <c r="L345" s="26"/>
      <c r="M345" s="29">
        <f t="shared" si="16"/>
        <v>4.7</v>
      </c>
      <c r="N345" s="30">
        <f t="shared" si="17"/>
        <v>3.3314704499999999</v>
      </c>
      <c r="O345" s="26"/>
      <c r="P345" s="31" t="s">
        <v>19</v>
      </c>
    </row>
    <row r="346" spans="1:16" x14ac:dyDescent="0.25">
      <c r="A346" s="26">
        <v>345</v>
      </c>
      <c r="B346" s="27">
        <v>5348</v>
      </c>
      <c r="C346" s="26" t="s">
        <v>564</v>
      </c>
      <c r="D346" s="28">
        <v>1421</v>
      </c>
      <c r="E346" s="26" t="s">
        <v>18</v>
      </c>
      <c r="F346" s="26"/>
      <c r="G346" s="29">
        <v>8.1999999999999993</v>
      </c>
      <c r="H346" s="26">
        <v>87</v>
      </c>
      <c r="I346" s="26">
        <v>81</v>
      </c>
      <c r="J346" s="26">
        <f t="shared" si="15"/>
        <v>84</v>
      </c>
      <c r="K346" s="26"/>
      <c r="L346" s="26"/>
      <c r="M346" s="29">
        <f t="shared" si="16"/>
        <v>8.1999999999999993</v>
      </c>
      <c r="N346" s="30">
        <f t="shared" si="17"/>
        <v>4.5442615679999996</v>
      </c>
      <c r="O346" s="26"/>
      <c r="P346" s="31" t="s">
        <v>19</v>
      </c>
    </row>
    <row r="347" spans="1:16" x14ac:dyDescent="0.25">
      <c r="A347" s="26">
        <v>346</v>
      </c>
      <c r="B347" s="27">
        <v>5349</v>
      </c>
      <c r="C347" s="26" t="s">
        <v>565</v>
      </c>
      <c r="D347" s="28" t="s">
        <v>566</v>
      </c>
      <c r="E347" s="26" t="s">
        <v>18</v>
      </c>
      <c r="F347" s="26"/>
      <c r="G347" s="29">
        <v>11.2</v>
      </c>
      <c r="H347" s="26">
        <v>88</v>
      </c>
      <c r="I347" s="26">
        <v>78</v>
      </c>
      <c r="J347" s="26">
        <f t="shared" si="15"/>
        <v>83</v>
      </c>
      <c r="K347" s="26"/>
      <c r="L347" s="26"/>
      <c r="M347" s="29">
        <f t="shared" si="16"/>
        <v>11.2</v>
      </c>
      <c r="N347" s="30">
        <f t="shared" si="17"/>
        <v>6.0598950719999998</v>
      </c>
      <c r="O347" s="26"/>
      <c r="P347" s="31" t="s">
        <v>19</v>
      </c>
    </row>
    <row r="348" spans="1:16" x14ac:dyDescent="0.25">
      <c r="A348" s="26">
        <v>347</v>
      </c>
      <c r="B348" s="27">
        <v>5350</v>
      </c>
      <c r="C348" s="26" t="s">
        <v>567</v>
      </c>
      <c r="D348" s="28" t="s">
        <v>568</v>
      </c>
      <c r="E348" s="26" t="s">
        <v>18</v>
      </c>
      <c r="F348" s="26"/>
      <c r="G348" s="29">
        <v>5.8</v>
      </c>
      <c r="H348" s="26">
        <v>78</v>
      </c>
      <c r="I348" s="26">
        <v>71</v>
      </c>
      <c r="J348" s="26">
        <f t="shared" si="15"/>
        <v>74</v>
      </c>
      <c r="K348" s="26"/>
      <c r="L348" s="26"/>
      <c r="M348" s="29">
        <f t="shared" si="16"/>
        <v>5.8</v>
      </c>
      <c r="N348" s="30">
        <f t="shared" si="17"/>
        <v>2.4944932319999999</v>
      </c>
      <c r="O348" s="26"/>
      <c r="P348" s="31" t="s">
        <v>19</v>
      </c>
    </row>
    <row r="349" spans="1:16" x14ac:dyDescent="0.25">
      <c r="A349" s="26">
        <v>348</v>
      </c>
      <c r="B349" s="27">
        <v>5376</v>
      </c>
      <c r="C349" s="26" t="s">
        <v>569</v>
      </c>
      <c r="D349" s="28" t="s">
        <v>570</v>
      </c>
      <c r="E349" s="26" t="s">
        <v>18</v>
      </c>
      <c r="F349" s="26"/>
      <c r="G349" s="29">
        <v>10.1</v>
      </c>
      <c r="H349" s="26">
        <v>89</v>
      </c>
      <c r="I349" s="26">
        <v>87</v>
      </c>
      <c r="J349" s="26">
        <f t="shared" si="15"/>
        <v>88</v>
      </c>
      <c r="K349" s="26"/>
      <c r="L349" s="26"/>
      <c r="M349" s="29">
        <f t="shared" si="16"/>
        <v>10.1</v>
      </c>
      <c r="N349" s="30">
        <f t="shared" si="17"/>
        <v>6.1429589759999992</v>
      </c>
      <c r="O349" s="26"/>
      <c r="P349" s="31" t="s">
        <v>19</v>
      </c>
    </row>
    <row r="350" spans="1:16" x14ac:dyDescent="0.25">
      <c r="A350" s="26">
        <v>349</v>
      </c>
      <c r="B350" s="27">
        <v>5377</v>
      </c>
      <c r="C350" s="26" t="s">
        <v>571</v>
      </c>
      <c r="D350" s="28">
        <v>1423</v>
      </c>
      <c r="E350" s="26" t="s">
        <v>18</v>
      </c>
      <c r="F350" s="26"/>
      <c r="G350" s="29">
        <v>9</v>
      </c>
      <c r="H350" s="26">
        <v>87</v>
      </c>
      <c r="I350" s="26">
        <v>86</v>
      </c>
      <c r="J350" s="26">
        <f t="shared" si="15"/>
        <v>86</v>
      </c>
      <c r="K350" s="26"/>
      <c r="L350" s="26"/>
      <c r="M350" s="29">
        <f t="shared" si="16"/>
        <v>9</v>
      </c>
      <c r="N350" s="30">
        <f t="shared" si="17"/>
        <v>5.2279365599999998</v>
      </c>
      <c r="O350" s="26"/>
      <c r="P350" s="31" t="s">
        <v>19</v>
      </c>
    </row>
    <row r="351" spans="1:16" x14ac:dyDescent="0.25">
      <c r="A351" s="26">
        <v>350</v>
      </c>
      <c r="B351" s="27">
        <v>5378</v>
      </c>
      <c r="C351" s="26" t="s">
        <v>572</v>
      </c>
      <c r="D351" s="28">
        <v>1424</v>
      </c>
      <c r="E351" s="26" t="s">
        <v>18</v>
      </c>
      <c r="F351" s="26"/>
      <c r="G351" s="29">
        <v>9.6999999999999993</v>
      </c>
      <c r="H351" s="26">
        <v>93</v>
      </c>
      <c r="I351" s="26">
        <v>81</v>
      </c>
      <c r="J351" s="26">
        <f t="shared" si="15"/>
        <v>87</v>
      </c>
      <c r="K351" s="26"/>
      <c r="L351" s="26"/>
      <c r="M351" s="29">
        <f t="shared" si="16"/>
        <v>9.6999999999999993</v>
      </c>
      <c r="N351" s="30">
        <f t="shared" si="17"/>
        <v>5.766351821999999</v>
      </c>
      <c r="O351" s="26"/>
      <c r="P351" s="31" t="s">
        <v>19</v>
      </c>
    </row>
    <row r="352" spans="1:16" x14ac:dyDescent="0.25">
      <c r="A352" s="26">
        <v>351</v>
      </c>
      <c r="B352" s="27">
        <v>5379</v>
      </c>
      <c r="C352" s="26" t="s">
        <v>573</v>
      </c>
      <c r="D352" s="28" t="s">
        <v>574</v>
      </c>
      <c r="E352" s="26" t="s">
        <v>18</v>
      </c>
      <c r="F352" s="26"/>
      <c r="G352" s="29">
        <v>12</v>
      </c>
      <c r="H352" s="26">
        <v>84</v>
      </c>
      <c r="I352" s="26">
        <v>74</v>
      </c>
      <c r="J352" s="26">
        <f t="shared" si="15"/>
        <v>79</v>
      </c>
      <c r="K352" s="26"/>
      <c r="L352" s="26"/>
      <c r="M352" s="29">
        <f t="shared" si="16"/>
        <v>12</v>
      </c>
      <c r="N352" s="30">
        <f t="shared" si="17"/>
        <v>5.8820176799999997</v>
      </c>
      <c r="O352" s="26"/>
      <c r="P352" s="31" t="s">
        <v>19</v>
      </c>
    </row>
    <row r="353" spans="1:16" x14ac:dyDescent="0.25">
      <c r="A353" s="26">
        <v>352</v>
      </c>
      <c r="B353" s="27">
        <v>5355</v>
      </c>
      <c r="C353" s="26" t="s">
        <v>575</v>
      </c>
      <c r="D353" s="28" t="s">
        <v>576</v>
      </c>
      <c r="E353" s="26" t="s">
        <v>18</v>
      </c>
      <c r="F353" s="26"/>
      <c r="G353" s="29">
        <v>10.5</v>
      </c>
      <c r="H353" s="26">
        <v>93</v>
      </c>
      <c r="I353" s="26">
        <v>82</v>
      </c>
      <c r="J353" s="26">
        <f t="shared" si="15"/>
        <v>87</v>
      </c>
      <c r="K353" s="26"/>
      <c r="L353" s="26"/>
      <c r="M353" s="29">
        <f t="shared" si="16"/>
        <v>10.5</v>
      </c>
      <c r="N353" s="30">
        <f t="shared" si="17"/>
        <v>6.2419272299999999</v>
      </c>
      <c r="O353" s="26"/>
      <c r="P353" s="31" t="s">
        <v>30</v>
      </c>
    </row>
    <row r="354" spans="1:16" x14ac:dyDescent="0.25">
      <c r="A354" s="26">
        <v>353</v>
      </c>
      <c r="B354" s="27">
        <v>5356</v>
      </c>
      <c r="C354" s="26" t="s">
        <v>577</v>
      </c>
      <c r="D354" s="28">
        <v>4630</v>
      </c>
      <c r="E354" s="26" t="s">
        <v>18</v>
      </c>
      <c r="F354" s="26"/>
      <c r="G354" s="29">
        <v>13.3</v>
      </c>
      <c r="H354" s="26">
        <v>81</v>
      </c>
      <c r="I354" s="26">
        <v>78</v>
      </c>
      <c r="J354" s="26">
        <f t="shared" si="15"/>
        <v>79</v>
      </c>
      <c r="K354" s="26"/>
      <c r="L354" s="26"/>
      <c r="M354" s="29">
        <f t="shared" si="16"/>
        <v>13.3</v>
      </c>
      <c r="N354" s="30">
        <f t="shared" si="17"/>
        <v>6.5192362619999997</v>
      </c>
      <c r="O354" s="26"/>
      <c r="P354" s="31" t="s">
        <v>19</v>
      </c>
    </row>
    <row r="355" spans="1:16" x14ac:dyDescent="0.25">
      <c r="A355" s="26">
        <v>354</v>
      </c>
      <c r="B355" s="27">
        <v>5357</v>
      </c>
      <c r="C355" s="26" t="s">
        <v>578</v>
      </c>
      <c r="D355" s="28" t="s">
        <v>568</v>
      </c>
      <c r="E355" s="26" t="s">
        <v>18</v>
      </c>
      <c r="F355" s="26"/>
      <c r="G355" s="29">
        <v>13.5</v>
      </c>
      <c r="H355" s="26">
        <v>79</v>
      </c>
      <c r="I355" s="26">
        <v>69</v>
      </c>
      <c r="J355" s="26">
        <f t="shared" si="15"/>
        <v>74</v>
      </c>
      <c r="K355" s="26">
        <v>0.5</v>
      </c>
      <c r="L355" s="26"/>
      <c r="M355" s="29">
        <f t="shared" si="16"/>
        <v>13</v>
      </c>
      <c r="N355" s="30">
        <f t="shared" si="17"/>
        <v>5.5911055200000002</v>
      </c>
      <c r="O355" s="26" t="s">
        <v>21</v>
      </c>
      <c r="P355" s="31" t="s">
        <v>19</v>
      </c>
    </row>
    <row r="356" spans="1:16" x14ac:dyDescent="0.25">
      <c r="A356" s="26">
        <v>355</v>
      </c>
      <c r="B356" s="27">
        <v>5358</v>
      </c>
      <c r="C356" s="26" t="s">
        <v>579</v>
      </c>
      <c r="D356" s="28" t="s">
        <v>580</v>
      </c>
      <c r="E356" s="26" t="s">
        <v>18</v>
      </c>
      <c r="F356" s="26"/>
      <c r="G356" s="29">
        <v>13.7</v>
      </c>
      <c r="H356" s="26">
        <v>116</v>
      </c>
      <c r="I356" s="26">
        <v>87</v>
      </c>
      <c r="J356" s="26">
        <f t="shared" si="15"/>
        <v>101</v>
      </c>
      <c r="K356" s="26">
        <v>0.5</v>
      </c>
      <c r="L356" s="26"/>
      <c r="M356" s="29">
        <f t="shared" si="16"/>
        <v>13.2</v>
      </c>
      <c r="N356" s="30">
        <f t="shared" si="17"/>
        <v>10.575662327999998</v>
      </c>
      <c r="O356" s="26" t="s">
        <v>53</v>
      </c>
      <c r="P356" s="31" t="s">
        <v>30</v>
      </c>
    </row>
    <row r="357" spans="1:16" x14ac:dyDescent="0.25">
      <c r="A357" s="26">
        <v>356</v>
      </c>
      <c r="B357" s="27">
        <v>5359</v>
      </c>
      <c r="C357" s="26" t="s">
        <v>581</v>
      </c>
      <c r="D357" s="28" t="s">
        <v>582</v>
      </c>
      <c r="E357" s="26" t="s">
        <v>18</v>
      </c>
      <c r="F357" s="26"/>
      <c r="G357" s="29">
        <v>13.5</v>
      </c>
      <c r="H357" s="26">
        <v>90</v>
      </c>
      <c r="I357" s="26">
        <v>83</v>
      </c>
      <c r="J357" s="26">
        <f t="shared" si="15"/>
        <v>86</v>
      </c>
      <c r="K357" s="26"/>
      <c r="L357" s="26"/>
      <c r="M357" s="29">
        <f t="shared" si="16"/>
        <v>13.5</v>
      </c>
      <c r="N357" s="30">
        <f t="shared" si="17"/>
        <v>7.8419048399999998</v>
      </c>
      <c r="O357" s="26"/>
      <c r="P357" s="31" t="s">
        <v>19</v>
      </c>
    </row>
    <row r="358" spans="1:16" x14ac:dyDescent="0.25">
      <c r="A358" s="26">
        <v>357</v>
      </c>
      <c r="B358" s="27">
        <v>5360</v>
      </c>
      <c r="C358" s="26" t="s">
        <v>583</v>
      </c>
      <c r="D358" s="28">
        <v>1428</v>
      </c>
      <c r="E358" s="26" t="s">
        <v>18</v>
      </c>
      <c r="F358" s="26"/>
      <c r="G358" s="29">
        <v>5.6</v>
      </c>
      <c r="H358" s="26">
        <v>101</v>
      </c>
      <c r="I358" s="26">
        <v>99</v>
      </c>
      <c r="J358" s="26">
        <f t="shared" si="15"/>
        <v>100</v>
      </c>
      <c r="K358" s="26"/>
      <c r="L358" s="26"/>
      <c r="M358" s="29">
        <f t="shared" si="16"/>
        <v>5.6</v>
      </c>
      <c r="N358" s="30">
        <f t="shared" si="17"/>
        <v>4.3982400000000004</v>
      </c>
      <c r="O358" s="26"/>
      <c r="P358" s="31" t="s">
        <v>19</v>
      </c>
    </row>
    <row r="359" spans="1:16" x14ac:dyDescent="0.25">
      <c r="A359" s="26">
        <v>358</v>
      </c>
      <c r="B359" s="27">
        <v>5361</v>
      </c>
      <c r="C359" s="26" t="s">
        <v>584</v>
      </c>
      <c r="D359" s="28">
        <v>1429</v>
      </c>
      <c r="E359" s="26" t="s">
        <v>18</v>
      </c>
      <c r="F359" s="26"/>
      <c r="G359" s="29">
        <v>8.9</v>
      </c>
      <c r="H359" s="26">
        <v>96</v>
      </c>
      <c r="I359" s="26">
        <v>87</v>
      </c>
      <c r="J359" s="26">
        <f t="shared" si="15"/>
        <v>91</v>
      </c>
      <c r="K359" s="26"/>
      <c r="L359" s="26"/>
      <c r="M359" s="29">
        <f t="shared" si="16"/>
        <v>8.9</v>
      </c>
      <c r="N359" s="30">
        <f t="shared" si="17"/>
        <v>5.7884686860000008</v>
      </c>
      <c r="O359" s="26"/>
      <c r="P359" s="31" t="s">
        <v>30</v>
      </c>
    </row>
    <row r="360" spans="1:16" x14ac:dyDescent="0.25">
      <c r="A360" s="26">
        <v>359</v>
      </c>
      <c r="B360" s="27">
        <v>5369</v>
      </c>
      <c r="C360" s="26" t="s">
        <v>585</v>
      </c>
      <c r="D360" s="28">
        <v>1430</v>
      </c>
      <c r="E360" s="26" t="s">
        <v>18</v>
      </c>
      <c r="F360" s="26"/>
      <c r="G360" s="29">
        <v>11</v>
      </c>
      <c r="H360" s="26">
        <v>91</v>
      </c>
      <c r="I360" s="26">
        <v>73</v>
      </c>
      <c r="J360" s="26">
        <f t="shared" si="15"/>
        <v>82</v>
      </c>
      <c r="K360" s="26"/>
      <c r="L360" s="26"/>
      <c r="M360" s="29">
        <f t="shared" si="16"/>
        <v>11</v>
      </c>
      <c r="N360" s="30">
        <f t="shared" si="17"/>
        <v>5.8091325599999992</v>
      </c>
      <c r="O360" s="26"/>
      <c r="P360" s="31" t="s">
        <v>19</v>
      </c>
    </row>
    <row r="361" spans="1:16" x14ac:dyDescent="0.25">
      <c r="A361" s="26">
        <v>360</v>
      </c>
      <c r="B361" s="27">
        <v>5370</v>
      </c>
      <c r="C361" s="26" t="s">
        <v>586</v>
      </c>
      <c r="D361" s="28">
        <v>1431</v>
      </c>
      <c r="E361" s="26" t="s">
        <v>18</v>
      </c>
      <c r="F361" s="26"/>
      <c r="G361" s="29">
        <v>12.5</v>
      </c>
      <c r="H361" s="26">
        <v>80</v>
      </c>
      <c r="I361" s="26">
        <v>68</v>
      </c>
      <c r="J361" s="26">
        <f t="shared" si="15"/>
        <v>74</v>
      </c>
      <c r="K361" s="26"/>
      <c r="L361" s="26"/>
      <c r="M361" s="29">
        <f t="shared" si="16"/>
        <v>12.5</v>
      </c>
      <c r="N361" s="30">
        <f t="shared" si="17"/>
        <v>5.3760629999999994</v>
      </c>
      <c r="O361" s="26"/>
      <c r="P361" s="31" t="s">
        <v>19</v>
      </c>
    </row>
    <row r="362" spans="1:16" x14ac:dyDescent="0.25">
      <c r="A362" s="26">
        <v>361</v>
      </c>
      <c r="B362" s="27">
        <v>5371</v>
      </c>
      <c r="C362" s="26" t="s">
        <v>587</v>
      </c>
      <c r="D362" s="28">
        <v>4635</v>
      </c>
      <c r="E362" s="26" t="s">
        <v>18</v>
      </c>
      <c r="F362" s="26"/>
      <c r="G362" s="29">
        <v>12.1</v>
      </c>
      <c r="H362" s="26">
        <v>86</v>
      </c>
      <c r="I362" s="26">
        <v>74</v>
      </c>
      <c r="J362" s="26">
        <f t="shared" si="15"/>
        <v>80</v>
      </c>
      <c r="K362" s="26"/>
      <c r="L362" s="26"/>
      <c r="M362" s="29">
        <f t="shared" si="16"/>
        <v>12.1</v>
      </c>
      <c r="N362" s="30">
        <f t="shared" si="17"/>
        <v>6.0821375999999994</v>
      </c>
      <c r="O362" s="26"/>
      <c r="P362" s="31" t="s">
        <v>19</v>
      </c>
    </row>
    <row r="363" spans="1:16" x14ac:dyDescent="0.25">
      <c r="A363" s="26">
        <v>362</v>
      </c>
      <c r="B363" s="27">
        <v>5372</v>
      </c>
      <c r="C363" s="26" t="s">
        <v>588</v>
      </c>
      <c r="D363" s="28">
        <v>1434</v>
      </c>
      <c r="E363" s="26" t="s">
        <v>18</v>
      </c>
      <c r="F363" s="26"/>
      <c r="G363" s="29">
        <v>12</v>
      </c>
      <c r="H363" s="26">
        <v>81</v>
      </c>
      <c r="I363" s="26">
        <v>67</v>
      </c>
      <c r="J363" s="26">
        <f t="shared" si="15"/>
        <v>74</v>
      </c>
      <c r="K363" s="26"/>
      <c r="L363" s="26"/>
      <c r="M363" s="29">
        <f t="shared" si="16"/>
        <v>12</v>
      </c>
      <c r="N363" s="30">
        <f t="shared" si="17"/>
        <v>5.1610204800000004</v>
      </c>
      <c r="O363" s="26"/>
      <c r="P363" s="31" t="s">
        <v>19</v>
      </c>
    </row>
    <row r="364" spans="1:16" x14ac:dyDescent="0.25">
      <c r="A364" s="26">
        <v>363</v>
      </c>
      <c r="B364" s="27">
        <v>5373</v>
      </c>
      <c r="C364" s="26" t="s">
        <v>589</v>
      </c>
      <c r="D364" s="28">
        <v>1435</v>
      </c>
      <c r="E364" s="26" t="s">
        <v>18</v>
      </c>
      <c r="F364" s="26"/>
      <c r="G364" s="29">
        <v>12.6</v>
      </c>
      <c r="H364" s="26">
        <v>84</v>
      </c>
      <c r="I364" s="26">
        <v>76</v>
      </c>
      <c r="J364" s="26">
        <f t="shared" si="15"/>
        <v>80</v>
      </c>
      <c r="K364" s="26"/>
      <c r="L364" s="26"/>
      <c r="M364" s="29">
        <f t="shared" si="16"/>
        <v>12.6</v>
      </c>
      <c r="N364" s="30">
        <f t="shared" si="17"/>
        <v>6.3334655999999994</v>
      </c>
      <c r="O364" s="26"/>
      <c r="P364" s="31" t="s">
        <v>19</v>
      </c>
    </row>
    <row r="365" spans="1:16" x14ac:dyDescent="0.25">
      <c r="A365" s="26">
        <v>364</v>
      </c>
      <c r="B365" s="27">
        <v>5374</v>
      </c>
      <c r="C365" s="26" t="s">
        <v>590</v>
      </c>
      <c r="D365" s="28" t="s">
        <v>591</v>
      </c>
      <c r="E365" s="26" t="s">
        <v>18</v>
      </c>
      <c r="F365" s="26"/>
      <c r="G365" s="29">
        <v>10.5</v>
      </c>
      <c r="H365" s="26">
        <v>111</v>
      </c>
      <c r="I365" s="26">
        <v>94</v>
      </c>
      <c r="J365" s="26">
        <f t="shared" si="15"/>
        <v>102</v>
      </c>
      <c r="K365" s="26"/>
      <c r="L365" s="26"/>
      <c r="M365" s="29">
        <f t="shared" si="16"/>
        <v>10.5</v>
      </c>
      <c r="N365" s="30">
        <f t="shared" si="17"/>
        <v>8.5798666799999985</v>
      </c>
      <c r="O365" s="26"/>
      <c r="P365" s="31" t="s">
        <v>19</v>
      </c>
    </row>
    <row r="366" spans="1:16" x14ac:dyDescent="0.25">
      <c r="A366" s="26">
        <v>365</v>
      </c>
      <c r="B366" s="27">
        <v>5375</v>
      </c>
      <c r="C366" s="26" t="s">
        <v>592</v>
      </c>
      <c r="D366" s="28" t="s">
        <v>593</v>
      </c>
      <c r="E366" s="26" t="s">
        <v>18</v>
      </c>
      <c r="F366" s="26"/>
      <c r="G366" s="29">
        <v>11.4</v>
      </c>
      <c r="H366" s="26">
        <v>87</v>
      </c>
      <c r="I366" s="26">
        <v>72</v>
      </c>
      <c r="J366" s="26">
        <f t="shared" si="15"/>
        <v>79</v>
      </c>
      <c r="K366" s="26"/>
      <c r="L366" s="26"/>
      <c r="M366" s="29">
        <f t="shared" si="16"/>
        <v>11.4</v>
      </c>
      <c r="N366" s="30">
        <f t="shared" si="17"/>
        <v>5.5879167960000009</v>
      </c>
      <c r="O366" s="26"/>
      <c r="P366" s="31" t="s">
        <v>19</v>
      </c>
    </row>
    <row r="367" spans="1:16" x14ac:dyDescent="0.25">
      <c r="A367" s="26">
        <v>366</v>
      </c>
      <c r="B367" s="27">
        <v>5362</v>
      </c>
      <c r="C367" s="26" t="s">
        <v>594</v>
      </c>
      <c r="D367" s="28">
        <v>1438</v>
      </c>
      <c r="E367" s="26" t="s">
        <v>18</v>
      </c>
      <c r="F367" s="26"/>
      <c r="G367" s="29">
        <v>15.4</v>
      </c>
      <c r="H367" s="26">
        <v>116</v>
      </c>
      <c r="I367" s="26">
        <v>94</v>
      </c>
      <c r="J367" s="26">
        <f t="shared" si="15"/>
        <v>105</v>
      </c>
      <c r="K367" s="26"/>
      <c r="L367" s="26"/>
      <c r="M367" s="29">
        <f t="shared" si="16"/>
        <v>15.4</v>
      </c>
      <c r="N367" s="30">
        <f t="shared" si="17"/>
        <v>13.3349139</v>
      </c>
      <c r="O367" s="26"/>
      <c r="P367" s="31" t="s">
        <v>19</v>
      </c>
    </row>
    <row r="368" spans="1:16" x14ac:dyDescent="0.25">
      <c r="A368" s="26">
        <v>367</v>
      </c>
      <c r="B368" s="27">
        <v>5363</v>
      </c>
      <c r="C368" s="26" t="s">
        <v>595</v>
      </c>
      <c r="D368" s="28" t="s">
        <v>596</v>
      </c>
      <c r="E368" s="26" t="s">
        <v>18</v>
      </c>
      <c r="F368" s="26"/>
      <c r="G368" s="29">
        <v>11.5</v>
      </c>
      <c r="H368" s="26">
        <v>80</v>
      </c>
      <c r="I368" s="26">
        <v>74</v>
      </c>
      <c r="J368" s="26">
        <f t="shared" si="15"/>
        <v>77</v>
      </c>
      <c r="K368" s="26"/>
      <c r="L368" s="26"/>
      <c r="M368" s="29">
        <f t="shared" si="16"/>
        <v>11.5</v>
      </c>
      <c r="N368" s="30">
        <f t="shared" si="17"/>
        <v>5.3551320899999997</v>
      </c>
      <c r="O368" s="26"/>
      <c r="P368" s="31" t="s">
        <v>30</v>
      </c>
    </row>
    <row r="369" spans="1:16" x14ac:dyDescent="0.25">
      <c r="A369" s="26">
        <v>368</v>
      </c>
      <c r="B369" s="27">
        <v>5364</v>
      </c>
      <c r="C369" s="26" t="s">
        <v>597</v>
      </c>
      <c r="D369" s="28">
        <v>1442</v>
      </c>
      <c r="E369" s="26" t="s">
        <v>18</v>
      </c>
      <c r="F369" s="26"/>
      <c r="G369" s="29">
        <v>11.5</v>
      </c>
      <c r="H369" s="26">
        <v>74</v>
      </c>
      <c r="I369" s="26">
        <v>67</v>
      </c>
      <c r="J369" s="26">
        <f t="shared" si="15"/>
        <v>70</v>
      </c>
      <c r="K369" s="26"/>
      <c r="L369" s="26"/>
      <c r="M369" s="29">
        <f t="shared" si="16"/>
        <v>11.5</v>
      </c>
      <c r="N369" s="30">
        <f t="shared" si="17"/>
        <v>4.4257290000000005</v>
      </c>
      <c r="O369" s="26"/>
      <c r="P369" s="31" t="s">
        <v>19</v>
      </c>
    </row>
    <row r="370" spans="1:16" x14ac:dyDescent="0.25">
      <c r="A370" s="26">
        <v>369</v>
      </c>
      <c r="B370" s="27">
        <v>5365</v>
      </c>
      <c r="C370" s="26" t="s">
        <v>598</v>
      </c>
      <c r="D370" s="28" t="s">
        <v>599</v>
      </c>
      <c r="E370" s="26" t="s">
        <v>18</v>
      </c>
      <c r="F370" s="26"/>
      <c r="G370" s="29">
        <v>13.5</v>
      </c>
      <c r="H370" s="26">
        <v>92</v>
      </c>
      <c r="I370" s="26">
        <v>75</v>
      </c>
      <c r="J370" s="26">
        <f t="shared" si="15"/>
        <v>83</v>
      </c>
      <c r="K370" s="26"/>
      <c r="L370" s="26"/>
      <c r="M370" s="29">
        <f t="shared" si="16"/>
        <v>13.5</v>
      </c>
      <c r="N370" s="30">
        <f t="shared" si="17"/>
        <v>7.3043378099999998</v>
      </c>
      <c r="O370" s="26"/>
      <c r="P370" s="31" t="s">
        <v>19</v>
      </c>
    </row>
    <row r="371" spans="1:16" x14ac:dyDescent="0.25">
      <c r="A371" s="26">
        <v>370</v>
      </c>
      <c r="B371" s="27">
        <v>5366</v>
      </c>
      <c r="C371" s="26" t="s">
        <v>600</v>
      </c>
      <c r="D371" s="28" t="s">
        <v>601</v>
      </c>
      <c r="E371" s="26" t="s">
        <v>18</v>
      </c>
      <c r="F371" s="26"/>
      <c r="G371" s="29">
        <v>12.3</v>
      </c>
      <c r="H371" s="26">
        <v>102</v>
      </c>
      <c r="I371" s="26">
        <v>85</v>
      </c>
      <c r="J371" s="26">
        <f t="shared" si="15"/>
        <v>93</v>
      </c>
      <c r="K371" s="26"/>
      <c r="L371" s="26"/>
      <c r="M371" s="29">
        <f t="shared" si="16"/>
        <v>12.3</v>
      </c>
      <c r="N371" s="30">
        <f t="shared" si="17"/>
        <v>8.3552972580000002</v>
      </c>
      <c r="O371" s="26"/>
      <c r="P371" s="31" t="s">
        <v>30</v>
      </c>
    </row>
    <row r="372" spans="1:16" x14ac:dyDescent="0.25">
      <c r="A372" s="26">
        <v>371</v>
      </c>
      <c r="B372" s="27">
        <v>5367</v>
      </c>
      <c r="C372" s="26" t="s">
        <v>602</v>
      </c>
      <c r="D372" s="28" t="s">
        <v>603</v>
      </c>
      <c r="E372" s="26" t="s">
        <v>18</v>
      </c>
      <c r="F372" s="26"/>
      <c r="G372" s="29">
        <v>11.7</v>
      </c>
      <c r="H372" s="26">
        <v>105</v>
      </c>
      <c r="I372" s="26">
        <v>94</v>
      </c>
      <c r="J372" s="26">
        <f t="shared" si="15"/>
        <v>99</v>
      </c>
      <c r="K372" s="26"/>
      <c r="L372" s="26"/>
      <c r="M372" s="29">
        <f t="shared" si="16"/>
        <v>11.7</v>
      </c>
      <c r="N372" s="30">
        <f t="shared" si="17"/>
        <v>9.0063153179999986</v>
      </c>
      <c r="O372" s="26"/>
      <c r="P372" s="31" t="s">
        <v>19</v>
      </c>
    </row>
    <row r="373" spans="1:16" x14ac:dyDescent="0.25">
      <c r="A373" s="26">
        <v>372</v>
      </c>
      <c r="B373" s="27">
        <v>5368</v>
      </c>
      <c r="C373" s="26" t="s">
        <v>604</v>
      </c>
      <c r="D373" s="28" t="s">
        <v>605</v>
      </c>
      <c r="E373" s="26" t="s">
        <v>18</v>
      </c>
      <c r="F373" s="26"/>
      <c r="G373" s="29">
        <v>11.1</v>
      </c>
      <c r="H373" s="26">
        <v>94</v>
      </c>
      <c r="I373" s="26">
        <v>81</v>
      </c>
      <c r="J373" s="26">
        <f t="shared" si="15"/>
        <v>87</v>
      </c>
      <c r="K373" s="26"/>
      <c r="L373" s="26"/>
      <c r="M373" s="29">
        <f t="shared" si="16"/>
        <v>11.1</v>
      </c>
      <c r="N373" s="30">
        <f t="shared" si="17"/>
        <v>6.5986087859999998</v>
      </c>
      <c r="O373" s="26"/>
      <c r="P373" s="31" t="s">
        <v>19</v>
      </c>
    </row>
    <row r="374" spans="1:16" x14ac:dyDescent="0.25">
      <c r="A374" s="26">
        <v>373</v>
      </c>
      <c r="B374" s="27">
        <v>5380</v>
      </c>
      <c r="C374" s="26" t="s">
        <v>606</v>
      </c>
      <c r="D374" s="28" t="s">
        <v>607</v>
      </c>
      <c r="E374" s="26" t="s">
        <v>18</v>
      </c>
      <c r="F374" s="26"/>
      <c r="G374" s="29">
        <v>10</v>
      </c>
      <c r="H374" s="26">
        <v>92</v>
      </c>
      <c r="I374" s="26">
        <v>79</v>
      </c>
      <c r="J374" s="26">
        <f t="shared" si="15"/>
        <v>85</v>
      </c>
      <c r="K374" s="26"/>
      <c r="L374" s="26"/>
      <c r="M374" s="29">
        <f t="shared" si="16"/>
        <v>10</v>
      </c>
      <c r="N374" s="30">
        <f t="shared" si="17"/>
        <v>5.6745150000000004</v>
      </c>
      <c r="O374" s="26"/>
      <c r="P374" s="31" t="s">
        <v>30</v>
      </c>
    </row>
    <row r="375" spans="1:16" x14ac:dyDescent="0.25">
      <c r="A375" s="26">
        <v>374</v>
      </c>
      <c r="B375" s="27">
        <v>5381</v>
      </c>
      <c r="C375" s="26" t="s">
        <v>608</v>
      </c>
      <c r="D375" s="28" t="s">
        <v>609</v>
      </c>
      <c r="E375" s="26" t="s">
        <v>18</v>
      </c>
      <c r="F375" s="26"/>
      <c r="G375" s="29">
        <v>12.8</v>
      </c>
      <c r="H375" s="26">
        <v>96</v>
      </c>
      <c r="I375" s="26">
        <v>82</v>
      </c>
      <c r="J375" s="26">
        <f t="shared" si="15"/>
        <v>89</v>
      </c>
      <c r="K375" s="26"/>
      <c r="L375" s="26"/>
      <c r="M375" s="29">
        <f t="shared" si="16"/>
        <v>12.8</v>
      </c>
      <c r="N375" s="30">
        <f t="shared" si="17"/>
        <v>7.9630763520000007</v>
      </c>
      <c r="O375" s="26"/>
      <c r="P375" s="31" t="s">
        <v>19</v>
      </c>
    </row>
    <row r="376" spans="1:16" x14ac:dyDescent="0.25">
      <c r="A376" s="26">
        <v>375</v>
      </c>
      <c r="B376" s="27">
        <v>5382</v>
      </c>
      <c r="C376" s="26" t="s">
        <v>610</v>
      </c>
      <c r="D376" s="28">
        <v>1176</v>
      </c>
      <c r="E376" s="26" t="s">
        <v>18</v>
      </c>
      <c r="F376" s="26"/>
      <c r="G376" s="29">
        <v>10.9</v>
      </c>
      <c r="H376" s="26">
        <v>85</v>
      </c>
      <c r="I376" s="26">
        <v>75</v>
      </c>
      <c r="J376" s="26">
        <f t="shared" si="15"/>
        <v>80</v>
      </c>
      <c r="K376" s="26"/>
      <c r="L376" s="26"/>
      <c r="M376" s="29">
        <f t="shared" si="16"/>
        <v>10.9</v>
      </c>
      <c r="N376" s="30">
        <f t="shared" si="17"/>
        <v>5.4789504000000004</v>
      </c>
      <c r="O376" s="26"/>
      <c r="P376" s="31" t="s">
        <v>19</v>
      </c>
    </row>
    <row r="377" spans="1:16" x14ac:dyDescent="0.25">
      <c r="A377" s="26">
        <v>376</v>
      </c>
      <c r="B377" s="27">
        <v>5124</v>
      </c>
      <c r="C377" s="26" t="s">
        <v>611</v>
      </c>
      <c r="D377" s="28" t="s">
        <v>612</v>
      </c>
      <c r="E377" s="26" t="s">
        <v>18</v>
      </c>
      <c r="F377" s="26"/>
      <c r="G377" s="29">
        <v>9</v>
      </c>
      <c r="H377" s="26">
        <v>78</v>
      </c>
      <c r="I377" s="26">
        <v>75</v>
      </c>
      <c r="J377" s="26">
        <f t="shared" si="15"/>
        <v>76</v>
      </c>
      <c r="K377" s="26"/>
      <c r="L377" s="26"/>
      <c r="M377" s="29">
        <f t="shared" si="16"/>
        <v>9</v>
      </c>
      <c r="N377" s="30">
        <f t="shared" si="17"/>
        <v>4.0828233599999999</v>
      </c>
      <c r="O377" s="26"/>
      <c r="P377" s="31" t="s">
        <v>19</v>
      </c>
    </row>
    <row r="378" spans="1:16" x14ac:dyDescent="0.25">
      <c r="A378" s="26">
        <v>377</v>
      </c>
      <c r="B378" s="27">
        <v>5123</v>
      </c>
      <c r="C378" s="26" t="s">
        <v>613</v>
      </c>
      <c r="D378" s="28" t="s">
        <v>614</v>
      </c>
      <c r="E378" s="26" t="s">
        <v>18</v>
      </c>
      <c r="F378" s="26"/>
      <c r="G378" s="29">
        <v>13.7</v>
      </c>
      <c r="H378" s="26">
        <v>87</v>
      </c>
      <c r="I378" s="26">
        <v>67</v>
      </c>
      <c r="J378" s="26">
        <f t="shared" si="15"/>
        <v>77</v>
      </c>
      <c r="K378" s="26"/>
      <c r="L378" s="26"/>
      <c r="M378" s="29">
        <f t="shared" si="16"/>
        <v>13.7</v>
      </c>
      <c r="N378" s="30">
        <f t="shared" si="17"/>
        <v>6.3795921419999999</v>
      </c>
      <c r="O378" s="26"/>
      <c r="P378" s="31" t="s">
        <v>19</v>
      </c>
    </row>
    <row r="379" spans="1:16" x14ac:dyDescent="0.25">
      <c r="A379" s="26">
        <v>378</v>
      </c>
      <c r="B379" s="27">
        <v>5122</v>
      </c>
      <c r="C379" s="26" t="s">
        <v>615</v>
      </c>
      <c r="D379" s="28" t="s">
        <v>616</v>
      </c>
      <c r="E379" s="26" t="s">
        <v>18</v>
      </c>
      <c r="F379" s="26"/>
      <c r="G379" s="29">
        <v>14.3</v>
      </c>
      <c r="H379" s="26">
        <v>81</v>
      </c>
      <c r="I379" s="26">
        <v>70</v>
      </c>
      <c r="J379" s="26">
        <f t="shared" si="15"/>
        <v>75</v>
      </c>
      <c r="K379" s="26"/>
      <c r="L379" s="26"/>
      <c r="M379" s="29">
        <f t="shared" si="16"/>
        <v>14.3</v>
      </c>
      <c r="N379" s="30">
        <f t="shared" si="17"/>
        <v>6.3175612499999998</v>
      </c>
      <c r="O379" s="26"/>
      <c r="P379" s="31" t="s">
        <v>19</v>
      </c>
    </row>
    <row r="380" spans="1:16" x14ac:dyDescent="0.25">
      <c r="A380" s="26">
        <v>379</v>
      </c>
      <c r="B380" s="27">
        <v>5274</v>
      </c>
      <c r="C380" s="26" t="s">
        <v>617</v>
      </c>
      <c r="D380" s="28" t="s">
        <v>618</v>
      </c>
      <c r="E380" s="26" t="s">
        <v>18</v>
      </c>
      <c r="F380" s="26"/>
      <c r="G380" s="29">
        <v>10.9</v>
      </c>
      <c r="H380" s="26">
        <v>76</v>
      </c>
      <c r="I380" s="26">
        <v>68</v>
      </c>
      <c r="J380" s="26">
        <f t="shared" si="15"/>
        <v>72</v>
      </c>
      <c r="K380" s="26"/>
      <c r="L380" s="26"/>
      <c r="M380" s="29">
        <f t="shared" si="16"/>
        <v>10.9</v>
      </c>
      <c r="N380" s="30">
        <f t="shared" si="17"/>
        <v>4.4379498240000004</v>
      </c>
      <c r="O380" s="26"/>
      <c r="P380" s="31" t="s">
        <v>19</v>
      </c>
    </row>
    <row r="381" spans="1:16" x14ac:dyDescent="0.25">
      <c r="A381" s="26">
        <v>380</v>
      </c>
      <c r="B381" s="27">
        <v>5383</v>
      </c>
      <c r="C381" s="26" t="s">
        <v>619</v>
      </c>
      <c r="D381" s="28">
        <v>1180</v>
      </c>
      <c r="E381" s="26" t="s">
        <v>18</v>
      </c>
      <c r="F381" s="26"/>
      <c r="G381" s="29">
        <v>11.9</v>
      </c>
      <c r="H381" s="26">
        <v>90</v>
      </c>
      <c r="I381" s="26">
        <v>90</v>
      </c>
      <c r="J381" s="26">
        <f t="shared" si="15"/>
        <v>90</v>
      </c>
      <c r="K381" s="26"/>
      <c r="L381" s="26"/>
      <c r="M381" s="29">
        <f t="shared" si="16"/>
        <v>11.9</v>
      </c>
      <c r="N381" s="30">
        <f t="shared" si="17"/>
        <v>7.5704706000000002</v>
      </c>
      <c r="O381" s="26"/>
      <c r="P381" s="31" t="s">
        <v>19</v>
      </c>
    </row>
    <row r="382" spans="1:16" x14ac:dyDescent="0.25">
      <c r="A382" s="26">
        <v>381</v>
      </c>
      <c r="B382" s="27">
        <v>5384</v>
      </c>
      <c r="C382" s="26" t="s">
        <v>620</v>
      </c>
      <c r="D382" s="28">
        <v>1181</v>
      </c>
      <c r="E382" s="26" t="s">
        <v>18</v>
      </c>
      <c r="F382" s="26"/>
      <c r="G382" s="29">
        <v>12.3</v>
      </c>
      <c r="H382" s="26">
        <v>89</v>
      </c>
      <c r="I382" s="26">
        <v>85</v>
      </c>
      <c r="J382" s="26">
        <f t="shared" si="15"/>
        <v>87</v>
      </c>
      <c r="K382" s="26"/>
      <c r="L382" s="26"/>
      <c r="M382" s="29">
        <f t="shared" si="16"/>
        <v>12.3</v>
      </c>
      <c r="N382" s="30">
        <f t="shared" si="17"/>
        <v>7.3119718980000004</v>
      </c>
      <c r="O382" s="26"/>
      <c r="P382" s="31" t="s">
        <v>19</v>
      </c>
    </row>
    <row r="383" spans="1:16" x14ac:dyDescent="0.25">
      <c r="A383" s="26">
        <v>382</v>
      </c>
      <c r="B383" s="27">
        <v>5385</v>
      </c>
      <c r="C383" s="26" t="s">
        <v>621</v>
      </c>
      <c r="D383" s="28">
        <v>1182</v>
      </c>
      <c r="E383" s="26" t="s">
        <v>18</v>
      </c>
      <c r="F383" s="26"/>
      <c r="G383" s="29">
        <v>12.2</v>
      </c>
      <c r="H383" s="26">
        <v>106</v>
      </c>
      <c r="I383" s="26">
        <v>88</v>
      </c>
      <c r="J383" s="26">
        <f t="shared" si="15"/>
        <v>97</v>
      </c>
      <c r="K383" s="26"/>
      <c r="L383" s="26"/>
      <c r="M383" s="29">
        <f t="shared" si="16"/>
        <v>12.2</v>
      </c>
      <c r="N383" s="30">
        <f t="shared" si="17"/>
        <v>9.0155908919999987</v>
      </c>
      <c r="O383" s="26"/>
      <c r="P383" s="31" t="s">
        <v>30</v>
      </c>
    </row>
    <row r="384" spans="1:16" x14ac:dyDescent="0.25">
      <c r="A384" s="26">
        <v>383</v>
      </c>
      <c r="B384" s="27">
        <v>5386</v>
      </c>
      <c r="C384" s="26" t="s">
        <v>622</v>
      </c>
      <c r="D384" s="28" t="s">
        <v>623</v>
      </c>
      <c r="E384" s="26" t="s">
        <v>18</v>
      </c>
      <c r="F384" s="26"/>
      <c r="G384" s="29">
        <v>12.7</v>
      </c>
      <c r="H384" s="26">
        <v>91</v>
      </c>
      <c r="I384" s="26">
        <v>71</v>
      </c>
      <c r="J384" s="26">
        <f t="shared" si="15"/>
        <v>81</v>
      </c>
      <c r="K384" s="26"/>
      <c r="L384" s="26"/>
      <c r="M384" s="29">
        <f t="shared" si="16"/>
        <v>12.7</v>
      </c>
      <c r="N384" s="30">
        <f t="shared" si="17"/>
        <v>6.5443219379999995</v>
      </c>
      <c r="O384" s="26"/>
      <c r="P384" s="31" t="s">
        <v>19</v>
      </c>
    </row>
    <row r="385" spans="1:16" x14ac:dyDescent="0.25">
      <c r="A385" s="26">
        <v>384</v>
      </c>
      <c r="B385" s="27">
        <v>5387</v>
      </c>
      <c r="C385" s="26" t="s">
        <v>624</v>
      </c>
      <c r="D385" s="28" t="s">
        <v>625</v>
      </c>
      <c r="E385" s="26" t="s">
        <v>18</v>
      </c>
      <c r="F385" s="26"/>
      <c r="G385" s="29">
        <v>12</v>
      </c>
      <c r="H385" s="26">
        <v>98</v>
      </c>
      <c r="I385" s="26">
        <v>80</v>
      </c>
      <c r="J385" s="26">
        <f t="shared" si="15"/>
        <v>89</v>
      </c>
      <c r="K385" s="26"/>
      <c r="L385" s="26"/>
      <c r="M385" s="29">
        <f t="shared" si="16"/>
        <v>12</v>
      </c>
      <c r="N385" s="30">
        <f t="shared" si="17"/>
        <v>7.4653840800000006</v>
      </c>
      <c r="O385" s="26"/>
      <c r="P385" s="31" t="s">
        <v>19</v>
      </c>
    </row>
    <row r="386" spans="1:16" x14ac:dyDescent="0.25">
      <c r="A386" s="26">
        <v>385</v>
      </c>
      <c r="B386" s="27">
        <v>5393</v>
      </c>
      <c r="C386" s="26" t="s">
        <v>626</v>
      </c>
      <c r="D386" s="28" t="s">
        <v>627</v>
      </c>
      <c r="E386" s="26" t="s">
        <v>18</v>
      </c>
      <c r="F386" s="26"/>
      <c r="G386" s="29">
        <v>10.9</v>
      </c>
      <c r="H386" s="26">
        <v>94</v>
      </c>
      <c r="I386" s="26">
        <v>87</v>
      </c>
      <c r="J386" s="26">
        <f t="shared" ref="J386:J449" si="18">ROUNDDOWN((H386+I386)/2,0)</f>
        <v>90</v>
      </c>
      <c r="K386" s="26"/>
      <c r="L386" s="26"/>
      <c r="M386" s="29">
        <f t="shared" ref="M386:M449" si="19">G386-K386</f>
        <v>10.9</v>
      </c>
      <c r="N386" s="30">
        <f t="shared" ref="N386:N449" si="20">J386*J386*M386*0.7854/10000</f>
        <v>6.9342965999999997</v>
      </c>
      <c r="O386" s="26"/>
      <c r="P386" s="31" t="s">
        <v>30</v>
      </c>
    </row>
    <row r="387" spans="1:16" x14ac:dyDescent="0.25">
      <c r="A387" s="26">
        <v>386</v>
      </c>
      <c r="B387" s="27">
        <v>5394</v>
      </c>
      <c r="C387" s="26" t="s">
        <v>628</v>
      </c>
      <c r="D387" s="28">
        <v>1186</v>
      </c>
      <c r="E387" s="26" t="s">
        <v>18</v>
      </c>
      <c r="F387" s="26"/>
      <c r="G387" s="29">
        <v>9.8000000000000007</v>
      </c>
      <c r="H387" s="26">
        <v>88</v>
      </c>
      <c r="I387" s="26">
        <v>82</v>
      </c>
      <c r="J387" s="26">
        <f t="shared" si="18"/>
        <v>85</v>
      </c>
      <c r="K387" s="26"/>
      <c r="L387" s="26"/>
      <c r="M387" s="29">
        <f t="shared" si="19"/>
        <v>9.8000000000000007</v>
      </c>
      <c r="N387" s="30">
        <f t="shared" si="20"/>
        <v>5.5610246999999999</v>
      </c>
      <c r="O387" s="26"/>
      <c r="P387" s="31" t="s">
        <v>19</v>
      </c>
    </row>
    <row r="388" spans="1:16" x14ac:dyDescent="0.25">
      <c r="A388" s="26">
        <v>387</v>
      </c>
      <c r="B388" s="27">
        <v>5388</v>
      </c>
      <c r="C388" s="26" t="s">
        <v>629</v>
      </c>
      <c r="D388" s="28" t="s">
        <v>630</v>
      </c>
      <c r="E388" s="26" t="s">
        <v>18</v>
      </c>
      <c r="F388" s="26"/>
      <c r="G388" s="29">
        <v>11</v>
      </c>
      <c r="H388" s="26">
        <v>96</v>
      </c>
      <c r="I388" s="26">
        <v>94</v>
      </c>
      <c r="J388" s="26">
        <f t="shared" si="18"/>
        <v>95</v>
      </c>
      <c r="K388" s="26"/>
      <c r="L388" s="26"/>
      <c r="M388" s="29">
        <f t="shared" si="19"/>
        <v>11</v>
      </c>
      <c r="N388" s="30">
        <f t="shared" si="20"/>
        <v>7.7970584999999994</v>
      </c>
      <c r="O388" s="26"/>
      <c r="P388" s="31" t="s">
        <v>19</v>
      </c>
    </row>
    <row r="389" spans="1:16" x14ac:dyDescent="0.25">
      <c r="A389" s="26">
        <v>388</v>
      </c>
      <c r="B389" s="27">
        <v>5389</v>
      </c>
      <c r="C389" s="26" t="s">
        <v>631</v>
      </c>
      <c r="D389" s="28" t="s">
        <v>632</v>
      </c>
      <c r="E389" s="26" t="s">
        <v>18</v>
      </c>
      <c r="F389" s="26"/>
      <c r="G389" s="29">
        <v>10.7</v>
      </c>
      <c r="H389" s="26">
        <v>88</v>
      </c>
      <c r="I389" s="26">
        <v>75</v>
      </c>
      <c r="J389" s="26">
        <f t="shared" si="18"/>
        <v>81</v>
      </c>
      <c r="K389" s="26"/>
      <c r="L389" s="26"/>
      <c r="M389" s="29">
        <f t="shared" si="19"/>
        <v>10.7</v>
      </c>
      <c r="N389" s="30">
        <f t="shared" si="20"/>
        <v>5.5137200579999996</v>
      </c>
      <c r="O389" s="26"/>
      <c r="P389" s="31" t="s">
        <v>30</v>
      </c>
    </row>
    <row r="390" spans="1:16" x14ac:dyDescent="0.25">
      <c r="A390" s="26">
        <v>389</v>
      </c>
      <c r="B390" s="27">
        <v>5390</v>
      </c>
      <c r="C390" s="26" t="s">
        <v>633</v>
      </c>
      <c r="D390" s="28" t="s">
        <v>634</v>
      </c>
      <c r="E390" s="26" t="s">
        <v>18</v>
      </c>
      <c r="F390" s="26"/>
      <c r="G390" s="29">
        <v>12</v>
      </c>
      <c r="H390" s="26">
        <v>86</v>
      </c>
      <c r="I390" s="26">
        <v>66</v>
      </c>
      <c r="J390" s="26">
        <f t="shared" si="18"/>
        <v>76</v>
      </c>
      <c r="K390" s="26"/>
      <c r="L390" s="26"/>
      <c r="M390" s="29">
        <f t="shared" si="19"/>
        <v>12</v>
      </c>
      <c r="N390" s="30">
        <f t="shared" si="20"/>
        <v>5.4437644800000005</v>
      </c>
      <c r="O390" s="26"/>
      <c r="P390" s="31" t="s">
        <v>19</v>
      </c>
    </row>
    <row r="391" spans="1:16" x14ac:dyDescent="0.25">
      <c r="A391" s="26">
        <v>390</v>
      </c>
      <c r="B391" s="27">
        <v>5391</v>
      </c>
      <c r="C391" s="26" t="s">
        <v>635</v>
      </c>
      <c r="D391" s="28">
        <v>1188</v>
      </c>
      <c r="E391" s="26" t="s">
        <v>18</v>
      </c>
      <c r="F391" s="26"/>
      <c r="G391" s="29">
        <v>5.8</v>
      </c>
      <c r="H391" s="26">
        <v>77</v>
      </c>
      <c r="I391" s="26">
        <v>69</v>
      </c>
      <c r="J391" s="26">
        <f t="shared" si="18"/>
        <v>73</v>
      </c>
      <c r="K391" s="26"/>
      <c r="L391" s="26"/>
      <c r="M391" s="29">
        <f t="shared" si="19"/>
        <v>5.8</v>
      </c>
      <c r="N391" s="30">
        <f t="shared" si="20"/>
        <v>2.4275300280000001</v>
      </c>
      <c r="O391" s="26"/>
      <c r="P391" s="31" t="s">
        <v>19</v>
      </c>
    </row>
    <row r="392" spans="1:16" x14ac:dyDescent="0.25">
      <c r="A392" s="26">
        <v>391</v>
      </c>
      <c r="B392" s="27">
        <v>5392</v>
      </c>
      <c r="C392" s="26" t="s">
        <v>636</v>
      </c>
      <c r="D392" s="28" t="s">
        <v>637</v>
      </c>
      <c r="E392" s="26" t="s">
        <v>18</v>
      </c>
      <c r="F392" s="26"/>
      <c r="G392" s="29">
        <v>5.2</v>
      </c>
      <c r="H392" s="26">
        <v>97</v>
      </c>
      <c r="I392" s="26">
        <v>81</v>
      </c>
      <c r="J392" s="26">
        <f t="shared" si="18"/>
        <v>89</v>
      </c>
      <c r="K392" s="26"/>
      <c r="L392" s="26"/>
      <c r="M392" s="29">
        <f t="shared" si="19"/>
        <v>5.2</v>
      </c>
      <c r="N392" s="30">
        <f t="shared" si="20"/>
        <v>3.2349997680000002</v>
      </c>
      <c r="O392" s="26"/>
      <c r="P392" s="31" t="s">
        <v>19</v>
      </c>
    </row>
    <row r="393" spans="1:16" x14ac:dyDescent="0.25">
      <c r="A393" s="26">
        <v>392</v>
      </c>
      <c r="B393" s="27">
        <v>5395</v>
      </c>
      <c r="C393" s="26" t="s">
        <v>638</v>
      </c>
      <c r="D393" s="28" t="s">
        <v>639</v>
      </c>
      <c r="E393" s="26" t="s">
        <v>18</v>
      </c>
      <c r="F393" s="26"/>
      <c r="G393" s="29">
        <v>11.8</v>
      </c>
      <c r="H393" s="26">
        <v>135</v>
      </c>
      <c r="I393" s="26">
        <v>119</v>
      </c>
      <c r="J393" s="26">
        <f t="shared" si="18"/>
        <v>127</v>
      </c>
      <c r="K393" s="26"/>
      <c r="L393" s="26"/>
      <c r="M393" s="29">
        <f t="shared" si="19"/>
        <v>11.8</v>
      </c>
      <c r="N393" s="30">
        <f t="shared" si="20"/>
        <v>14.947905587999999</v>
      </c>
      <c r="O393" s="26"/>
      <c r="P393" s="31" t="s">
        <v>19</v>
      </c>
    </row>
    <row r="394" spans="1:16" x14ac:dyDescent="0.25">
      <c r="A394" s="26">
        <v>393</v>
      </c>
      <c r="B394" s="27">
        <v>5396</v>
      </c>
      <c r="C394" s="26" t="s">
        <v>640</v>
      </c>
      <c r="D394" s="28" t="s">
        <v>641</v>
      </c>
      <c r="E394" s="26" t="s">
        <v>18</v>
      </c>
      <c r="F394" s="26"/>
      <c r="G394" s="29">
        <v>12.7</v>
      </c>
      <c r="H394" s="26">
        <v>91</v>
      </c>
      <c r="I394" s="26">
        <v>79</v>
      </c>
      <c r="J394" s="26">
        <f t="shared" si="18"/>
        <v>85</v>
      </c>
      <c r="K394" s="26">
        <v>0.5</v>
      </c>
      <c r="L394" s="26"/>
      <c r="M394" s="29">
        <f t="shared" si="19"/>
        <v>12.2</v>
      </c>
      <c r="N394" s="30">
        <f t="shared" si="20"/>
        <v>6.9229082999999996</v>
      </c>
      <c r="O394" s="26" t="s">
        <v>53</v>
      </c>
      <c r="P394" s="31" t="s">
        <v>19</v>
      </c>
    </row>
    <row r="395" spans="1:16" x14ac:dyDescent="0.25">
      <c r="A395" s="26">
        <v>394</v>
      </c>
      <c r="B395" s="27">
        <v>5397</v>
      </c>
      <c r="C395" s="26" t="s">
        <v>642</v>
      </c>
      <c r="D395" s="28" t="s">
        <v>643</v>
      </c>
      <c r="E395" s="26" t="s">
        <v>18</v>
      </c>
      <c r="F395" s="26"/>
      <c r="G395" s="29">
        <v>6.2</v>
      </c>
      <c r="H395" s="26">
        <v>119</v>
      </c>
      <c r="I395" s="26">
        <v>118</v>
      </c>
      <c r="J395" s="26">
        <f t="shared" si="18"/>
        <v>118</v>
      </c>
      <c r="K395" s="26">
        <v>1</v>
      </c>
      <c r="L395" s="26"/>
      <c r="M395" s="29">
        <f t="shared" si="19"/>
        <v>5.2</v>
      </c>
      <c r="N395" s="30">
        <f t="shared" si="20"/>
        <v>5.6866729920000001</v>
      </c>
      <c r="O395" s="26" t="s">
        <v>361</v>
      </c>
      <c r="P395" s="31" t="s">
        <v>19</v>
      </c>
    </row>
    <row r="396" spans="1:16" x14ac:dyDescent="0.25">
      <c r="A396" s="26">
        <v>395</v>
      </c>
      <c r="B396" s="27">
        <v>5398</v>
      </c>
      <c r="C396" s="26" t="s">
        <v>644</v>
      </c>
      <c r="D396" s="28" t="s">
        <v>645</v>
      </c>
      <c r="E396" s="26" t="s">
        <v>18</v>
      </c>
      <c r="F396" s="26"/>
      <c r="G396" s="29">
        <v>13</v>
      </c>
      <c r="H396" s="26">
        <v>101</v>
      </c>
      <c r="I396" s="26">
        <v>95</v>
      </c>
      <c r="J396" s="26">
        <f t="shared" si="18"/>
        <v>98</v>
      </c>
      <c r="K396" s="26"/>
      <c r="L396" s="26"/>
      <c r="M396" s="29">
        <f t="shared" si="19"/>
        <v>13</v>
      </c>
      <c r="N396" s="30">
        <f t="shared" si="20"/>
        <v>9.8058760800000009</v>
      </c>
      <c r="O396" s="26"/>
      <c r="P396" s="31" t="s">
        <v>19</v>
      </c>
    </row>
    <row r="397" spans="1:16" x14ac:dyDescent="0.25">
      <c r="A397" s="26">
        <v>396</v>
      </c>
      <c r="B397" s="27">
        <v>5399</v>
      </c>
      <c r="C397" s="26" t="s">
        <v>646</v>
      </c>
      <c r="D397" s="28">
        <v>5342</v>
      </c>
      <c r="E397" s="26" t="s">
        <v>18</v>
      </c>
      <c r="F397" s="26"/>
      <c r="G397" s="29">
        <v>12</v>
      </c>
      <c r="H397" s="26">
        <v>81</v>
      </c>
      <c r="I397" s="26">
        <v>71</v>
      </c>
      <c r="J397" s="26">
        <f t="shared" si="18"/>
        <v>76</v>
      </c>
      <c r="K397" s="26"/>
      <c r="L397" s="26"/>
      <c r="M397" s="29">
        <f t="shared" si="19"/>
        <v>12</v>
      </c>
      <c r="N397" s="30">
        <f t="shared" si="20"/>
        <v>5.4437644800000005</v>
      </c>
      <c r="O397" s="26"/>
      <c r="P397" s="31" t="s">
        <v>19</v>
      </c>
    </row>
    <row r="398" spans="1:16" x14ac:dyDescent="0.25">
      <c r="A398" s="26">
        <v>397</v>
      </c>
      <c r="B398" s="27">
        <v>5400</v>
      </c>
      <c r="C398" s="26" t="s">
        <v>647</v>
      </c>
      <c r="D398" s="28" t="s">
        <v>648</v>
      </c>
      <c r="E398" s="26" t="s">
        <v>18</v>
      </c>
      <c r="F398" s="26"/>
      <c r="G398" s="29">
        <v>12.5</v>
      </c>
      <c r="H398" s="26">
        <v>75</v>
      </c>
      <c r="I398" s="26">
        <v>70</v>
      </c>
      <c r="J398" s="26">
        <f t="shared" si="18"/>
        <v>72</v>
      </c>
      <c r="K398" s="26"/>
      <c r="L398" s="26"/>
      <c r="M398" s="29">
        <f t="shared" si="19"/>
        <v>12.5</v>
      </c>
      <c r="N398" s="30">
        <f t="shared" si="20"/>
        <v>5.0893920000000001</v>
      </c>
      <c r="O398" s="26"/>
      <c r="P398" s="31" t="s">
        <v>30</v>
      </c>
    </row>
    <row r="399" spans="1:16" x14ac:dyDescent="0.25">
      <c r="A399" s="26">
        <v>398</v>
      </c>
      <c r="B399" s="27">
        <v>5401</v>
      </c>
      <c r="C399" s="26" t="s">
        <v>649</v>
      </c>
      <c r="D399" s="28">
        <v>1192</v>
      </c>
      <c r="E399" s="26" t="s">
        <v>18</v>
      </c>
      <c r="F399" s="26"/>
      <c r="G399" s="29">
        <v>5</v>
      </c>
      <c r="H399" s="26">
        <v>85</v>
      </c>
      <c r="I399" s="26">
        <v>82</v>
      </c>
      <c r="J399" s="26">
        <f t="shared" si="18"/>
        <v>83</v>
      </c>
      <c r="K399" s="26"/>
      <c r="L399" s="26"/>
      <c r="M399" s="29">
        <f t="shared" si="19"/>
        <v>5</v>
      </c>
      <c r="N399" s="30">
        <f t="shared" si="20"/>
        <v>2.7053102999999998</v>
      </c>
      <c r="O399" s="26"/>
      <c r="P399" s="31" t="s">
        <v>19</v>
      </c>
    </row>
    <row r="400" spans="1:16" x14ac:dyDescent="0.25">
      <c r="A400" s="26">
        <v>399</v>
      </c>
      <c r="B400" s="27">
        <v>5402</v>
      </c>
      <c r="C400" s="26" t="s">
        <v>650</v>
      </c>
      <c r="D400" s="28" t="s">
        <v>651</v>
      </c>
      <c r="E400" s="26" t="s">
        <v>18</v>
      </c>
      <c r="F400" s="26"/>
      <c r="G400" s="29">
        <v>7.8</v>
      </c>
      <c r="H400" s="26">
        <v>95</v>
      </c>
      <c r="I400" s="26">
        <v>81</v>
      </c>
      <c r="J400" s="26">
        <f t="shared" si="18"/>
        <v>88</v>
      </c>
      <c r="K400" s="26"/>
      <c r="L400" s="26"/>
      <c r="M400" s="29">
        <f t="shared" si="19"/>
        <v>7.8</v>
      </c>
      <c r="N400" s="30">
        <f t="shared" si="20"/>
        <v>4.7440673279999999</v>
      </c>
      <c r="O400" s="26"/>
      <c r="P400" s="31" t="s">
        <v>19</v>
      </c>
    </row>
    <row r="401" spans="1:16" x14ac:dyDescent="0.25">
      <c r="A401" s="26">
        <v>400</v>
      </c>
      <c r="B401" s="27">
        <v>5403</v>
      </c>
      <c r="C401" s="26" t="s">
        <v>652</v>
      </c>
      <c r="D401" s="28" t="s">
        <v>653</v>
      </c>
      <c r="E401" s="26" t="s">
        <v>18</v>
      </c>
      <c r="F401" s="26"/>
      <c r="G401" s="29">
        <v>13</v>
      </c>
      <c r="H401" s="26">
        <v>84</v>
      </c>
      <c r="I401" s="26">
        <v>78</v>
      </c>
      <c r="J401" s="26">
        <f t="shared" si="18"/>
        <v>81</v>
      </c>
      <c r="K401" s="26"/>
      <c r="L401" s="26"/>
      <c r="M401" s="29">
        <f t="shared" si="19"/>
        <v>13</v>
      </c>
      <c r="N401" s="30">
        <f t="shared" si="20"/>
        <v>6.6989122199999995</v>
      </c>
      <c r="O401" s="26"/>
      <c r="P401" s="31" t="s">
        <v>30</v>
      </c>
    </row>
    <row r="402" spans="1:16" x14ac:dyDescent="0.25">
      <c r="A402" s="26">
        <v>401</v>
      </c>
      <c r="B402" s="27">
        <v>5404</v>
      </c>
      <c r="C402" s="26" t="s">
        <v>654</v>
      </c>
      <c r="D402" s="28" t="s">
        <v>655</v>
      </c>
      <c r="E402" s="26" t="s">
        <v>18</v>
      </c>
      <c r="F402" s="26"/>
      <c r="G402" s="29">
        <v>12</v>
      </c>
      <c r="H402" s="26">
        <v>94</v>
      </c>
      <c r="I402" s="26">
        <v>74</v>
      </c>
      <c r="J402" s="26">
        <f t="shared" si="18"/>
        <v>84</v>
      </c>
      <c r="K402" s="26"/>
      <c r="L402" s="26"/>
      <c r="M402" s="29">
        <f t="shared" si="19"/>
        <v>12</v>
      </c>
      <c r="N402" s="30">
        <f t="shared" si="20"/>
        <v>6.6501388800000001</v>
      </c>
      <c r="O402" s="26"/>
      <c r="P402" s="31" t="s">
        <v>19</v>
      </c>
    </row>
    <row r="403" spans="1:16" x14ac:dyDescent="0.25">
      <c r="A403" s="26">
        <v>402</v>
      </c>
      <c r="B403" s="27">
        <v>5405</v>
      </c>
      <c r="C403" s="26" t="s">
        <v>656</v>
      </c>
      <c r="D403" s="28">
        <v>1194</v>
      </c>
      <c r="E403" s="26" t="s">
        <v>18</v>
      </c>
      <c r="F403" s="26"/>
      <c r="G403" s="29">
        <v>11</v>
      </c>
      <c r="H403" s="26">
        <v>95</v>
      </c>
      <c r="I403" s="26">
        <v>73</v>
      </c>
      <c r="J403" s="26">
        <f t="shared" si="18"/>
        <v>84</v>
      </c>
      <c r="K403" s="26"/>
      <c r="L403" s="26"/>
      <c r="M403" s="29">
        <f t="shared" si="19"/>
        <v>11</v>
      </c>
      <c r="N403" s="30">
        <f t="shared" si="20"/>
        <v>6.0959606399999995</v>
      </c>
      <c r="O403" s="26"/>
      <c r="P403" s="31" t="s">
        <v>19</v>
      </c>
    </row>
    <row r="404" spans="1:16" x14ac:dyDescent="0.25">
      <c r="A404" s="26">
        <v>403</v>
      </c>
      <c r="B404" s="27">
        <v>5406</v>
      </c>
      <c r="C404" s="26" t="s">
        <v>657</v>
      </c>
      <c r="D404" s="28">
        <v>4734</v>
      </c>
      <c r="E404" s="26" t="s">
        <v>18</v>
      </c>
      <c r="F404" s="26"/>
      <c r="G404" s="29">
        <v>11.7</v>
      </c>
      <c r="H404" s="26">
        <v>88</v>
      </c>
      <c r="I404" s="26">
        <v>83</v>
      </c>
      <c r="J404" s="26">
        <f t="shared" si="18"/>
        <v>85</v>
      </c>
      <c r="K404" s="26">
        <v>0.5</v>
      </c>
      <c r="L404" s="26"/>
      <c r="M404" s="29">
        <f t="shared" si="19"/>
        <v>11.2</v>
      </c>
      <c r="N404" s="30">
        <f t="shared" si="20"/>
        <v>6.3554567999999998</v>
      </c>
      <c r="O404" s="26" t="s">
        <v>157</v>
      </c>
      <c r="P404" s="31" t="s">
        <v>30</v>
      </c>
    </row>
    <row r="405" spans="1:16" x14ac:dyDescent="0.25">
      <c r="A405" s="26">
        <v>404</v>
      </c>
      <c r="B405" s="27">
        <v>5408</v>
      </c>
      <c r="C405" s="26" t="s">
        <v>658</v>
      </c>
      <c r="D405" s="28" t="s">
        <v>659</v>
      </c>
      <c r="E405" s="26" t="s">
        <v>18</v>
      </c>
      <c r="F405" s="26"/>
      <c r="G405" s="29">
        <v>8.4</v>
      </c>
      <c r="H405" s="26">
        <v>108</v>
      </c>
      <c r="I405" s="26">
        <v>93</v>
      </c>
      <c r="J405" s="26">
        <f t="shared" si="18"/>
        <v>100</v>
      </c>
      <c r="K405" s="26"/>
      <c r="L405" s="26"/>
      <c r="M405" s="29">
        <f t="shared" si="19"/>
        <v>8.4</v>
      </c>
      <c r="N405" s="30">
        <f t="shared" si="20"/>
        <v>6.597360000000001</v>
      </c>
      <c r="O405" s="26"/>
      <c r="P405" s="31" t="s">
        <v>19</v>
      </c>
    </row>
    <row r="406" spans="1:16" x14ac:dyDescent="0.25">
      <c r="A406" s="26">
        <v>405</v>
      </c>
      <c r="B406" s="27">
        <v>5407</v>
      </c>
      <c r="C406" s="26" t="s">
        <v>660</v>
      </c>
      <c r="D406" s="28" t="s">
        <v>661</v>
      </c>
      <c r="E406" s="26" t="s">
        <v>18</v>
      </c>
      <c r="F406" s="26"/>
      <c r="G406" s="29">
        <v>13.8</v>
      </c>
      <c r="H406" s="26">
        <v>85</v>
      </c>
      <c r="I406" s="26">
        <v>71</v>
      </c>
      <c r="J406" s="26">
        <f t="shared" si="18"/>
        <v>78</v>
      </c>
      <c r="K406" s="26"/>
      <c r="L406" s="26"/>
      <c r="M406" s="29">
        <f t="shared" si="19"/>
        <v>13.8</v>
      </c>
      <c r="N406" s="30">
        <f t="shared" si="20"/>
        <v>6.5941555679999988</v>
      </c>
      <c r="O406" s="26"/>
      <c r="P406" s="31" t="s">
        <v>19</v>
      </c>
    </row>
    <row r="407" spans="1:16" x14ac:dyDescent="0.25">
      <c r="A407" s="26">
        <v>406</v>
      </c>
      <c r="B407" s="27">
        <v>5409</v>
      </c>
      <c r="C407" s="26" t="s">
        <v>662</v>
      </c>
      <c r="D407" s="28">
        <v>1197</v>
      </c>
      <c r="E407" s="26" t="s">
        <v>18</v>
      </c>
      <c r="F407" s="26"/>
      <c r="G407" s="29">
        <v>13.8</v>
      </c>
      <c r="H407" s="26">
        <v>91</v>
      </c>
      <c r="I407" s="26">
        <v>69</v>
      </c>
      <c r="J407" s="26">
        <f t="shared" si="18"/>
        <v>80</v>
      </c>
      <c r="K407" s="26"/>
      <c r="L407" s="26"/>
      <c r="M407" s="29">
        <f t="shared" si="19"/>
        <v>13.8</v>
      </c>
      <c r="N407" s="30">
        <f t="shared" si="20"/>
        <v>6.936652800000001</v>
      </c>
      <c r="O407" s="26"/>
      <c r="P407" s="31" t="s">
        <v>19</v>
      </c>
    </row>
    <row r="408" spans="1:16" x14ac:dyDescent="0.25">
      <c r="A408" s="26">
        <v>407</v>
      </c>
      <c r="B408" s="27">
        <v>5410</v>
      </c>
      <c r="C408" s="26" t="s">
        <v>663</v>
      </c>
      <c r="D408" s="28">
        <v>1199</v>
      </c>
      <c r="E408" s="26" t="s">
        <v>18</v>
      </c>
      <c r="F408" s="26"/>
      <c r="G408" s="29">
        <v>12.4</v>
      </c>
      <c r="H408" s="26">
        <v>87</v>
      </c>
      <c r="I408" s="26">
        <v>78</v>
      </c>
      <c r="J408" s="26">
        <f t="shared" si="18"/>
        <v>82</v>
      </c>
      <c r="K408" s="26"/>
      <c r="L408" s="26"/>
      <c r="M408" s="29">
        <f t="shared" si="19"/>
        <v>12.4</v>
      </c>
      <c r="N408" s="30">
        <f t="shared" si="20"/>
        <v>6.5484767040000005</v>
      </c>
      <c r="O408" s="26"/>
      <c r="P408" s="31" t="s">
        <v>19</v>
      </c>
    </row>
    <row r="409" spans="1:16" x14ac:dyDescent="0.25">
      <c r="A409" s="26">
        <v>408</v>
      </c>
      <c r="B409" s="27">
        <v>5411</v>
      </c>
      <c r="C409" s="26" t="s">
        <v>664</v>
      </c>
      <c r="D409" s="28" t="s">
        <v>665</v>
      </c>
      <c r="E409" s="26" t="s">
        <v>18</v>
      </c>
      <c r="F409" s="26"/>
      <c r="G409" s="29">
        <v>7</v>
      </c>
      <c r="H409" s="26">
        <v>77</v>
      </c>
      <c r="I409" s="26">
        <v>72</v>
      </c>
      <c r="J409" s="26">
        <f t="shared" si="18"/>
        <v>74</v>
      </c>
      <c r="K409" s="26">
        <v>0.5</v>
      </c>
      <c r="L409" s="26"/>
      <c r="M409" s="29">
        <f t="shared" si="19"/>
        <v>6.5</v>
      </c>
      <c r="N409" s="30">
        <f t="shared" si="20"/>
        <v>2.7955527600000001</v>
      </c>
      <c r="O409" s="26" t="s">
        <v>157</v>
      </c>
      <c r="P409" s="31" t="s">
        <v>19</v>
      </c>
    </row>
    <row r="410" spans="1:16" x14ac:dyDescent="0.25">
      <c r="A410" s="26">
        <v>409</v>
      </c>
      <c r="B410" s="27">
        <v>5412</v>
      </c>
      <c r="C410" s="26" t="s">
        <v>666</v>
      </c>
      <c r="D410" s="28">
        <v>1300</v>
      </c>
      <c r="E410" s="26" t="s">
        <v>18</v>
      </c>
      <c r="F410" s="26"/>
      <c r="G410" s="29">
        <v>10.5</v>
      </c>
      <c r="H410" s="26">
        <v>67</v>
      </c>
      <c r="I410" s="26">
        <v>64</v>
      </c>
      <c r="J410" s="26">
        <f t="shared" si="18"/>
        <v>65</v>
      </c>
      <c r="K410" s="26"/>
      <c r="L410" s="26"/>
      <c r="M410" s="29">
        <f t="shared" si="19"/>
        <v>10.5</v>
      </c>
      <c r="N410" s="30">
        <f t="shared" si="20"/>
        <v>3.48423075</v>
      </c>
      <c r="O410" s="26"/>
      <c r="P410" s="31" t="s">
        <v>19</v>
      </c>
    </row>
    <row r="411" spans="1:16" x14ac:dyDescent="0.25">
      <c r="A411" s="26">
        <v>410</v>
      </c>
      <c r="B411" s="27">
        <v>5423</v>
      </c>
      <c r="C411" s="26" t="s">
        <v>667</v>
      </c>
      <c r="D411" s="28" t="s">
        <v>668</v>
      </c>
      <c r="E411" s="26" t="s">
        <v>18</v>
      </c>
      <c r="F411" s="26"/>
      <c r="G411" s="29">
        <v>5.6</v>
      </c>
      <c r="H411" s="26">
        <v>115</v>
      </c>
      <c r="I411" s="26">
        <v>112</v>
      </c>
      <c r="J411" s="26">
        <f t="shared" si="18"/>
        <v>113</v>
      </c>
      <c r="K411" s="26"/>
      <c r="L411" s="26"/>
      <c r="M411" s="29">
        <f t="shared" si="19"/>
        <v>5.6</v>
      </c>
      <c r="N411" s="30">
        <f t="shared" si="20"/>
        <v>5.6161126559999994</v>
      </c>
      <c r="O411" s="26"/>
      <c r="P411" s="31" t="s">
        <v>19</v>
      </c>
    </row>
    <row r="412" spans="1:16" x14ac:dyDescent="0.25">
      <c r="A412" s="26">
        <v>411</v>
      </c>
      <c r="B412" s="27">
        <v>5424</v>
      </c>
      <c r="C412" s="26" t="s">
        <v>669</v>
      </c>
      <c r="D412" s="28">
        <v>1301</v>
      </c>
      <c r="E412" s="26" t="s">
        <v>18</v>
      </c>
      <c r="F412" s="26"/>
      <c r="G412" s="29">
        <v>7.3</v>
      </c>
      <c r="H412" s="26">
        <v>84</v>
      </c>
      <c r="I412" s="26">
        <v>77</v>
      </c>
      <c r="J412" s="26">
        <f t="shared" si="18"/>
        <v>80</v>
      </c>
      <c r="K412" s="26"/>
      <c r="L412" s="26"/>
      <c r="M412" s="29">
        <f t="shared" si="19"/>
        <v>7.3</v>
      </c>
      <c r="N412" s="30">
        <f t="shared" si="20"/>
        <v>3.6693888000000001</v>
      </c>
      <c r="O412" s="26"/>
      <c r="P412" s="31" t="s">
        <v>19</v>
      </c>
    </row>
    <row r="413" spans="1:16" x14ac:dyDescent="0.25">
      <c r="A413" s="26">
        <v>412</v>
      </c>
      <c r="B413" s="27">
        <v>5425</v>
      </c>
      <c r="C413" s="26" t="s">
        <v>670</v>
      </c>
      <c r="D413" s="28" t="s">
        <v>671</v>
      </c>
      <c r="E413" s="26" t="s">
        <v>18</v>
      </c>
      <c r="F413" s="26"/>
      <c r="G413" s="29">
        <v>12</v>
      </c>
      <c r="H413" s="26">
        <v>94</v>
      </c>
      <c r="I413" s="26">
        <v>84</v>
      </c>
      <c r="J413" s="26">
        <f t="shared" si="18"/>
        <v>89</v>
      </c>
      <c r="K413" s="26"/>
      <c r="L413" s="26"/>
      <c r="M413" s="29">
        <f t="shared" si="19"/>
        <v>12</v>
      </c>
      <c r="N413" s="30">
        <f t="shared" si="20"/>
        <v>7.4653840800000006</v>
      </c>
      <c r="O413" s="26"/>
      <c r="P413" s="31" t="s">
        <v>30</v>
      </c>
    </row>
    <row r="414" spans="1:16" x14ac:dyDescent="0.25">
      <c r="A414" s="26">
        <v>413</v>
      </c>
      <c r="B414" s="27">
        <v>5426</v>
      </c>
      <c r="C414" s="26" t="s">
        <v>672</v>
      </c>
      <c r="D414" s="28" t="s">
        <v>673</v>
      </c>
      <c r="E414" s="26" t="s">
        <v>18</v>
      </c>
      <c r="F414" s="26"/>
      <c r="G414" s="29">
        <v>13</v>
      </c>
      <c r="H414" s="26">
        <v>94</v>
      </c>
      <c r="I414" s="26">
        <v>64</v>
      </c>
      <c r="J414" s="26">
        <f t="shared" si="18"/>
        <v>79</v>
      </c>
      <c r="K414" s="26"/>
      <c r="L414" s="26"/>
      <c r="M414" s="29">
        <f t="shared" si="19"/>
        <v>13</v>
      </c>
      <c r="N414" s="30">
        <f t="shared" si="20"/>
        <v>6.3721858200000003</v>
      </c>
      <c r="O414" s="26"/>
      <c r="P414" s="31" t="s">
        <v>19</v>
      </c>
    </row>
    <row r="415" spans="1:16" x14ac:dyDescent="0.25">
      <c r="A415" s="26">
        <v>414</v>
      </c>
      <c r="B415" s="27">
        <v>5427</v>
      </c>
      <c r="C415" s="26" t="s">
        <v>674</v>
      </c>
      <c r="D415" s="28" t="s">
        <v>675</v>
      </c>
      <c r="E415" s="26" t="s">
        <v>18</v>
      </c>
      <c r="F415" s="26"/>
      <c r="G415" s="29">
        <v>12</v>
      </c>
      <c r="H415" s="26">
        <v>85</v>
      </c>
      <c r="I415" s="26">
        <v>80</v>
      </c>
      <c r="J415" s="26">
        <f t="shared" si="18"/>
        <v>82</v>
      </c>
      <c r="K415" s="26"/>
      <c r="L415" s="26"/>
      <c r="M415" s="29">
        <f t="shared" si="19"/>
        <v>12</v>
      </c>
      <c r="N415" s="30">
        <f t="shared" si="20"/>
        <v>6.3372355200000001</v>
      </c>
      <c r="O415" s="26"/>
      <c r="P415" s="31" t="s">
        <v>19</v>
      </c>
    </row>
    <row r="416" spans="1:16" x14ac:dyDescent="0.25">
      <c r="A416" s="26">
        <v>415</v>
      </c>
      <c r="B416" s="27">
        <v>5413</v>
      </c>
      <c r="C416" s="26" t="s">
        <v>676</v>
      </c>
      <c r="D416" s="28" t="s">
        <v>677</v>
      </c>
      <c r="E416" s="26" t="s">
        <v>18</v>
      </c>
      <c r="F416" s="26"/>
      <c r="G416" s="29">
        <v>11</v>
      </c>
      <c r="H416" s="26">
        <v>129</v>
      </c>
      <c r="I416" s="26">
        <v>116</v>
      </c>
      <c r="J416" s="26">
        <f t="shared" si="18"/>
        <v>122</v>
      </c>
      <c r="K416" s="26"/>
      <c r="L416" s="26"/>
      <c r="M416" s="29">
        <f t="shared" si="19"/>
        <v>11</v>
      </c>
      <c r="N416" s="30">
        <f t="shared" si="20"/>
        <v>12.858882959999999</v>
      </c>
      <c r="O416" s="26"/>
      <c r="P416" s="31" t="s">
        <v>30</v>
      </c>
    </row>
    <row r="417" spans="1:16" x14ac:dyDescent="0.25">
      <c r="A417" s="26">
        <v>416</v>
      </c>
      <c r="B417" s="27">
        <v>5414</v>
      </c>
      <c r="C417" s="26" t="s">
        <v>678</v>
      </c>
      <c r="D417" s="28" t="s">
        <v>679</v>
      </c>
      <c r="E417" s="26" t="s">
        <v>18</v>
      </c>
      <c r="F417" s="26"/>
      <c r="G417" s="29">
        <v>4.0999999999999996</v>
      </c>
      <c r="H417" s="26">
        <v>91</v>
      </c>
      <c r="I417" s="26">
        <v>84</v>
      </c>
      <c r="J417" s="26">
        <f t="shared" si="18"/>
        <v>87</v>
      </c>
      <c r="K417" s="26">
        <v>0.5</v>
      </c>
      <c r="L417" s="26"/>
      <c r="M417" s="29">
        <f t="shared" si="19"/>
        <v>3.5999999999999996</v>
      </c>
      <c r="N417" s="30">
        <f t="shared" si="20"/>
        <v>2.140089336</v>
      </c>
      <c r="O417" s="26" t="s">
        <v>157</v>
      </c>
      <c r="P417" s="31" t="s">
        <v>19</v>
      </c>
    </row>
    <row r="418" spans="1:16" x14ac:dyDescent="0.25">
      <c r="A418" s="26">
        <v>417</v>
      </c>
      <c r="B418" s="27">
        <v>5415</v>
      </c>
      <c r="C418" s="26" t="s">
        <v>680</v>
      </c>
      <c r="D418" s="28">
        <v>1307</v>
      </c>
      <c r="E418" s="26" t="s">
        <v>18</v>
      </c>
      <c r="F418" s="26"/>
      <c r="G418" s="29">
        <v>10.5</v>
      </c>
      <c r="H418" s="26">
        <v>98</v>
      </c>
      <c r="I418" s="26">
        <v>95</v>
      </c>
      <c r="J418" s="26">
        <f t="shared" si="18"/>
        <v>96</v>
      </c>
      <c r="K418" s="26"/>
      <c r="L418" s="26"/>
      <c r="M418" s="29">
        <f t="shared" si="19"/>
        <v>10.5</v>
      </c>
      <c r="N418" s="30">
        <f t="shared" si="20"/>
        <v>7.6001587199999996</v>
      </c>
      <c r="O418" s="26"/>
      <c r="P418" s="31" t="s">
        <v>19</v>
      </c>
    </row>
    <row r="419" spans="1:16" x14ac:dyDescent="0.25">
      <c r="A419" s="26">
        <v>418</v>
      </c>
      <c r="B419" s="27">
        <v>5416</v>
      </c>
      <c r="C419" s="26" t="s">
        <v>681</v>
      </c>
      <c r="D419" s="28">
        <v>5116</v>
      </c>
      <c r="E419" s="26" t="s">
        <v>18</v>
      </c>
      <c r="F419" s="26"/>
      <c r="G419" s="29">
        <v>9.1999999999999993</v>
      </c>
      <c r="H419" s="26">
        <v>95</v>
      </c>
      <c r="I419" s="26">
        <v>87</v>
      </c>
      <c r="J419" s="26">
        <f t="shared" si="18"/>
        <v>91</v>
      </c>
      <c r="K419" s="26">
        <v>0.5</v>
      </c>
      <c r="L419" s="26"/>
      <c r="M419" s="29">
        <f t="shared" si="19"/>
        <v>8.6999999999999993</v>
      </c>
      <c r="N419" s="30">
        <f t="shared" si="20"/>
        <v>5.6583907379999996</v>
      </c>
      <c r="O419" s="26" t="s">
        <v>361</v>
      </c>
      <c r="P419" s="31" t="s">
        <v>30</v>
      </c>
    </row>
    <row r="420" spans="1:16" x14ac:dyDescent="0.25">
      <c r="A420" s="26">
        <v>419</v>
      </c>
      <c r="B420" s="27">
        <v>5417</v>
      </c>
      <c r="C420" s="26" t="s">
        <v>682</v>
      </c>
      <c r="D420" s="28" t="s">
        <v>683</v>
      </c>
      <c r="E420" s="26" t="s">
        <v>18</v>
      </c>
      <c r="F420" s="26"/>
      <c r="G420" s="29">
        <v>15</v>
      </c>
      <c r="H420" s="26">
        <v>82</v>
      </c>
      <c r="I420" s="26">
        <v>72</v>
      </c>
      <c r="J420" s="26">
        <f t="shared" si="18"/>
        <v>77</v>
      </c>
      <c r="K420" s="26"/>
      <c r="L420" s="26"/>
      <c r="M420" s="29">
        <f t="shared" si="19"/>
        <v>15</v>
      </c>
      <c r="N420" s="30">
        <f t="shared" si="20"/>
        <v>6.9849549</v>
      </c>
      <c r="O420" s="26"/>
      <c r="P420" s="31" t="s">
        <v>19</v>
      </c>
    </row>
    <row r="421" spans="1:16" x14ac:dyDescent="0.25">
      <c r="A421" s="26">
        <v>420</v>
      </c>
      <c r="B421" s="27">
        <v>5418</v>
      </c>
      <c r="C421" s="26" t="s">
        <v>684</v>
      </c>
      <c r="D421" s="28">
        <v>5108</v>
      </c>
      <c r="E421" s="26" t="s">
        <v>18</v>
      </c>
      <c r="F421" s="26"/>
      <c r="G421" s="29">
        <v>7.2</v>
      </c>
      <c r="H421" s="26">
        <v>129</v>
      </c>
      <c r="I421" s="26">
        <v>119</v>
      </c>
      <c r="J421" s="26">
        <f t="shared" si="18"/>
        <v>124</v>
      </c>
      <c r="K421" s="26"/>
      <c r="L421" s="26"/>
      <c r="M421" s="29">
        <f t="shared" si="19"/>
        <v>7.2</v>
      </c>
      <c r="N421" s="30">
        <f t="shared" si="20"/>
        <v>8.6949434879999998</v>
      </c>
      <c r="O421" s="26"/>
      <c r="P421" s="31" t="s">
        <v>19</v>
      </c>
    </row>
    <row r="422" spans="1:16" x14ac:dyDescent="0.25">
      <c r="A422" s="26">
        <v>421</v>
      </c>
      <c r="B422" s="27">
        <v>5419</v>
      </c>
      <c r="C422" s="26" t="s">
        <v>685</v>
      </c>
      <c r="D422" s="28" t="s">
        <v>686</v>
      </c>
      <c r="E422" s="26" t="s">
        <v>18</v>
      </c>
      <c r="F422" s="26"/>
      <c r="G422" s="29">
        <v>10.5</v>
      </c>
      <c r="H422" s="26">
        <v>95</v>
      </c>
      <c r="I422" s="26">
        <v>87</v>
      </c>
      <c r="J422" s="26">
        <f t="shared" si="18"/>
        <v>91</v>
      </c>
      <c r="K422" s="26"/>
      <c r="L422" s="26"/>
      <c r="M422" s="29">
        <f t="shared" si="19"/>
        <v>10.5</v>
      </c>
      <c r="N422" s="30">
        <f t="shared" si="20"/>
        <v>6.8290922699999994</v>
      </c>
      <c r="O422" s="26"/>
      <c r="P422" s="31" t="s">
        <v>19</v>
      </c>
    </row>
    <row r="423" spans="1:16" x14ac:dyDescent="0.25">
      <c r="A423" s="26">
        <v>422</v>
      </c>
      <c r="B423" s="27">
        <v>5420</v>
      </c>
      <c r="C423" s="26" t="s">
        <v>687</v>
      </c>
      <c r="D423" s="28">
        <v>5335</v>
      </c>
      <c r="E423" s="26" t="s">
        <v>18</v>
      </c>
      <c r="F423" s="26"/>
      <c r="G423" s="29">
        <v>10.8</v>
      </c>
      <c r="H423" s="26">
        <v>100</v>
      </c>
      <c r="I423" s="26">
        <v>93</v>
      </c>
      <c r="J423" s="26">
        <f t="shared" si="18"/>
        <v>96</v>
      </c>
      <c r="K423" s="26">
        <v>1</v>
      </c>
      <c r="L423" s="26"/>
      <c r="M423" s="29">
        <f t="shared" si="19"/>
        <v>9.8000000000000007</v>
      </c>
      <c r="N423" s="30">
        <f t="shared" si="20"/>
        <v>7.0934814719999997</v>
      </c>
      <c r="O423" s="26" t="s">
        <v>53</v>
      </c>
      <c r="P423" s="31" t="s">
        <v>19</v>
      </c>
    </row>
    <row r="424" spans="1:16" x14ac:dyDescent="0.25">
      <c r="A424" s="26">
        <v>423</v>
      </c>
      <c r="B424" s="27">
        <v>5421</v>
      </c>
      <c r="C424" s="26" t="s">
        <v>688</v>
      </c>
      <c r="D424" s="28" t="s">
        <v>689</v>
      </c>
      <c r="E424" s="26" t="s">
        <v>18</v>
      </c>
      <c r="F424" s="26"/>
      <c r="G424" s="29">
        <v>5</v>
      </c>
      <c r="H424" s="26">
        <v>98</v>
      </c>
      <c r="I424" s="26">
        <v>95</v>
      </c>
      <c r="J424" s="26">
        <f t="shared" si="18"/>
        <v>96</v>
      </c>
      <c r="K424" s="26"/>
      <c r="L424" s="26"/>
      <c r="M424" s="29">
        <f t="shared" si="19"/>
        <v>5</v>
      </c>
      <c r="N424" s="30">
        <f t="shared" si="20"/>
        <v>3.6191231999999998</v>
      </c>
      <c r="O424" s="26"/>
      <c r="P424" s="31" t="s">
        <v>19</v>
      </c>
    </row>
    <row r="425" spans="1:16" x14ac:dyDescent="0.25">
      <c r="A425" s="26">
        <v>424</v>
      </c>
      <c r="B425" s="27">
        <v>5422</v>
      </c>
      <c r="C425" s="26" t="s">
        <v>690</v>
      </c>
      <c r="D425" s="28" t="s">
        <v>691</v>
      </c>
      <c r="E425" s="26" t="s">
        <v>18</v>
      </c>
      <c r="F425" s="26"/>
      <c r="G425" s="29">
        <v>7</v>
      </c>
      <c r="H425" s="26">
        <v>98</v>
      </c>
      <c r="I425" s="26">
        <v>94</v>
      </c>
      <c r="J425" s="26">
        <f t="shared" si="18"/>
        <v>96</v>
      </c>
      <c r="K425" s="26">
        <v>0.5</v>
      </c>
      <c r="L425" s="26"/>
      <c r="M425" s="29">
        <f t="shared" si="19"/>
        <v>6.5</v>
      </c>
      <c r="N425" s="30">
        <f t="shared" si="20"/>
        <v>4.70486016</v>
      </c>
      <c r="O425" s="26" t="s">
        <v>157</v>
      </c>
      <c r="P425" s="31" t="s">
        <v>19</v>
      </c>
    </row>
    <row r="426" spans="1:16" x14ac:dyDescent="0.25">
      <c r="A426" s="26">
        <v>425</v>
      </c>
      <c r="B426" s="27">
        <v>5428</v>
      </c>
      <c r="C426" s="26" t="s">
        <v>692</v>
      </c>
      <c r="D426" s="28">
        <v>5309</v>
      </c>
      <c r="E426" s="26" t="s">
        <v>18</v>
      </c>
      <c r="F426" s="26"/>
      <c r="G426" s="29">
        <v>10.5</v>
      </c>
      <c r="H426" s="26">
        <v>81</v>
      </c>
      <c r="I426" s="26">
        <v>74</v>
      </c>
      <c r="J426" s="26">
        <f t="shared" si="18"/>
        <v>77</v>
      </c>
      <c r="K426" s="26"/>
      <c r="L426" s="26"/>
      <c r="M426" s="29">
        <f t="shared" si="19"/>
        <v>10.5</v>
      </c>
      <c r="N426" s="30">
        <f t="shared" si="20"/>
        <v>4.88946843</v>
      </c>
      <c r="O426" s="26"/>
      <c r="P426" s="31" t="s">
        <v>19</v>
      </c>
    </row>
    <row r="427" spans="1:16" x14ac:dyDescent="0.25">
      <c r="A427" s="26">
        <v>426</v>
      </c>
      <c r="B427" s="27">
        <v>5429</v>
      </c>
      <c r="C427" s="26" t="s">
        <v>693</v>
      </c>
      <c r="D427" s="28" t="s">
        <v>694</v>
      </c>
      <c r="E427" s="26" t="s">
        <v>18</v>
      </c>
      <c r="F427" s="26"/>
      <c r="G427" s="29">
        <v>10.5</v>
      </c>
      <c r="H427" s="26">
        <v>109</v>
      </c>
      <c r="I427" s="26">
        <v>92</v>
      </c>
      <c r="J427" s="26">
        <f t="shared" si="18"/>
        <v>100</v>
      </c>
      <c r="K427" s="26"/>
      <c r="L427" s="26"/>
      <c r="M427" s="29">
        <f t="shared" si="19"/>
        <v>10.5</v>
      </c>
      <c r="N427" s="30">
        <f t="shared" si="20"/>
        <v>8.2467000000000006</v>
      </c>
      <c r="O427" s="26"/>
      <c r="P427" s="31" t="s">
        <v>19</v>
      </c>
    </row>
    <row r="428" spans="1:16" x14ac:dyDescent="0.25">
      <c r="A428" s="26">
        <v>427</v>
      </c>
      <c r="B428" s="27">
        <v>5430</v>
      </c>
      <c r="C428" s="26" t="s">
        <v>695</v>
      </c>
      <c r="D428" s="28" t="s">
        <v>696</v>
      </c>
      <c r="E428" s="26" t="s">
        <v>18</v>
      </c>
      <c r="F428" s="26"/>
      <c r="G428" s="29">
        <v>13.5</v>
      </c>
      <c r="H428" s="26">
        <v>82</v>
      </c>
      <c r="I428" s="26">
        <v>74</v>
      </c>
      <c r="J428" s="26">
        <f t="shared" si="18"/>
        <v>78</v>
      </c>
      <c r="K428" s="26"/>
      <c r="L428" s="26"/>
      <c r="M428" s="29">
        <f t="shared" si="19"/>
        <v>13.5</v>
      </c>
      <c r="N428" s="30">
        <f t="shared" si="20"/>
        <v>6.4508043599999993</v>
      </c>
      <c r="O428" s="26"/>
      <c r="P428" s="31" t="s">
        <v>30</v>
      </c>
    </row>
    <row r="429" spans="1:16" x14ac:dyDescent="0.25">
      <c r="A429" s="26">
        <v>428</v>
      </c>
      <c r="B429" s="27">
        <v>5431</v>
      </c>
      <c r="C429" s="26" t="s">
        <v>697</v>
      </c>
      <c r="D429" s="28">
        <v>5311</v>
      </c>
      <c r="E429" s="26" t="s">
        <v>18</v>
      </c>
      <c r="F429" s="26"/>
      <c r="G429" s="29">
        <v>7.3</v>
      </c>
      <c r="H429" s="26">
        <v>82</v>
      </c>
      <c r="I429" s="26">
        <v>80</v>
      </c>
      <c r="J429" s="26">
        <f t="shared" si="18"/>
        <v>81</v>
      </c>
      <c r="K429" s="26"/>
      <c r="L429" s="26"/>
      <c r="M429" s="29">
        <f t="shared" si="19"/>
        <v>7.3</v>
      </c>
      <c r="N429" s="30">
        <f t="shared" si="20"/>
        <v>3.7616968619999991</v>
      </c>
      <c r="O429" s="26"/>
      <c r="P429" s="31" t="s">
        <v>19</v>
      </c>
    </row>
    <row r="430" spans="1:16" x14ac:dyDescent="0.25">
      <c r="A430" s="26">
        <v>429</v>
      </c>
      <c r="B430" s="27">
        <v>5432</v>
      </c>
      <c r="C430" s="26" t="s">
        <v>698</v>
      </c>
      <c r="D430" s="28" t="s">
        <v>699</v>
      </c>
      <c r="E430" s="26" t="s">
        <v>18</v>
      </c>
      <c r="F430" s="26"/>
      <c r="G430" s="29">
        <v>11.8</v>
      </c>
      <c r="H430" s="26">
        <v>92</v>
      </c>
      <c r="I430" s="26">
        <v>73</v>
      </c>
      <c r="J430" s="26">
        <f t="shared" si="18"/>
        <v>82</v>
      </c>
      <c r="K430" s="26"/>
      <c r="L430" s="26"/>
      <c r="M430" s="29">
        <f t="shared" si="19"/>
        <v>11.8</v>
      </c>
      <c r="N430" s="30">
        <f t="shared" si="20"/>
        <v>6.2316149280000008</v>
      </c>
      <c r="O430" s="26"/>
      <c r="P430" s="31" t="s">
        <v>19</v>
      </c>
    </row>
    <row r="431" spans="1:16" x14ac:dyDescent="0.25">
      <c r="A431" s="26">
        <v>430</v>
      </c>
      <c r="B431" s="27">
        <v>5433</v>
      </c>
      <c r="C431" s="26" t="s">
        <v>700</v>
      </c>
      <c r="D431" s="28" t="s">
        <v>701</v>
      </c>
      <c r="E431" s="26" t="s">
        <v>18</v>
      </c>
      <c r="F431" s="26"/>
      <c r="G431" s="29">
        <v>11.2</v>
      </c>
      <c r="H431" s="26">
        <v>74</v>
      </c>
      <c r="I431" s="26">
        <v>67</v>
      </c>
      <c r="J431" s="26">
        <f t="shared" si="18"/>
        <v>70</v>
      </c>
      <c r="K431" s="26"/>
      <c r="L431" s="26"/>
      <c r="M431" s="29">
        <f t="shared" si="19"/>
        <v>11.2</v>
      </c>
      <c r="N431" s="30">
        <f t="shared" si="20"/>
        <v>4.3102752000000004</v>
      </c>
      <c r="O431" s="26"/>
      <c r="P431" s="31" t="s">
        <v>30</v>
      </c>
    </row>
    <row r="432" spans="1:16" x14ac:dyDescent="0.25">
      <c r="A432" s="26">
        <v>431</v>
      </c>
      <c r="B432" s="27">
        <v>5434</v>
      </c>
      <c r="C432" s="26" t="s">
        <v>702</v>
      </c>
      <c r="D432" s="28" t="s">
        <v>703</v>
      </c>
      <c r="E432" s="26" t="s">
        <v>18</v>
      </c>
      <c r="F432" s="26"/>
      <c r="G432" s="29">
        <v>13.5</v>
      </c>
      <c r="H432" s="26">
        <v>91</v>
      </c>
      <c r="I432" s="26">
        <v>73</v>
      </c>
      <c r="J432" s="26">
        <f t="shared" si="18"/>
        <v>82</v>
      </c>
      <c r="K432" s="26"/>
      <c r="L432" s="26"/>
      <c r="M432" s="29">
        <f t="shared" si="19"/>
        <v>13.5</v>
      </c>
      <c r="N432" s="30">
        <f t="shared" si="20"/>
        <v>7.1293899600000001</v>
      </c>
      <c r="O432" s="26"/>
      <c r="P432" s="31" t="s">
        <v>19</v>
      </c>
    </row>
    <row r="433" spans="1:16" x14ac:dyDescent="0.25">
      <c r="A433" s="26">
        <v>432</v>
      </c>
      <c r="B433" s="27">
        <v>5435</v>
      </c>
      <c r="C433" s="26" t="s">
        <v>704</v>
      </c>
      <c r="D433" s="28" t="s">
        <v>705</v>
      </c>
      <c r="E433" s="26" t="s">
        <v>18</v>
      </c>
      <c r="F433" s="26"/>
      <c r="G433" s="29">
        <v>6.5</v>
      </c>
      <c r="H433" s="26">
        <v>74</v>
      </c>
      <c r="I433" s="26">
        <v>73</v>
      </c>
      <c r="J433" s="26">
        <f t="shared" si="18"/>
        <v>73</v>
      </c>
      <c r="K433" s="26"/>
      <c r="L433" s="26"/>
      <c r="M433" s="29">
        <f t="shared" si="19"/>
        <v>6.5</v>
      </c>
      <c r="N433" s="30">
        <f t="shared" si="20"/>
        <v>2.7205077900000001</v>
      </c>
      <c r="O433" s="26"/>
      <c r="P433" s="31" t="s">
        <v>19</v>
      </c>
    </row>
    <row r="434" spans="1:16" x14ac:dyDescent="0.25">
      <c r="A434" s="26">
        <v>433</v>
      </c>
      <c r="B434" s="27">
        <v>5436</v>
      </c>
      <c r="C434" s="26" t="s">
        <v>706</v>
      </c>
      <c r="D434" s="28" t="s">
        <v>707</v>
      </c>
      <c r="E434" s="26" t="s">
        <v>18</v>
      </c>
      <c r="F434" s="26"/>
      <c r="G434" s="29">
        <v>6.1</v>
      </c>
      <c r="H434" s="26">
        <v>101</v>
      </c>
      <c r="I434" s="26">
        <v>88</v>
      </c>
      <c r="J434" s="26">
        <f t="shared" si="18"/>
        <v>94</v>
      </c>
      <c r="K434" s="26"/>
      <c r="L434" s="26"/>
      <c r="M434" s="29">
        <f t="shared" si="19"/>
        <v>6.1</v>
      </c>
      <c r="N434" s="30">
        <f t="shared" si="20"/>
        <v>4.2332745839999992</v>
      </c>
      <c r="O434" s="26"/>
      <c r="P434" s="31" t="s">
        <v>30</v>
      </c>
    </row>
    <row r="435" spans="1:16" x14ac:dyDescent="0.25">
      <c r="A435" s="26">
        <v>434</v>
      </c>
      <c r="B435" s="27">
        <v>5437</v>
      </c>
      <c r="C435" s="26" t="s">
        <v>708</v>
      </c>
      <c r="D435" s="28" t="s">
        <v>709</v>
      </c>
      <c r="E435" s="26" t="s">
        <v>18</v>
      </c>
      <c r="F435" s="26"/>
      <c r="G435" s="29">
        <v>13.5</v>
      </c>
      <c r="H435" s="26">
        <v>93</v>
      </c>
      <c r="I435" s="26">
        <v>76</v>
      </c>
      <c r="J435" s="26">
        <f t="shared" si="18"/>
        <v>84</v>
      </c>
      <c r="K435" s="26"/>
      <c r="L435" s="26"/>
      <c r="M435" s="29">
        <f t="shared" si="19"/>
        <v>13.5</v>
      </c>
      <c r="N435" s="30">
        <f t="shared" si="20"/>
        <v>7.4814062399999992</v>
      </c>
      <c r="O435" s="26"/>
      <c r="P435" s="31" t="s">
        <v>19</v>
      </c>
    </row>
    <row r="436" spans="1:16" x14ac:dyDescent="0.25">
      <c r="A436" s="26">
        <v>435</v>
      </c>
      <c r="B436" s="27">
        <v>5438</v>
      </c>
      <c r="C436" s="26" t="s">
        <v>710</v>
      </c>
      <c r="D436" s="28" t="s">
        <v>711</v>
      </c>
      <c r="E436" s="26" t="s">
        <v>18</v>
      </c>
      <c r="F436" s="26"/>
      <c r="G436" s="29">
        <v>5.3</v>
      </c>
      <c r="H436" s="26">
        <v>81</v>
      </c>
      <c r="I436" s="26">
        <v>77</v>
      </c>
      <c r="J436" s="26">
        <f t="shared" si="18"/>
        <v>79</v>
      </c>
      <c r="K436" s="26"/>
      <c r="L436" s="26"/>
      <c r="M436" s="29">
        <f t="shared" si="19"/>
        <v>5.3</v>
      </c>
      <c r="N436" s="30">
        <f t="shared" si="20"/>
        <v>2.5978911419999995</v>
      </c>
      <c r="O436" s="26"/>
      <c r="P436" s="31" t="s">
        <v>19</v>
      </c>
    </row>
    <row r="437" spans="1:16" x14ac:dyDescent="0.25">
      <c r="A437" s="26">
        <v>436</v>
      </c>
      <c r="B437" s="27">
        <v>5439</v>
      </c>
      <c r="C437" s="26" t="s">
        <v>712</v>
      </c>
      <c r="D437" s="28" t="s">
        <v>713</v>
      </c>
      <c r="E437" s="26" t="s">
        <v>18</v>
      </c>
      <c r="F437" s="26"/>
      <c r="G437" s="29">
        <v>13.5</v>
      </c>
      <c r="H437" s="26">
        <v>84</v>
      </c>
      <c r="I437" s="26">
        <v>77</v>
      </c>
      <c r="J437" s="26">
        <f t="shared" si="18"/>
        <v>80</v>
      </c>
      <c r="K437" s="26"/>
      <c r="L437" s="26"/>
      <c r="M437" s="29">
        <f t="shared" si="19"/>
        <v>13.5</v>
      </c>
      <c r="N437" s="30">
        <f t="shared" si="20"/>
        <v>6.7858559999999999</v>
      </c>
      <c r="O437" s="26"/>
      <c r="P437" s="31" t="s">
        <v>19</v>
      </c>
    </row>
    <row r="438" spans="1:16" x14ac:dyDescent="0.25">
      <c r="A438" s="26">
        <v>437</v>
      </c>
      <c r="B438" s="27">
        <v>5440</v>
      </c>
      <c r="C438" s="26" t="s">
        <v>714</v>
      </c>
      <c r="D438" s="28" t="s">
        <v>715</v>
      </c>
      <c r="E438" s="26" t="s">
        <v>18</v>
      </c>
      <c r="F438" s="26"/>
      <c r="G438" s="29">
        <v>13.5</v>
      </c>
      <c r="H438" s="26">
        <v>77</v>
      </c>
      <c r="I438" s="26">
        <v>67</v>
      </c>
      <c r="J438" s="26">
        <f t="shared" si="18"/>
        <v>72</v>
      </c>
      <c r="K438" s="26"/>
      <c r="L438" s="26"/>
      <c r="M438" s="29">
        <f t="shared" si="19"/>
        <v>13.5</v>
      </c>
      <c r="N438" s="30">
        <f t="shared" si="20"/>
        <v>5.4965433599999995</v>
      </c>
      <c r="O438" s="26"/>
      <c r="P438" s="31" t="s">
        <v>19</v>
      </c>
    </row>
    <row r="439" spans="1:16" x14ac:dyDescent="0.25">
      <c r="A439" s="26">
        <v>438</v>
      </c>
      <c r="B439" s="26"/>
      <c r="C439" s="26" t="s">
        <v>716</v>
      </c>
      <c r="D439" s="28" t="s">
        <v>717</v>
      </c>
      <c r="E439" s="26" t="s">
        <v>18</v>
      </c>
      <c r="F439" s="26"/>
      <c r="G439" s="29">
        <v>13.4</v>
      </c>
      <c r="H439" s="26">
        <v>78</v>
      </c>
      <c r="I439" s="26">
        <v>56</v>
      </c>
      <c r="J439" s="26">
        <f t="shared" si="18"/>
        <v>67</v>
      </c>
      <c r="K439" s="26"/>
      <c r="L439" s="26"/>
      <c r="M439" s="29">
        <f t="shared" si="19"/>
        <v>13.4</v>
      </c>
      <c r="N439" s="30">
        <f t="shared" si="20"/>
        <v>4.7243852039999998</v>
      </c>
      <c r="O439" s="26"/>
      <c r="P439" s="31" t="s">
        <v>19</v>
      </c>
    </row>
    <row r="440" spans="1:16" x14ac:dyDescent="0.25">
      <c r="A440" s="26">
        <v>439</v>
      </c>
      <c r="B440" s="26"/>
      <c r="C440" s="26" t="s">
        <v>718</v>
      </c>
      <c r="D440" s="28" t="s">
        <v>719</v>
      </c>
      <c r="E440" s="26" t="s">
        <v>18</v>
      </c>
      <c r="F440" s="26"/>
      <c r="G440" s="29">
        <v>12.1</v>
      </c>
      <c r="H440" s="26">
        <v>76</v>
      </c>
      <c r="I440" s="26">
        <v>68</v>
      </c>
      <c r="J440" s="26">
        <f t="shared" si="18"/>
        <v>72</v>
      </c>
      <c r="K440" s="26"/>
      <c r="L440" s="26"/>
      <c r="M440" s="29">
        <f t="shared" si="19"/>
        <v>12.1</v>
      </c>
      <c r="N440" s="30">
        <f t="shared" si="20"/>
        <v>4.9265314560000002</v>
      </c>
      <c r="O440" s="32"/>
      <c r="P440" s="31" t="s">
        <v>19</v>
      </c>
    </row>
    <row r="441" spans="1:16" x14ac:dyDescent="0.25">
      <c r="A441" s="26">
        <v>440</v>
      </c>
      <c r="B441" s="26"/>
      <c r="C441" s="26" t="s">
        <v>720</v>
      </c>
      <c r="D441" s="28">
        <v>971</v>
      </c>
      <c r="E441" s="26" t="s">
        <v>18</v>
      </c>
      <c r="F441" s="26"/>
      <c r="G441" s="29">
        <v>9.8000000000000007</v>
      </c>
      <c r="H441" s="26">
        <v>71</v>
      </c>
      <c r="I441" s="26">
        <v>66</v>
      </c>
      <c r="J441" s="26">
        <f t="shared" si="18"/>
        <v>68</v>
      </c>
      <c r="K441" s="26"/>
      <c r="L441" s="26"/>
      <c r="M441" s="29">
        <f t="shared" si="19"/>
        <v>9.8000000000000007</v>
      </c>
      <c r="N441" s="30">
        <f t="shared" si="20"/>
        <v>3.5590558080000001</v>
      </c>
      <c r="O441" s="32"/>
      <c r="P441" s="31" t="s">
        <v>19</v>
      </c>
    </row>
    <row r="442" spans="1:16" x14ac:dyDescent="0.25">
      <c r="A442" s="26">
        <v>441</v>
      </c>
      <c r="B442" s="26"/>
      <c r="C442" s="26" t="s">
        <v>721</v>
      </c>
      <c r="D442" s="28" t="s">
        <v>722</v>
      </c>
      <c r="E442" s="26" t="s">
        <v>18</v>
      </c>
      <c r="F442" s="26"/>
      <c r="G442" s="29">
        <v>14.5</v>
      </c>
      <c r="H442" s="26">
        <v>78</v>
      </c>
      <c r="I442" s="26">
        <v>63</v>
      </c>
      <c r="J442" s="26">
        <f t="shared" si="18"/>
        <v>70</v>
      </c>
      <c r="K442" s="26"/>
      <c r="L442" s="26"/>
      <c r="M442" s="29">
        <f t="shared" si="19"/>
        <v>14.5</v>
      </c>
      <c r="N442" s="30">
        <f t="shared" si="20"/>
        <v>5.5802670000000001</v>
      </c>
      <c r="O442" s="32"/>
      <c r="P442" s="31" t="s">
        <v>19</v>
      </c>
    </row>
    <row r="443" spans="1:16" x14ac:dyDescent="0.25">
      <c r="A443" s="26">
        <v>442</v>
      </c>
      <c r="B443" s="26"/>
      <c r="C443" s="26" t="s">
        <v>723</v>
      </c>
      <c r="D443" s="28">
        <v>972</v>
      </c>
      <c r="E443" s="26" t="s">
        <v>18</v>
      </c>
      <c r="F443" s="26"/>
      <c r="G443" s="29">
        <v>9.8000000000000007</v>
      </c>
      <c r="H443" s="26">
        <v>72</v>
      </c>
      <c r="I443" s="26">
        <v>69</v>
      </c>
      <c r="J443" s="26">
        <f t="shared" si="18"/>
        <v>70</v>
      </c>
      <c r="K443" s="26"/>
      <c r="L443" s="26"/>
      <c r="M443" s="29">
        <f t="shared" si="19"/>
        <v>9.8000000000000007</v>
      </c>
      <c r="N443" s="30">
        <f t="shared" si="20"/>
        <v>3.7714907999999996</v>
      </c>
      <c r="O443" s="32"/>
      <c r="P443" s="31" t="s">
        <v>30</v>
      </c>
    </row>
    <row r="444" spans="1:16" x14ac:dyDescent="0.25">
      <c r="A444" s="26">
        <v>443</v>
      </c>
      <c r="B444" s="26"/>
      <c r="C444" s="26" t="s">
        <v>724</v>
      </c>
      <c r="D444" s="28" t="s">
        <v>725</v>
      </c>
      <c r="E444" s="26" t="s">
        <v>18</v>
      </c>
      <c r="F444" s="26"/>
      <c r="G444" s="29">
        <v>11</v>
      </c>
      <c r="H444" s="26">
        <v>69</v>
      </c>
      <c r="I444" s="26">
        <v>69</v>
      </c>
      <c r="J444" s="26">
        <f t="shared" si="18"/>
        <v>69</v>
      </c>
      <c r="K444" s="26"/>
      <c r="L444" s="26"/>
      <c r="M444" s="29">
        <f t="shared" si="19"/>
        <v>11</v>
      </c>
      <c r="N444" s="30">
        <f t="shared" si="20"/>
        <v>4.1132183400000004</v>
      </c>
      <c r="O444" s="32"/>
      <c r="P444" s="31" t="s">
        <v>19</v>
      </c>
    </row>
    <row r="445" spans="1:16" x14ac:dyDescent="0.25">
      <c r="A445" s="26">
        <v>444</v>
      </c>
      <c r="B445" s="26"/>
      <c r="C445" s="26" t="s">
        <v>726</v>
      </c>
      <c r="D445" s="28">
        <v>973</v>
      </c>
      <c r="E445" s="26" t="s">
        <v>18</v>
      </c>
      <c r="F445" s="26"/>
      <c r="G445" s="29">
        <v>14</v>
      </c>
      <c r="H445" s="26">
        <v>75</v>
      </c>
      <c r="I445" s="26">
        <v>68</v>
      </c>
      <c r="J445" s="26">
        <f t="shared" si="18"/>
        <v>71</v>
      </c>
      <c r="K445" s="26"/>
      <c r="L445" s="26"/>
      <c r="M445" s="29">
        <f t="shared" si="19"/>
        <v>14</v>
      </c>
      <c r="N445" s="30">
        <f t="shared" si="20"/>
        <v>5.5428819599999999</v>
      </c>
      <c r="O445" s="32"/>
      <c r="P445" s="31" t="s">
        <v>19</v>
      </c>
    </row>
    <row r="446" spans="1:16" x14ac:dyDescent="0.25">
      <c r="A446" s="26">
        <v>445</v>
      </c>
      <c r="B446" s="26"/>
      <c r="C446" s="26" t="s">
        <v>727</v>
      </c>
      <c r="D446" s="28" t="s">
        <v>728</v>
      </c>
      <c r="E446" s="26" t="s">
        <v>18</v>
      </c>
      <c r="F446" s="26"/>
      <c r="G446" s="29">
        <v>5</v>
      </c>
      <c r="H446" s="26">
        <v>70</v>
      </c>
      <c r="I446" s="26">
        <v>68</v>
      </c>
      <c r="J446" s="26">
        <f t="shared" si="18"/>
        <v>69</v>
      </c>
      <c r="K446" s="26"/>
      <c r="L446" s="26"/>
      <c r="M446" s="29">
        <f t="shared" si="19"/>
        <v>5</v>
      </c>
      <c r="N446" s="30">
        <f t="shared" si="20"/>
        <v>1.8696447</v>
      </c>
      <c r="O446" s="32"/>
      <c r="P446" s="31" t="s">
        <v>30</v>
      </c>
    </row>
    <row r="447" spans="1:16" x14ac:dyDescent="0.25">
      <c r="A447" s="26">
        <v>446</v>
      </c>
      <c r="B447" s="26"/>
      <c r="C447" s="26" t="s">
        <v>729</v>
      </c>
      <c r="D447" s="28" t="s">
        <v>730</v>
      </c>
      <c r="E447" s="26" t="s">
        <v>18</v>
      </c>
      <c r="F447" s="26"/>
      <c r="G447" s="29">
        <v>11.4</v>
      </c>
      <c r="H447" s="26">
        <v>80</v>
      </c>
      <c r="I447" s="26">
        <v>64</v>
      </c>
      <c r="J447" s="26">
        <f t="shared" si="18"/>
        <v>72</v>
      </c>
      <c r="K447" s="26"/>
      <c r="L447" s="26"/>
      <c r="M447" s="29">
        <f t="shared" si="19"/>
        <v>11.4</v>
      </c>
      <c r="N447" s="30">
        <f t="shared" si="20"/>
        <v>4.6415255039999996</v>
      </c>
      <c r="O447" s="32"/>
      <c r="P447" s="31" t="s">
        <v>19</v>
      </c>
    </row>
    <row r="448" spans="1:16" x14ac:dyDescent="0.25">
      <c r="A448" s="26">
        <v>447</v>
      </c>
      <c r="B448" s="26"/>
      <c r="C448" s="26" t="s">
        <v>731</v>
      </c>
      <c r="D448" s="28">
        <v>974</v>
      </c>
      <c r="E448" s="26" t="s">
        <v>18</v>
      </c>
      <c r="F448" s="26"/>
      <c r="G448" s="29">
        <v>10</v>
      </c>
      <c r="H448" s="26">
        <v>81</v>
      </c>
      <c r="I448" s="26">
        <v>69</v>
      </c>
      <c r="J448" s="26">
        <f t="shared" si="18"/>
        <v>75</v>
      </c>
      <c r="K448" s="26"/>
      <c r="L448" s="26"/>
      <c r="M448" s="29">
        <f t="shared" si="19"/>
        <v>10</v>
      </c>
      <c r="N448" s="30">
        <f t="shared" si="20"/>
        <v>4.4178750000000004</v>
      </c>
      <c r="O448" s="32"/>
      <c r="P448" s="31" t="s">
        <v>19</v>
      </c>
    </row>
    <row r="449" spans="1:16" x14ac:dyDescent="0.25">
      <c r="A449" s="26">
        <v>448</v>
      </c>
      <c r="B449" s="26"/>
      <c r="C449" s="26" t="s">
        <v>732</v>
      </c>
      <c r="D449" s="28" t="s">
        <v>733</v>
      </c>
      <c r="E449" s="26" t="s">
        <v>18</v>
      </c>
      <c r="F449" s="26"/>
      <c r="G449" s="29">
        <v>10</v>
      </c>
      <c r="H449" s="26">
        <v>70</v>
      </c>
      <c r="I449" s="26">
        <v>60</v>
      </c>
      <c r="J449" s="26">
        <f t="shared" si="18"/>
        <v>65</v>
      </c>
      <c r="K449" s="26"/>
      <c r="L449" s="26"/>
      <c r="M449" s="29">
        <f t="shared" si="19"/>
        <v>10</v>
      </c>
      <c r="N449" s="30">
        <f t="shared" si="20"/>
        <v>3.3183150000000001</v>
      </c>
      <c r="O449" s="32"/>
      <c r="P449" s="31" t="s">
        <v>30</v>
      </c>
    </row>
    <row r="450" spans="1:16" x14ac:dyDescent="0.25">
      <c r="A450" s="26">
        <v>449</v>
      </c>
      <c r="B450" s="26"/>
      <c r="C450" s="26" t="s">
        <v>734</v>
      </c>
      <c r="D450" s="28">
        <v>5317</v>
      </c>
      <c r="E450" s="26" t="s">
        <v>18</v>
      </c>
      <c r="F450" s="26"/>
      <c r="G450" s="29">
        <v>13.4</v>
      </c>
      <c r="H450" s="26">
        <v>74</v>
      </c>
      <c r="I450" s="26">
        <v>62</v>
      </c>
      <c r="J450" s="26">
        <f t="shared" ref="J450:J513" si="21">ROUNDDOWN((H450+I450)/2,0)</f>
        <v>68</v>
      </c>
      <c r="K450" s="26"/>
      <c r="L450" s="26"/>
      <c r="M450" s="29">
        <f t="shared" ref="M450:M513" si="22">G450-K450</f>
        <v>13.4</v>
      </c>
      <c r="N450" s="30">
        <f t="shared" ref="N450:N513" si="23">J450*J450*M450*0.7854/10000</f>
        <v>4.8664640639999996</v>
      </c>
      <c r="O450" s="32"/>
      <c r="P450" s="31" t="s">
        <v>19</v>
      </c>
    </row>
    <row r="451" spans="1:16" x14ac:dyDescent="0.25">
      <c r="A451" s="26">
        <v>450</v>
      </c>
      <c r="B451" s="26"/>
      <c r="C451" s="26" t="s">
        <v>735</v>
      </c>
      <c r="D451" s="28">
        <v>975</v>
      </c>
      <c r="E451" s="26" t="s">
        <v>18</v>
      </c>
      <c r="F451" s="26"/>
      <c r="G451" s="29">
        <v>4.5</v>
      </c>
      <c r="H451" s="26">
        <v>76</v>
      </c>
      <c r="I451" s="26">
        <v>74</v>
      </c>
      <c r="J451" s="26">
        <f t="shared" si="21"/>
        <v>75</v>
      </c>
      <c r="K451" s="26"/>
      <c r="L451" s="26"/>
      <c r="M451" s="29">
        <f t="shared" si="22"/>
        <v>4.5</v>
      </c>
      <c r="N451" s="30">
        <f t="shared" si="23"/>
        <v>1.9880437500000001</v>
      </c>
      <c r="O451" s="32"/>
      <c r="P451" s="31" t="s">
        <v>19</v>
      </c>
    </row>
    <row r="452" spans="1:16" x14ac:dyDescent="0.25">
      <c r="A452" s="26">
        <v>451</v>
      </c>
      <c r="B452" s="26"/>
      <c r="C452" s="26" t="s">
        <v>736</v>
      </c>
      <c r="D452" s="28">
        <v>5083</v>
      </c>
      <c r="E452" s="26" t="s">
        <v>18</v>
      </c>
      <c r="F452" s="26"/>
      <c r="G452" s="29">
        <v>12.5</v>
      </c>
      <c r="H452" s="26">
        <v>75</v>
      </c>
      <c r="I452" s="26">
        <v>63</v>
      </c>
      <c r="J452" s="26">
        <f t="shared" si="21"/>
        <v>69</v>
      </c>
      <c r="K452" s="26"/>
      <c r="L452" s="26"/>
      <c r="M452" s="29">
        <f t="shared" si="22"/>
        <v>12.5</v>
      </c>
      <c r="N452" s="30">
        <f t="shared" si="23"/>
        <v>4.6741117499999998</v>
      </c>
      <c r="O452" s="32"/>
      <c r="P452" s="31" t="s">
        <v>19</v>
      </c>
    </row>
    <row r="453" spans="1:16" x14ac:dyDescent="0.25">
      <c r="A453" s="26">
        <v>452</v>
      </c>
      <c r="B453" s="26"/>
      <c r="C453" s="26" t="s">
        <v>737</v>
      </c>
      <c r="D453" s="28">
        <v>5318</v>
      </c>
      <c r="E453" s="26" t="s">
        <v>18</v>
      </c>
      <c r="F453" s="26"/>
      <c r="G453" s="29">
        <v>12</v>
      </c>
      <c r="H453" s="26">
        <v>77</v>
      </c>
      <c r="I453" s="26">
        <v>70</v>
      </c>
      <c r="J453" s="26">
        <f t="shared" si="21"/>
        <v>73</v>
      </c>
      <c r="K453" s="26"/>
      <c r="L453" s="26"/>
      <c r="M453" s="29">
        <f t="shared" si="22"/>
        <v>12</v>
      </c>
      <c r="N453" s="30">
        <f t="shared" si="23"/>
        <v>5.0224759199999998</v>
      </c>
      <c r="O453" s="32"/>
      <c r="P453" s="31" t="s">
        <v>19</v>
      </c>
    </row>
    <row r="454" spans="1:16" x14ac:dyDescent="0.25">
      <c r="A454" s="26">
        <v>453</v>
      </c>
      <c r="B454" s="26"/>
      <c r="C454" s="26" t="s">
        <v>738</v>
      </c>
      <c r="D454" s="28">
        <v>5084</v>
      </c>
      <c r="E454" s="26" t="s">
        <v>18</v>
      </c>
      <c r="F454" s="26"/>
      <c r="G454" s="29">
        <v>12.5</v>
      </c>
      <c r="H454" s="26">
        <v>83</v>
      </c>
      <c r="I454" s="26">
        <v>67</v>
      </c>
      <c r="J454" s="26">
        <f t="shared" si="21"/>
        <v>75</v>
      </c>
      <c r="K454" s="26"/>
      <c r="L454" s="26"/>
      <c r="M454" s="29">
        <f t="shared" si="22"/>
        <v>12.5</v>
      </c>
      <c r="N454" s="30">
        <f t="shared" si="23"/>
        <v>5.5223437500000001</v>
      </c>
      <c r="O454" s="32"/>
      <c r="P454" s="31" t="s">
        <v>19</v>
      </c>
    </row>
    <row r="455" spans="1:16" x14ac:dyDescent="0.25">
      <c r="A455" s="26">
        <v>454</v>
      </c>
      <c r="B455" s="26"/>
      <c r="C455" s="26" t="s">
        <v>739</v>
      </c>
      <c r="D455" s="28" t="s">
        <v>740</v>
      </c>
      <c r="E455" s="26" t="s">
        <v>18</v>
      </c>
      <c r="F455" s="26"/>
      <c r="G455" s="29">
        <v>7.2</v>
      </c>
      <c r="H455" s="26">
        <v>67</v>
      </c>
      <c r="I455" s="26">
        <v>61</v>
      </c>
      <c r="J455" s="26">
        <f t="shared" si="21"/>
        <v>64</v>
      </c>
      <c r="K455" s="26"/>
      <c r="L455" s="26"/>
      <c r="M455" s="29">
        <f t="shared" si="22"/>
        <v>7.2</v>
      </c>
      <c r="N455" s="30">
        <f t="shared" si="23"/>
        <v>2.3162388480000002</v>
      </c>
      <c r="O455" s="32"/>
      <c r="P455" s="31" t="s">
        <v>19</v>
      </c>
    </row>
    <row r="456" spans="1:16" x14ac:dyDescent="0.25">
      <c r="A456" s="26">
        <v>455</v>
      </c>
      <c r="B456" s="26"/>
      <c r="C456" s="26" t="s">
        <v>741</v>
      </c>
      <c r="D456" s="28" t="s">
        <v>742</v>
      </c>
      <c r="E456" s="26" t="s">
        <v>18</v>
      </c>
      <c r="F456" s="26"/>
      <c r="G456" s="29">
        <v>4.5999999999999996</v>
      </c>
      <c r="H456" s="26">
        <v>74</v>
      </c>
      <c r="I456" s="26">
        <v>72</v>
      </c>
      <c r="J456" s="26">
        <f t="shared" si="21"/>
        <v>73</v>
      </c>
      <c r="K456" s="26"/>
      <c r="L456" s="26"/>
      <c r="M456" s="29">
        <f t="shared" si="22"/>
        <v>4.5999999999999996</v>
      </c>
      <c r="N456" s="30">
        <f t="shared" si="23"/>
        <v>1.9252824359999998</v>
      </c>
      <c r="O456" s="32"/>
      <c r="P456" s="31" t="s">
        <v>19</v>
      </c>
    </row>
    <row r="457" spans="1:16" x14ac:dyDescent="0.25">
      <c r="A457" s="26">
        <v>456</v>
      </c>
      <c r="B457" s="26"/>
      <c r="C457" s="26" t="s">
        <v>743</v>
      </c>
      <c r="D457" s="28" t="s">
        <v>744</v>
      </c>
      <c r="E457" s="26" t="s">
        <v>18</v>
      </c>
      <c r="F457" s="26"/>
      <c r="G457" s="29">
        <v>4.4000000000000004</v>
      </c>
      <c r="H457" s="26">
        <v>68</v>
      </c>
      <c r="I457" s="26">
        <v>65</v>
      </c>
      <c r="J457" s="26">
        <f t="shared" si="21"/>
        <v>66</v>
      </c>
      <c r="K457" s="26"/>
      <c r="L457" s="26"/>
      <c r="M457" s="29">
        <f t="shared" si="22"/>
        <v>4.4000000000000004</v>
      </c>
      <c r="N457" s="30">
        <f t="shared" si="23"/>
        <v>1.5053290560000001</v>
      </c>
      <c r="O457" s="32"/>
      <c r="P457" s="31" t="s">
        <v>19</v>
      </c>
    </row>
    <row r="458" spans="1:16" x14ac:dyDescent="0.25">
      <c r="A458" s="26">
        <v>457</v>
      </c>
      <c r="B458" s="26"/>
      <c r="C458" s="26" t="s">
        <v>745</v>
      </c>
      <c r="D458" s="28" t="s">
        <v>746</v>
      </c>
      <c r="E458" s="26" t="s">
        <v>18</v>
      </c>
      <c r="F458" s="26"/>
      <c r="G458" s="29">
        <v>9.5</v>
      </c>
      <c r="H458" s="26">
        <v>75</v>
      </c>
      <c r="I458" s="26">
        <v>68</v>
      </c>
      <c r="J458" s="26">
        <f t="shared" si="21"/>
        <v>71</v>
      </c>
      <c r="K458" s="26"/>
      <c r="L458" s="26"/>
      <c r="M458" s="29">
        <f t="shared" si="22"/>
        <v>9.5</v>
      </c>
      <c r="N458" s="30">
        <f t="shared" si="23"/>
        <v>3.7612413299999998</v>
      </c>
      <c r="O458" s="32"/>
      <c r="P458" s="31" t="s">
        <v>30</v>
      </c>
    </row>
    <row r="459" spans="1:16" x14ac:dyDescent="0.25">
      <c r="A459" s="26">
        <v>458</v>
      </c>
      <c r="B459" s="26"/>
      <c r="C459" s="26" t="s">
        <v>747</v>
      </c>
      <c r="D459" s="28" t="s">
        <v>748</v>
      </c>
      <c r="E459" s="26" t="s">
        <v>18</v>
      </c>
      <c r="F459" s="26"/>
      <c r="G459" s="29">
        <v>8.5</v>
      </c>
      <c r="H459" s="26">
        <v>70</v>
      </c>
      <c r="I459" s="26">
        <v>64</v>
      </c>
      <c r="J459" s="26">
        <f t="shared" si="21"/>
        <v>67</v>
      </c>
      <c r="K459" s="26"/>
      <c r="L459" s="26"/>
      <c r="M459" s="29">
        <f t="shared" si="22"/>
        <v>8.5</v>
      </c>
      <c r="N459" s="30">
        <f t="shared" si="23"/>
        <v>2.9968115100000001</v>
      </c>
      <c r="O459" s="32"/>
      <c r="P459" s="31" t="s">
        <v>19</v>
      </c>
    </row>
    <row r="460" spans="1:16" x14ac:dyDescent="0.25">
      <c r="A460" s="26">
        <v>459</v>
      </c>
      <c r="B460" s="26"/>
      <c r="C460" s="26" t="s">
        <v>749</v>
      </c>
      <c r="D460" s="28" t="s">
        <v>750</v>
      </c>
      <c r="E460" s="26" t="s">
        <v>18</v>
      </c>
      <c r="F460" s="26"/>
      <c r="G460" s="29">
        <v>12.5</v>
      </c>
      <c r="H460" s="26">
        <v>118</v>
      </c>
      <c r="I460" s="26">
        <v>101</v>
      </c>
      <c r="J460" s="26">
        <f t="shared" si="21"/>
        <v>109</v>
      </c>
      <c r="K460" s="26"/>
      <c r="L460" s="26"/>
      <c r="M460" s="29">
        <f t="shared" si="22"/>
        <v>12.5</v>
      </c>
      <c r="N460" s="30">
        <f t="shared" si="23"/>
        <v>11.66417175</v>
      </c>
      <c r="O460" s="32"/>
      <c r="P460" s="31" t="s">
        <v>19</v>
      </c>
    </row>
    <row r="461" spans="1:16" x14ac:dyDescent="0.25">
      <c r="A461" s="26">
        <v>460</v>
      </c>
      <c r="B461" s="26"/>
      <c r="C461" s="26" t="s">
        <v>751</v>
      </c>
      <c r="D461" s="28" t="s">
        <v>752</v>
      </c>
      <c r="E461" s="26" t="s">
        <v>18</v>
      </c>
      <c r="F461" s="26"/>
      <c r="G461" s="29">
        <v>14</v>
      </c>
      <c r="H461" s="26">
        <v>78</v>
      </c>
      <c r="I461" s="26">
        <v>65</v>
      </c>
      <c r="J461" s="26">
        <f t="shared" si="21"/>
        <v>71</v>
      </c>
      <c r="K461" s="26"/>
      <c r="L461" s="26"/>
      <c r="M461" s="29">
        <f t="shared" si="22"/>
        <v>14</v>
      </c>
      <c r="N461" s="30">
        <f t="shared" si="23"/>
        <v>5.5428819599999999</v>
      </c>
      <c r="O461" s="32"/>
      <c r="P461" s="31" t="s">
        <v>30</v>
      </c>
    </row>
    <row r="462" spans="1:16" x14ac:dyDescent="0.25">
      <c r="A462" s="26">
        <v>461</v>
      </c>
      <c r="B462" s="26"/>
      <c r="C462" s="26" t="s">
        <v>753</v>
      </c>
      <c r="D462" s="28" t="s">
        <v>754</v>
      </c>
      <c r="E462" s="26" t="s">
        <v>18</v>
      </c>
      <c r="F462" s="26"/>
      <c r="G462" s="29">
        <v>12.5</v>
      </c>
      <c r="H462" s="26">
        <v>77</v>
      </c>
      <c r="I462" s="26">
        <v>62</v>
      </c>
      <c r="J462" s="26">
        <f t="shared" si="21"/>
        <v>69</v>
      </c>
      <c r="K462" s="26">
        <v>0.5</v>
      </c>
      <c r="L462" s="26"/>
      <c r="M462" s="29">
        <f t="shared" si="22"/>
        <v>12</v>
      </c>
      <c r="N462" s="30">
        <f t="shared" si="23"/>
        <v>4.4871472799999994</v>
      </c>
      <c r="O462" s="32" t="s">
        <v>21</v>
      </c>
      <c r="P462" s="31" t="s">
        <v>19</v>
      </c>
    </row>
    <row r="463" spans="1:16" x14ac:dyDescent="0.25">
      <c r="A463" s="26">
        <v>462</v>
      </c>
      <c r="B463" s="26"/>
      <c r="C463" s="26" t="s">
        <v>755</v>
      </c>
      <c r="D463" s="28" t="s">
        <v>756</v>
      </c>
      <c r="E463" s="26" t="s">
        <v>18</v>
      </c>
      <c r="F463" s="26"/>
      <c r="G463" s="29">
        <v>10.9</v>
      </c>
      <c r="H463" s="26">
        <v>108</v>
      </c>
      <c r="I463" s="26">
        <v>92</v>
      </c>
      <c r="J463" s="26">
        <f t="shared" si="21"/>
        <v>100</v>
      </c>
      <c r="K463" s="26">
        <v>0.5</v>
      </c>
      <c r="L463" s="26"/>
      <c r="M463" s="29">
        <f t="shared" si="22"/>
        <v>10.4</v>
      </c>
      <c r="N463" s="30">
        <f t="shared" si="23"/>
        <v>8.1681600000000003</v>
      </c>
      <c r="O463" s="32" t="s">
        <v>53</v>
      </c>
      <c r="P463" s="31" t="s">
        <v>19</v>
      </c>
    </row>
    <row r="464" spans="1:16" x14ac:dyDescent="0.25">
      <c r="A464" s="26">
        <v>463</v>
      </c>
      <c r="B464" s="26"/>
      <c r="C464" s="26" t="s">
        <v>757</v>
      </c>
      <c r="D464" s="28" t="s">
        <v>758</v>
      </c>
      <c r="E464" s="26" t="s">
        <v>18</v>
      </c>
      <c r="F464" s="26"/>
      <c r="G464" s="29">
        <v>10.6</v>
      </c>
      <c r="H464" s="26">
        <v>116</v>
      </c>
      <c r="I464" s="26">
        <v>98</v>
      </c>
      <c r="J464" s="26">
        <f t="shared" si="21"/>
        <v>107</v>
      </c>
      <c r="K464" s="26"/>
      <c r="L464" s="26"/>
      <c r="M464" s="29">
        <f t="shared" si="22"/>
        <v>10.6</v>
      </c>
      <c r="N464" s="30">
        <f t="shared" si="23"/>
        <v>9.5315672759999988</v>
      </c>
      <c r="O464" s="32"/>
      <c r="P464" s="31" t="s">
        <v>30</v>
      </c>
    </row>
    <row r="465" spans="1:16" x14ac:dyDescent="0.25">
      <c r="A465" s="26">
        <v>464</v>
      </c>
      <c r="B465" s="26"/>
      <c r="C465" s="26" t="s">
        <v>759</v>
      </c>
      <c r="D465" s="28">
        <v>5074</v>
      </c>
      <c r="E465" s="26" t="s">
        <v>18</v>
      </c>
      <c r="F465" s="26"/>
      <c r="G465" s="29">
        <v>6.2</v>
      </c>
      <c r="H465" s="26">
        <v>67</v>
      </c>
      <c r="I465" s="26">
        <v>62</v>
      </c>
      <c r="J465" s="26">
        <f t="shared" si="21"/>
        <v>64</v>
      </c>
      <c r="K465" s="26"/>
      <c r="L465" s="26"/>
      <c r="M465" s="29">
        <f t="shared" si="22"/>
        <v>6.2</v>
      </c>
      <c r="N465" s="30">
        <f t="shared" si="23"/>
        <v>1.9945390080000001</v>
      </c>
      <c r="O465" s="32"/>
      <c r="P465" s="31" t="s">
        <v>19</v>
      </c>
    </row>
    <row r="466" spans="1:16" x14ac:dyDescent="0.25">
      <c r="A466" s="26">
        <v>465</v>
      </c>
      <c r="B466" s="26"/>
      <c r="C466" s="26" t="s">
        <v>760</v>
      </c>
      <c r="D466" s="28" t="s">
        <v>761</v>
      </c>
      <c r="E466" s="26" t="s">
        <v>18</v>
      </c>
      <c r="F466" s="26"/>
      <c r="G466" s="29">
        <v>7</v>
      </c>
      <c r="H466" s="26">
        <v>69</v>
      </c>
      <c r="I466" s="26">
        <v>66</v>
      </c>
      <c r="J466" s="26">
        <f t="shared" si="21"/>
        <v>67</v>
      </c>
      <c r="K466" s="26"/>
      <c r="L466" s="26"/>
      <c r="M466" s="29">
        <f t="shared" si="22"/>
        <v>7</v>
      </c>
      <c r="N466" s="30">
        <f t="shared" si="23"/>
        <v>2.4679624199999997</v>
      </c>
      <c r="O466" s="32"/>
      <c r="P466" s="31" t="s">
        <v>19</v>
      </c>
    </row>
    <row r="467" spans="1:16" x14ac:dyDescent="0.25">
      <c r="A467" s="26">
        <v>466</v>
      </c>
      <c r="B467" s="26"/>
      <c r="C467" s="26" t="s">
        <v>762</v>
      </c>
      <c r="D467" s="28">
        <v>886</v>
      </c>
      <c r="E467" s="26" t="s">
        <v>18</v>
      </c>
      <c r="F467" s="26"/>
      <c r="G467" s="29">
        <v>14</v>
      </c>
      <c r="H467" s="26">
        <v>89</v>
      </c>
      <c r="I467" s="26">
        <v>70</v>
      </c>
      <c r="J467" s="26">
        <f t="shared" si="21"/>
        <v>79</v>
      </c>
      <c r="K467" s="26"/>
      <c r="L467" s="26"/>
      <c r="M467" s="29">
        <f t="shared" si="22"/>
        <v>14</v>
      </c>
      <c r="N467" s="30">
        <f t="shared" si="23"/>
        <v>6.8623539600000001</v>
      </c>
      <c r="O467" s="32"/>
      <c r="P467" s="31" t="s">
        <v>19</v>
      </c>
    </row>
    <row r="468" spans="1:16" x14ac:dyDescent="0.25">
      <c r="A468" s="26">
        <v>467</v>
      </c>
      <c r="B468" s="26"/>
      <c r="C468" s="26" t="s">
        <v>763</v>
      </c>
      <c r="D468" s="28" t="s">
        <v>764</v>
      </c>
      <c r="E468" s="26" t="s">
        <v>18</v>
      </c>
      <c r="F468" s="26"/>
      <c r="G468" s="29">
        <v>7.6</v>
      </c>
      <c r="H468" s="26">
        <v>75</v>
      </c>
      <c r="I468" s="26">
        <v>65</v>
      </c>
      <c r="J468" s="26">
        <f t="shared" si="21"/>
        <v>70</v>
      </c>
      <c r="K468" s="26"/>
      <c r="L468" s="26"/>
      <c r="M468" s="29">
        <f t="shared" si="22"/>
        <v>7.6</v>
      </c>
      <c r="N468" s="30">
        <f t="shared" si="23"/>
        <v>2.9248295999999998</v>
      </c>
      <c r="O468" s="32"/>
      <c r="P468" s="31" t="s">
        <v>19</v>
      </c>
    </row>
    <row r="469" spans="1:16" x14ac:dyDescent="0.25">
      <c r="A469" s="26">
        <v>468</v>
      </c>
      <c r="B469" s="26"/>
      <c r="C469" s="26" t="s">
        <v>765</v>
      </c>
      <c r="D469" s="28" t="s">
        <v>766</v>
      </c>
      <c r="E469" s="26" t="s">
        <v>18</v>
      </c>
      <c r="F469" s="26"/>
      <c r="G469" s="29">
        <v>10</v>
      </c>
      <c r="H469" s="26">
        <v>89</v>
      </c>
      <c r="I469" s="26">
        <v>76</v>
      </c>
      <c r="J469" s="26">
        <f t="shared" si="21"/>
        <v>82</v>
      </c>
      <c r="K469" s="26"/>
      <c r="L469" s="26"/>
      <c r="M469" s="29">
        <f t="shared" si="22"/>
        <v>10</v>
      </c>
      <c r="N469" s="30">
        <f t="shared" si="23"/>
        <v>5.2810296000000001</v>
      </c>
      <c r="O469" s="32"/>
      <c r="P469" s="31" t="s">
        <v>19</v>
      </c>
    </row>
    <row r="470" spans="1:16" x14ac:dyDescent="0.25">
      <c r="A470" s="26">
        <v>469</v>
      </c>
      <c r="B470" s="26"/>
      <c r="C470" s="26" t="s">
        <v>767</v>
      </c>
      <c r="D470" s="28" t="s">
        <v>768</v>
      </c>
      <c r="E470" s="26" t="s">
        <v>18</v>
      </c>
      <c r="F470" s="26"/>
      <c r="G470" s="29">
        <v>6.2</v>
      </c>
      <c r="H470" s="26">
        <v>79</v>
      </c>
      <c r="I470" s="26">
        <v>74</v>
      </c>
      <c r="J470" s="26">
        <f t="shared" si="21"/>
        <v>76</v>
      </c>
      <c r="K470" s="26"/>
      <c r="L470" s="26"/>
      <c r="M470" s="29">
        <f t="shared" si="22"/>
        <v>6.2</v>
      </c>
      <c r="N470" s="30">
        <f t="shared" si="23"/>
        <v>2.8126116480000003</v>
      </c>
      <c r="O470" s="32"/>
      <c r="P470" s="31" t="s">
        <v>19</v>
      </c>
    </row>
    <row r="471" spans="1:16" x14ac:dyDescent="0.25">
      <c r="A471" s="26">
        <v>470</v>
      </c>
      <c r="B471" s="26"/>
      <c r="C471" s="26" t="s">
        <v>769</v>
      </c>
      <c r="D471" s="28" t="s">
        <v>770</v>
      </c>
      <c r="E471" s="26" t="s">
        <v>18</v>
      </c>
      <c r="F471" s="26"/>
      <c r="G471" s="29">
        <v>12.1</v>
      </c>
      <c r="H471" s="26">
        <v>90</v>
      </c>
      <c r="I471" s="26">
        <v>75</v>
      </c>
      <c r="J471" s="26">
        <f t="shared" si="21"/>
        <v>82</v>
      </c>
      <c r="K471" s="26"/>
      <c r="L471" s="26"/>
      <c r="M471" s="29">
        <f t="shared" si="22"/>
        <v>12.1</v>
      </c>
      <c r="N471" s="30">
        <f t="shared" si="23"/>
        <v>6.3900458159999998</v>
      </c>
      <c r="O471" s="32"/>
      <c r="P471" s="31" t="s">
        <v>19</v>
      </c>
    </row>
    <row r="472" spans="1:16" x14ac:dyDescent="0.25">
      <c r="A472" s="26">
        <v>471</v>
      </c>
      <c r="B472" s="26"/>
      <c r="C472" s="26" t="s">
        <v>771</v>
      </c>
      <c r="D472" s="28" t="s">
        <v>772</v>
      </c>
      <c r="E472" s="26" t="s">
        <v>18</v>
      </c>
      <c r="F472" s="26"/>
      <c r="G472" s="29">
        <v>11</v>
      </c>
      <c r="H472" s="26">
        <v>91</v>
      </c>
      <c r="I472" s="26">
        <v>73</v>
      </c>
      <c r="J472" s="26">
        <f t="shared" si="21"/>
        <v>82</v>
      </c>
      <c r="K472" s="26"/>
      <c r="L472" s="26"/>
      <c r="M472" s="29">
        <f t="shared" si="22"/>
        <v>11</v>
      </c>
      <c r="N472" s="30">
        <f t="shared" si="23"/>
        <v>5.8091325599999992</v>
      </c>
      <c r="O472" s="32"/>
      <c r="P472" s="31" t="s">
        <v>19</v>
      </c>
    </row>
    <row r="473" spans="1:16" x14ac:dyDescent="0.25">
      <c r="A473" s="26">
        <v>472</v>
      </c>
      <c r="B473" s="26"/>
      <c r="C473" s="26" t="s">
        <v>773</v>
      </c>
      <c r="D473" s="28">
        <v>5077</v>
      </c>
      <c r="E473" s="26" t="s">
        <v>18</v>
      </c>
      <c r="F473" s="26"/>
      <c r="G473" s="29">
        <v>7.3</v>
      </c>
      <c r="H473" s="26">
        <v>73</v>
      </c>
      <c r="I473" s="26">
        <v>71</v>
      </c>
      <c r="J473" s="26">
        <f t="shared" si="21"/>
        <v>72</v>
      </c>
      <c r="K473" s="26"/>
      <c r="L473" s="26"/>
      <c r="M473" s="29">
        <f t="shared" si="22"/>
        <v>7.3</v>
      </c>
      <c r="N473" s="30">
        <f t="shared" si="23"/>
        <v>2.9722049279999996</v>
      </c>
      <c r="O473" s="32"/>
      <c r="P473" s="31" t="s">
        <v>30</v>
      </c>
    </row>
    <row r="474" spans="1:16" x14ac:dyDescent="0.25">
      <c r="A474" s="26">
        <v>473</v>
      </c>
      <c r="B474" s="26"/>
      <c r="C474" s="26" t="s">
        <v>774</v>
      </c>
      <c r="D474" s="28" t="s">
        <v>775</v>
      </c>
      <c r="E474" s="26" t="s">
        <v>18</v>
      </c>
      <c r="F474" s="26"/>
      <c r="G474" s="29">
        <v>10</v>
      </c>
      <c r="H474" s="26">
        <v>76</v>
      </c>
      <c r="I474" s="26">
        <v>69</v>
      </c>
      <c r="J474" s="26">
        <f t="shared" si="21"/>
        <v>72</v>
      </c>
      <c r="K474" s="26"/>
      <c r="L474" s="26"/>
      <c r="M474" s="29">
        <f t="shared" si="22"/>
        <v>10</v>
      </c>
      <c r="N474" s="30">
        <f t="shared" si="23"/>
        <v>4.0715136000000003</v>
      </c>
      <c r="O474" s="32"/>
      <c r="P474" s="31" t="s">
        <v>19</v>
      </c>
    </row>
    <row r="475" spans="1:16" x14ac:dyDescent="0.25">
      <c r="A475" s="26">
        <v>474</v>
      </c>
      <c r="B475" s="26"/>
      <c r="C475" s="26" t="s">
        <v>776</v>
      </c>
      <c r="D475" s="28" t="s">
        <v>777</v>
      </c>
      <c r="E475" s="26" t="s">
        <v>18</v>
      </c>
      <c r="F475" s="26"/>
      <c r="G475" s="29">
        <v>6.7</v>
      </c>
      <c r="H475" s="26">
        <v>74</v>
      </c>
      <c r="I475" s="26">
        <v>68</v>
      </c>
      <c r="J475" s="26">
        <f t="shared" si="21"/>
        <v>71</v>
      </c>
      <c r="K475" s="26"/>
      <c r="L475" s="26"/>
      <c r="M475" s="29">
        <f t="shared" si="22"/>
        <v>6.7</v>
      </c>
      <c r="N475" s="30">
        <f t="shared" si="23"/>
        <v>2.6526649380000005</v>
      </c>
      <c r="O475" s="32"/>
      <c r="P475" s="31" t="s">
        <v>19</v>
      </c>
    </row>
    <row r="476" spans="1:16" x14ac:dyDescent="0.25">
      <c r="A476" s="26">
        <v>475</v>
      </c>
      <c r="B476" s="26"/>
      <c r="C476" s="26" t="s">
        <v>778</v>
      </c>
      <c r="D476" s="28" t="s">
        <v>779</v>
      </c>
      <c r="E476" s="26" t="s">
        <v>18</v>
      </c>
      <c r="F476" s="26"/>
      <c r="G476" s="29">
        <v>11</v>
      </c>
      <c r="H476" s="26">
        <v>74</v>
      </c>
      <c r="I476" s="26">
        <v>66</v>
      </c>
      <c r="J476" s="26">
        <f t="shared" si="21"/>
        <v>70</v>
      </c>
      <c r="K476" s="26"/>
      <c r="L476" s="26"/>
      <c r="M476" s="29">
        <f t="shared" si="22"/>
        <v>11</v>
      </c>
      <c r="N476" s="30">
        <f t="shared" si="23"/>
        <v>4.2333059999999998</v>
      </c>
      <c r="O476" s="32"/>
      <c r="P476" s="31" t="s">
        <v>30</v>
      </c>
    </row>
    <row r="477" spans="1:16" x14ac:dyDescent="0.25">
      <c r="A477" s="26">
        <v>476</v>
      </c>
      <c r="B477" s="26"/>
      <c r="C477" s="26" t="s">
        <v>780</v>
      </c>
      <c r="D477" s="28" t="s">
        <v>781</v>
      </c>
      <c r="E477" s="26" t="s">
        <v>18</v>
      </c>
      <c r="F477" s="26"/>
      <c r="G477" s="29">
        <v>11</v>
      </c>
      <c r="H477" s="26">
        <v>83</v>
      </c>
      <c r="I477" s="26">
        <v>68</v>
      </c>
      <c r="J477" s="26">
        <f t="shared" si="21"/>
        <v>75</v>
      </c>
      <c r="K477" s="26"/>
      <c r="L477" s="26"/>
      <c r="M477" s="29">
        <f t="shared" si="22"/>
        <v>11</v>
      </c>
      <c r="N477" s="30">
        <f t="shared" si="23"/>
        <v>4.8596624999999998</v>
      </c>
      <c r="O477" s="32"/>
      <c r="P477" s="31" t="s">
        <v>19</v>
      </c>
    </row>
    <row r="478" spans="1:16" x14ac:dyDescent="0.25">
      <c r="A478" s="26">
        <v>477</v>
      </c>
      <c r="B478" s="26"/>
      <c r="C478" s="26" t="s">
        <v>782</v>
      </c>
      <c r="D478" s="28" t="s">
        <v>783</v>
      </c>
      <c r="E478" s="26" t="s">
        <v>18</v>
      </c>
      <c r="F478" s="26"/>
      <c r="G478" s="29">
        <v>13</v>
      </c>
      <c r="H478" s="26">
        <v>86</v>
      </c>
      <c r="I478" s="26">
        <v>72</v>
      </c>
      <c r="J478" s="26">
        <f t="shared" si="21"/>
        <v>79</v>
      </c>
      <c r="K478" s="26"/>
      <c r="L478" s="26"/>
      <c r="M478" s="29">
        <f t="shared" si="22"/>
        <v>13</v>
      </c>
      <c r="N478" s="30">
        <f t="shared" si="23"/>
        <v>6.3721858200000003</v>
      </c>
      <c r="O478" s="32"/>
      <c r="P478" s="31" t="s">
        <v>19</v>
      </c>
    </row>
    <row r="479" spans="1:16" x14ac:dyDescent="0.25">
      <c r="A479" s="26">
        <v>478</v>
      </c>
      <c r="B479" s="26"/>
      <c r="C479" s="26" t="s">
        <v>784</v>
      </c>
      <c r="D479" s="28">
        <v>5297</v>
      </c>
      <c r="E479" s="26" t="s">
        <v>18</v>
      </c>
      <c r="F479" s="26"/>
      <c r="G479" s="29">
        <v>10.4</v>
      </c>
      <c r="H479" s="26">
        <v>72</v>
      </c>
      <c r="I479" s="26">
        <v>68</v>
      </c>
      <c r="J479" s="26">
        <f t="shared" si="21"/>
        <v>70</v>
      </c>
      <c r="K479" s="26"/>
      <c r="L479" s="26"/>
      <c r="M479" s="29">
        <f t="shared" si="22"/>
        <v>10.4</v>
      </c>
      <c r="N479" s="30">
        <f t="shared" si="23"/>
        <v>4.0023983999999997</v>
      </c>
      <c r="O479" s="32"/>
      <c r="P479" s="31" t="s">
        <v>30</v>
      </c>
    </row>
    <row r="480" spans="1:16" x14ac:dyDescent="0.25">
      <c r="A480" s="26">
        <v>479</v>
      </c>
      <c r="B480" s="26"/>
      <c r="C480" s="26" t="s">
        <v>785</v>
      </c>
      <c r="D480" s="28" t="s">
        <v>786</v>
      </c>
      <c r="E480" s="26" t="s">
        <v>18</v>
      </c>
      <c r="F480" s="26"/>
      <c r="G480" s="29">
        <v>12</v>
      </c>
      <c r="H480" s="26">
        <v>79</v>
      </c>
      <c r="I480" s="26">
        <v>66</v>
      </c>
      <c r="J480" s="26">
        <f t="shared" si="21"/>
        <v>72</v>
      </c>
      <c r="K480" s="26"/>
      <c r="L480" s="26"/>
      <c r="M480" s="29">
        <f t="shared" si="22"/>
        <v>12</v>
      </c>
      <c r="N480" s="30">
        <f t="shared" si="23"/>
        <v>4.88581632</v>
      </c>
      <c r="O480" s="32"/>
      <c r="P480" s="31" t="s">
        <v>19</v>
      </c>
    </row>
    <row r="481" spans="1:16" x14ac:dyDescent="0.25">
      <c r="A481" s="26">
        <v>480</v>
      </c>
      <c r="B481" s="26"/>
      <c r="C481" s="26" t="s">
        <v>787</v>
      </c>
      <c r="D481" s="28" t="s">
        <v>788</v>
      </c>
      <c r="E481" s="26" t="s">
        <v>18</v>
      </c>
      <c r="F481" s="26"/>
      <c r="G481" s="29">
        <v>5.2</v>
      </c>
      <c r="H481" s="26">
        <v>72</v>
      </c>
      <c r="I481" s="26">
        <v>67</v>
      </c>
      <c r="J481" s="26">
        <f t="shared" si="21"/>
        <v>69</v>
      </c>
      <c r="K481" s="26"/>
      <c r="L481" s="26"/>
      <c r="M481" s="29">
        <f t="shared" si="22"/>
        <v>5.2</v>
      </c>
      <c r="N481" s="30">
        <f t="shared" si="23"/>
        <v>1.9444304880000001</v>
      </c>
      <c r="O481" s="32"/>
      <c r="P481" s="31" t="s">
        <v>19</v>
      </c>
    </row>
    <row r="482" spans="1:16" x14ac:dyDescent="0.25">
      <c r="A482" s="26">
        <v>481</v>
      </c>
      <c r="B482" s="26"/>
      <c r="C482" s="26" t="s">
        <v>789</v>
      </c>
      <c r="D482" s="28" t="s">
        <v>790</v>
      </c>
      <c r="E482" s="26" t="s">
        <v>18</v>
      </c>
      <c r="F482" s="26"/>
      <c r="G482" s="29">
        <v>13</v>
      </c>
      <c r="H482" s="26">
        <v>100</v>
      </c>
      <c r="I482" s="26">
        <v>85</v>
      </c>
      <c r="J482" s="26">
        <f t="shared" si="21"/>
        <v>92</v>
      </c>
      <c r="K482" s="26"/>
      <c r="L482" s="26"/>
      <c r="M482" s="29">
        <f t="shared" si="22"/>
        <v>13</v>
      </c>
      <c r="N482" s="30">
        <f t="shared" si="23"/>
        <v>8.6419132799999989</v>
      </c>
      <c r="O482" s="32"/>
      <c r="P482" s="31" t="s">
        <v>19</v>
      </c>
    </row>
    <row r="483" spans="1:16" x14ac:dyDescent="0.25">
      <c r="A483" s="26">
        <v>482</v>
      </c>
      <c r="B483" s="26"/>
      <c r="C483" s="26" t="s">
        <v>791</v>
      </c>
      <c r="D483" s="28" t="s">
        <v>792</v>
      </c>
      <c r="E483" s="26" t="s">
        <v>18</v>
      </c>
      <c r="F483" s="26"/>
      <c r="G483" s="29">
        <v>8.1</v>
      </c>
      <c r="H483" s="26">
        <v>86</v>
      </c>
      <c r="I483" s="26">
        <v>81</v>
      </c>
      <c r="J483" s="26">
        <f t="shared" si="21"/>
        <v>83</v>
      </c>
      <c r="K483" s="26"/>
      <c r="L483" s="26"/>
      <c r="M483" s="29">
        <f t="shared" si="22"/>
        <v>8.1</v>
      </c>
      <c r="N483" s="30">
        <f t="shared" si="23"/>
        <v>4.3826026860000002</v>
      </c>
      <c r="O483" s="32"/>
      <c r="P483" s="31" t="s">
        <v>19</v>
      </c>
    </row>
    <row r="484" spans="1:16" x14ac:dyDescent="0.25">
      <c r="A484" s="26">
        <v>483</v>
      </c>
      <c r="B484" s="26"/>
      <c r="C484" s="26" t="s">
        <v>793</v>
      </c>
      <c r="D484" s="28" t="s">
        <v>794</v>
      </c>
      <c r="E484" s="26" t="s">
        <v>18</v>
      </c>
      <c r="F484" s="26"/>
      <c r="G484" s="29">
        <v>13.5</v>
      </c>
      <c r="H484" s="26">
        <v>92</v>
      </c>
      <c r="I484" s="26">
        <v>67</v>
      </c>
      <c r="J484" s="26">
        <f t="shared" si="21"/>
        <v>79</v>
      </c>
      <c r="K484" s="26"/>
      <c r="L484" s="26"/>
      <c r="M484" s="29">
        <f t="shared" si="22"/>
        <v>13.5</v>
      </c>
      <c r="N484" s="30">
        <f t="shared" si="23"/>
        <v>6.6172698900000002</v>
      </c>
      <c r="O484" s="32"/>
      <c r="P484" s="31" t="s">
        <v>19</v>
      </c>
    </row>
    <row r="485" spans="1:16" x14ac:dyDescent="0.25">
      <c r="A485" s="26">
        <v>484</v>
      </c>
      <c r="B485" s="26"/>
      <c r="C485" s="26" t="s">
        <v>795</v>
      </c>
      <c r="D485" s="28">
        <v>894</v>
      </c>
      <c r="E485" s="26" t="s">
        <v>18</v>
      </c>
      <c r="F485" s="26"/>
      <c r="G485" s="29">
        <v>9</v>
      </c>
      <c r="H485" s="26">
        <v>73</v>
      </c>
      <c r="I485" s="26">
        <v>65</v>
      </c>
      <c r="J485" s="26">
        <f t="shared" si="21"/>
        <v>69</v>
      </c>
      <c r="K485" s="26"/>
      <c r="L485" s="26"/>
      <c r="M485" s="29">
        <f t="shared" si="22"/>
        <v>9</v>
      </c>
      <c r="N485" s="30">
        <f t="shared" si="23"/>
        <v>3.3653604599999998</v>
      </c>
      <c r="O485" s="32"/>
      <c r="P485" s="31" t="s">
        <v>19</v>
      </c>
    </row>
    <row r="486" spans="1:16" x14ac:dyDescent="0.25">
      <c r="A486" s="26">
        <v>485</v>
      </c>
      <c r="B486" s="26"/>
      <c r="C486" s="26" t="s">
        <v>796</v>
      </c>
      <c r="D486" s="28">
        <v>895</v>
      </c>
      <c r="E486" s="26" t="s">
        <v>18</v>
      </c>
      <c r="F486" s="26"/>
      <c r="G486" s="29">
        <v>13.5</v>
      </c>
      <c r="H486" s="26">
        <v>83</v>
      </c>
      <c r="I486" s="26">
        <v>68</v>
      </c>
      <c r="J486" s="26">
        <f t="shared" si="21"/>
        <v>75</v>
      </c>
      <c r="K486" s="26">
        <v>0.5</v>
      </c>
      <c r="L486" s="26"/>
      <c r="M486" s="29">
        <f t="shared" si="22"/>
        <v>13</v>
      </c>
      <c r="N486" s="30">
        <f t="shared" si="23"/>
        <v>5.7432375000000002</v>
      </c>
      <c r="O486" s="32" t="s">
        <v>157</v>
      </c>
      <c r="P486" s="31" t="s">
        <v>19</v>
      </c>
    </row>
    <row r="487" spans="1:16" x14ac:dyDescent="0.25">
      <c r="A487" s="26">
        <v>486</v>
      </c>
      <c r="B487" s="26"/>
      <c r="C487" s="26" t="s">
        <v>797</v>
      </c>
      <c r="D487" s="28">
        <v>896</v>
      </c>
      <c r="E487" s="26" t="s">
        <v>18</v>
      </c>
      <c r="F487" s="26"/>
      <c r="G487" s="29">
        <v>13.5</v>
      </c>
      <c r="H487" s="26">
        <v>78</v>
      </c>
      <c r="I487" s="26">
        <v>69</v>
      </c>
      <c r="J487" s="26">
        <f t="shared" si="21"/>
        <v>73</v>
      </c>
      <c r="K487" s="26"/>
      <c r="L487" s="26"/>
      <c r="M487" s="29">
        <f t="shared" si="22"/>
        <v>13.5</v>
      </c>
      <c r="N487" s="30">
        <f t="shared" si="23"/>
        <v>5.6502854099999995</v>
      </c>
      <c r="O487" s="32"/>
      <c r="P487" s="31" t="s">
        <v>19</v>
      </c>
    </row>
    <row r="488" spans="1:16" x14ac:dyDescent="0.25">
      <c r="A488" s="26">
        <v>487</v>
      </c>
      <c r="B488" s="26"/>
      <c r="C488" s="26" t="s">
        <v>798</v>
      </c>
      <c r="D488" s="28" t="s">
        <v>799</v>
      </c>
      <c r="E488" s="26" t="s">
        <v>18</v>
      </c>
      <c r="F488" s="26"/>
      <c r="G488" s="29">
        <v>8.8000000000000007</v>
      </c>
      <c r="H488" s="26">
        <v>80</v>
      </c>
      <c r="I488" s="26">
        <v>74</v>
      </c>
      <c r="J488" s="26">
        <f t="shared" si="21"/>
        <v>77</v>
      </c>
      <c r="K488" s="26">
        <v>1</v>
      </c>
      <c r="L488" s="26"/>
      <c r="M488" s="29">
        <f t="shared" si="22"/>
        <v>7.8000000000000007</v>
      </c>
      <c r="N488" s="30">
        <f t="shared" si="23"/>
        <v>3.6321765480000003</v>
      </c>
      <c r="O488" s="32" t="s">
        <v>53</v>
      </c>
      <c r="P488" s="31" t="s">
        <v>30</v>
      </c>
    </row>
    <row r="489" spans="1:16" x14ac:dyDescent="0.25">
      <c r="A489" s="26">
        <v>488</v>
      </c>
      <c r="B489" s="26"/>
      <c r="C489" s="26" t="s">
        <v>800</v>
      </c>
      <c r="D489" s="28" t="s">
        <v>801</v>
      </c>
      <c r="E489" s="26" t="s">
        <v>18</v>
      </c>
      <c r="F489" s="26"/>
      <c r="G489" s="29">
        <v>9.6999999999999993</v>
      </c>
      <c r="H489" s="26">
        <v>84</v>
      </c>
      <c r="I489" s="26">
        <v>76</v>
      </c>
      <c r="J489" s="26">
        <f t="shared" si="21"/>
        <v>80</v>
      </c>
      <c r="K489" s="26">
        <v>1</v>
      </c>
      <c r="L489" s="26"/>
      <c r="M489" s="29">
        <f t="shared" si="22"/>
        <v>8.6999999999999993</v>
      </c>
      <c r="N489" s="30">
        <f t="shared" si="23"/>
        <v>4.3731071999999989</v>
      </c>
      <c r="O489" s="32" t="s">
        <v>53</v>
      </c>
      <c r="P489" s="31" t="s">
        <v>19</v>
      </c>
    </row>
    <row r="490" spans="1:16" x14ac:dyDescent="0.25">
      <c r="A490" s="26">
        <v>489</v>
      </c>
      <c r="B490" s="26"/>
      <c r="C490" s="26" t="s">
        <v>802</v>
      </c>
      <c r="D490" s="28" t="s">
        <v>803</v>
      </c>
      <c r="E490" s="26" t="s">
        <v>18</v>
      </c>
      <c r="F490" s="26"/>
      <c r="G490" s="29">
        <v>5.0999999999999996</v>
      </c>
      <c r="H490" s="26">
        <v>69</v>
      </c>
      <c r="I490" s="26">
        <v>61</v>
      </c>
      <c r="J490" s="26">
        <f t="shared" si="21"/>
        <v>65</v>
      </c>
      <c r="K490" s="26"/>
      <c r="L490" s="26"/>
      <c r="M490" s="29">
        <f t="shared" si="22"/>
        <v>5.0999999999999996</v>
      </c>
      <c r="N490" s="30">
        <f t="shared" si="23"/>
        <v>1.69234065</v>
      </c>
      <c r="O490" s="32"/>
      <c r="P490" s="31" t="s">
        <v>19</v>
      </c>
    </row>
    <row r="491" spans="1:16" x14ac:dyDescent="0.25">
      <c r="A491" s="26">
        <v>490</v>
      </c>
      <c r="B491" s="26"/>
      <c r="C491" s="26" t="s">
        <v>804</v>
      </c>
      <c r="D491" s="28" t="s">
        <v>805</v>
      </c>
      <c r="E491" s="26" t="s">
        <v>18</v>
      </c>
      <c r="F491" s="26"/>
      <c r="G491" s="29">
        <v>5.8</v>
      </c>
      <c r="H491" s="26">
        <v>68</v>
      </c>
      <c r="I491" s="26">
        <v>61</v>
      </c>
      <c r="J491" s="26">
        <f t="shared" si="21"/>
        <v>64</v>
      </c>
      <c r="K491" s="26"/>
      <c r="L491" s="26"/>
      <c r="M491" s="29">
        <f t="shared" si="22"/>
        <v>5.8</v>
      </c>
      <c r="N491" s="30">
        <f t="shared" si="23"/>
        <v>1.8658590720000001</v>
      </c>
      <c r="O491" s="32"/>
      <c r="P491" s="31" t="s">
        <v>30</v>
      </c>
    </row>
    <row r="492" spans="1:16" x14ac:dyDescent="0.25">
      <c r="A492" s="26">
        <v>491</v>
      </c>
      <c r="B492" s="26"/>
      <c r="C492" s="26" t="s">
        <v>806</v>
      </c>
      <c r="D492" s="28" t="s">
        <v>807</v>
      </c>
      <c r="E492" s="26" t="s">
        <v>18</v>
      </c>
      <c r="F492" s="26"/>
      <c r="G492" s="29">
        <v>13.5</v>
      </c>
      <c r="H492" s="26">
        <v>85</v>
      </c>
      <c r="I492" s="26">
        <v>62</v>
      </c>
      <c r="J492" s="26">
        <f t="shared" si="21"/>
        <v>73</v>
      </c>
      <c r="K492" s="26"/>
      <c r="L492" s="26"/>
      <c r="M492" s="29">
        <f t="shared" si="22"/>
        <v>13.5</v>
      </c>
      <c r="N492" s="30">
        <f t="shared" si="23"/>
        <v>5.6502854099999995</v>
      </c>
      <c r="O492" s="32"/>
      <c r="P492" s="31" t="s">
        <v>19</v>
      </c>
    </row>
    <row r="493" spans="1:16" x14ac:dyDescent="0.25">
      <c r="A493" s="26">
        <v>492</v>
      </c>
      <c r="B493" s="26"/>
      <c r="C493" s="26" t="s">
        <v>808</v>
      </c>
      <c r="D493" s="28" t="s">
        <v>809</v>
      </c>
      <c r="E493" s="26" t="s">
        <v>18</v>
      </c>
      <c r="F493" s="26"/>
      <c r="G493" s="29">
        <v>13.5</v>
      </c>
      <c r="H493" s="26">
        <v>88</v>
      </c>
      <c r="I493" s="26">
        <v>68</v>
      </c>
      <c r="J493" s="26">
        <f t="shared" si="21"/>
        <v>78</v>
      </c>
      <c r="K493" s="26"/>
      <c r="L493" s="26"/>
      <c r="M493" s="29">
        <f t="shared" si="22"/>
        <v>13.5</v>
      </c>
      <c r="N493" s="30">
        <f t="shared" si="23"/>
        <v>6.4508043599999993</v>
      </c>
      <c r="O493" s="32"/>
      <c r="P493" s="31" t="s">
        <v>19</v>
      </c>
    </row>
    <row r="494" spans="1:16" x14ac:dyDescent="0.25">
      <c r="A494" s="26">
        <v>493</v>
      </c>
      <c r="B494" s="26"/>
      <c r="C494" s="26" t="s">
        <v>810</v>
      </c>
      <c r="D494" s="28">
        <v>1100</v>
      </c>
      <c r="E494" s="26" t="s">
        <v>18</v>
      </c>
      <c r="F494" s="26"/>
      <c r="G494" s="29">
        <v>10.7</v>
      </c>
      <c r="H494" s="26">
        <v>79</v>
      </c>
      <c r="I494" s="26">
        <v>74</v>
      </c>
      <c r="J494" s="26">
        <f t="shared" si="21"/>
        <v>76</v>
      </c>
      <c r="K494" s="26"/>
      <c r="L494" s="26"/>
      <c r="M494" s="29">
        <f t="shared" si="22"/>
        <v>10.7</v>
      </c>
      <c r="N494" s="30">
        <f t="shared" si="23"/>
        <v>4.8540233280000002</v>
      </c>
      <c r="O494" s="32"/>
      <c r="P494" s="31" t="s">
        <v>30</v>
      </c>
    </row>
    <row r="495" spans="1:16" x14ac:dyDescent="0.25">
      <c r="A495" s="26">
        <v>494</v>
      </c>
      <c r="B495" s="26"/>
      <c r="C495" s="26" t="s">
        <v>811</v>
      </c>
      <c r="D495" s="28" t="s">
        <v>812</v>
      </c>
      <c r="E495" s="26" t="s">
        <v>18</v>
      </c>
      <c r="F495" s="26"/>
      <c r="G495" s="29">
        <v>9.5</v>
      </c>
      <c r="H495" s="26">
        <v>103</v>
      </c>
      <c r="I495" s="26">
        <v>82</v>
      </c>
      <c r="J495" s="26">
        <f t="shared" si="21"/>
        <v>92</v>
      </c>
      <c r="K495" s="26"/>
      <c r="L495" s="26"/>
      <c r="M495" s="29">
        <f t="shared" si="22"/>
        <v>9.5</v>
      </c>
      <c r="N495" s="30">
        <f t="shared" si="23"/>
        <v>6.3152443200000006</v>
      </c>
      <c r="O495" s="32"/>
      <c r="P495" s="31" t="s">
        <v>19</v>
      </c>
    </row>
    <row r="496" spans="1:16" x14ac:dyDescent="0.25">
      <c r="A496" s="26">
        <v>495</v>
      </c>
      <c r="B496" s="26"/>
      <c r="C496" s="26" t="s">
        <v>813</v>
      </c>
      <c r="D496" s="28" t="s">
        <v>814</v>
      </c>
      <c r="E496" s="26" t="s">
        <v>18</v>
      </c>
      <c r="F496" s="26"/>
      <c r="G496" s="29">
        <v>13</v>
      </c>
      <c r="H496" s="26">
        <v>86</v>
      </c>
      <c r="I496" s="26">
        <v>77</v>
      </c>
      <c r="J496" s="26">
        <f t="shared" si="21"/>
        <v>81</v>
      </c>
      <c r="K496" s="26"/>
      <c r="L496" s="26"/>
      <c r="M496" s="29">
        <f t="shared" si="22"/>
        <v>13</v>
      </c>
      <c r="N496" s="30">
        <f t="shared" si="23"/>
        <v>6.6989122199999995</v>
      </c>
      <c r="O496" s="32"/>
      <c r="P496" s="31" t="s">
        <v>19</v>
      </c>
    </row>
    <row r="497" spans="1:16" x14ac:dyDescent="0.25">
      <c r="A497" s="26">
        <v>496</v>
      </c>
      <c r="B497" s="26"/>
      <c r="C497" s="26" t="s">
        <v>815</v>
      </c>
      <c r="D497" s="28" t="s">
        <v>816</v>
      </c>
      <c r="E497" s="26" t="s">
        <v>18</v>
      </c>
      <c r="F497" s="26"/>
      <c r="G497" s="29">
        <v>11.5</v>
      </c>
      <c r="H497" s="26">
        <v>74</v>
      </c>
      <c r="I497" s="26">
        <v>65</v>
      </c>
      <c r="J497" s="26">
        <f t="shared" si="21"/>
        <v>69</v>
      </c>
      <c r="K497" s="26"/>
      <c r="L497" s="26"/>
      <c r="M497" s="29">
        <f t="shared" si="22"/>
        <v>11.5</v>
      </c>
      <c r="N497" s="30">
        <f t="shared" si="23"/>
        <v>4.3001828099999999</v>
      </c>
      <c r="O497" s="32"/>
      <c r="P497" s="31" t="s">
        <v>19</v>
      </c>
    </row>
    <row r="498" spans="1:16" x14ac:dyDescent="0.25">
      <c r="A498" s="26">
        <v>497</v>
      </c>
      <c r="B498" s="26"/>
      <c r="C498" s="26" t="s">
        <v>817</v>
      </c>
      <c r="D498" s="28" t="s">
        <v>818</v>
      </c>
      <c r="E498" s="26" t="s">
        <v>18</v>
      </c>
      <c r="F498" s="26"/>
      <c r="G498" s="29">
        <v>13.5</v>
      </c>
      <c r="H498" s="26">
        <v>93</v>
      </c>
      <c r="I498" s="26">
        <v>76</v>
      </c>
      <c r="J498" s="26">
        <f t="shared" si="21"/>
        <v>84</v>
      </c>
      <c r="K498" s="26"/>
      <c r="L498" s="26"/>
      <c r="M498" s="29">
        <f t="shared" si="22"/>
        <v>13.5</v>
      </c>
      <c r="N498" s="30">
        <f t="shared" si="23"/>
        <v>7.4814062399999992</v>
      </c>
      <c r="O498" s="32"/>
      <c r="P498" s="31" t="s">
        <v>19</v>
      </c>
    </row>
    <row r="499" spans="1:16" x14ac:dyDescent="0.25">
      <c r="A499" s="26">
        <v>498</v>
      </c>
      <c r="B499" s="26"/>
      <c r="C499" s="26" t="s">
        <v>819</v>
      </c>
      <c r="D499" s="28" t="s">
        <v>820</v>
      </c>
      <c r="E499" s="26" t="s">
        <v>18</v>
      </c>
      <c r="F499" s="26"/>
      <c r="G499" s="29">
        <v>5.0999999999999996</v>
      </c>
      <c r="H499" s="26">
        <v>76</v>
      </c>
      <c r="I499" s="26">
        <v>65</v>
      </c>
      <c r="J499" s="26">
        <f t="shared" si="21"/>
        <v>70</v>
      </c>
      <c r="K499" s="26"/>
      <c r="L499" s="26"/>
      <c r="M499" s="29">
        <f t="shared" si="22"/>
        <v>5.0999999999999996</v>
      </c>
      <c r="N499" s="30">
        <f t="shared" si="23"/>
        <v>1.9627146</v>
      </c>
      <c r="O499" s="32"/>
      <c r="P499" s="31" t="s">
        <v>19</v>
      </c>
    </row>
    <row r="500" spans="1:16" x14ac:dyDescent="0.25">
      <c r="A500" s="26">
        <v>499</v>
      </c>
      <c r="B500" s="26"/>
      <c r="C500" s="26" t="s">
        <v>821</v>
      </c>
      <c r="D500" s="28" t="s">
        <v>822</v>
      </c>
      <c r="E500" s="26" t="s">
        <v>18</v>
      </c>
      <c r="F500" s="26"/>
      <c r="G500" s="29">
        <v>6</v>
      </c>
      <c r="H500" s="26">
        <v>69</v>
      </c>
      <c r="I500" s="26">
        <v>67</v>
      </c>
      <c r="J500" s="26">
        <f t="shared" si="21"/>
        <v>68</v>
      </c>
      <c r="K500" s="26"/>
      <c r="L500" s="26"/>
      <c r="M500" s="29">
        <f t="shared" si="22"/>
        <v>6</v>
      </c>
      <c r="N500" s="30">
        <f t="shared" si="23"/>
        <v>2.1790137599999997</v>
      </c>
      <c r="O500" s="32"/>
      <c r="P500" s="31" t="s">
        <v>19</v>
      </c>
    </row>
    <row r="501" spans="1:16" x14ac:dyDescent="0.25">
      <c r="A501" s="26">
        <v>500</v>
      </c>
      <c r="B501" s="26"/>
      <c r="C501" s="26" t="s">
        <v>823</v>
      </c>
      <c r="D501" s="28" t="s">
        <v>824</v>
      </c>
      <c r="E501" s="26" t="s">
        <v>18</v>
      </c>
      <c r="F501" s="26"/>
      <c r="G501" s="29">
        <v>7.2</v>
      </c>
      <c r="H501" s="26">
        <v>75</v>
      </c>
      <c r="I501" s="26">
        <v>72</v>
      </c>
      <c r="J501" s="26">
        <f t="shared" si="21"/>
        <v>73</v>
      </c>
      <c r="K501" s="26"/>
      <c r="L501" s="26"/>
      <c r="M501" s="29">
        <f t="shared" si="22"/>
        <v>7.2</v>
      </c>
      <c r="N501" s="30">
        <f t="shared" si="23"/>
        <v>3.0134855520000001</v>
      </c>
      <c r="O501" s="32"/>
      <c r="P501" s="31" t="s">
        <v>19</v>
      </c>
    </row>
    <row r="502" spans="1:16" x14ac:dyDescent="0.25">
      <c r="A502" s="26">
        <v>501</v>
      </c>
      <c r="B502" s="26"/>
      <c r="C502" s="26" t="s">
        <v>825</v>
      </c>
      <c r="D502" s="28" t="s">
        <v>826</v>
      </c>
      <c r="E502" s="26" t="s">
        <v>18</v>
      </c>
      <c r="F502" s="26"/>
      <c r="G502" s="29">
        <v>12</v>
      </c>
      <c r="H502" s="26">
        <v>84</v>
      </c>
      <c r="I502" s="26">
        <v>80</v>
      </c>
      <c r="J502" s="26">
        <f t="shared" si="21"/>
        <v>82</v>
      </c>
      <c r="K502" s="26">
        <v>0.5</v>
      </c>
      <c r="L502" s="26"/>
      <c r="M502" s="29">
        <f t="shared" si="22"/>
        <v>11.5</v>
      </c>
      <c r="N502" s="30">
        <f t="shared" si="23"/>
        <v>6.0731840400000001</v>
      </c>
      <c r="O502" s="32" t="s">
        <v>21</v>
      </c>
      <c r="P502" s="31" t="s">
        <v>19</v>
      </c>
    </row>
    <row r="503" spans="1:16" x14ac:dyDescent="0.25">
      <c r="A503" s="26">
        <v>502</v>
      </c>
      <c r="B503" s="26"/>
      <c r="C503" s="26" t="s">
        <v>827</v>
      </c>
      <c r="D503" s="28">
        <v>1104</v>
      </c>
      <c r="E503" s="26" t="s">
        <v>18</v>
      </c>
      <c r="F503" s="26"/>
      <c r="G503" s="29">
        <v>12.5</v>
      </c>
      <c r="H503" s="26">
        <v>108</v>
      </c>
      <c r="I503" s="26">
        <v>99</v>
      </c>
      <c r="J503" s="26">
        <f t="shared" si="21"/>
        <v>103</v>
      </c>
      <c r="K503" s="26"/>
      <c r="L503" s="26"/>
      <c r="M503" s="29">
        <f t="shared" si="22"/>
        <v>12.5</v>
      </c>
      <c r="N503" s="30">
        <f t="shared" si="23"/>
        <v>10.41538575</v>
      </c>
      <c r="O503" s="32"/>
      <c r="P503" s="31" t="s">
        <v>30</v>
      </c>
    </row>
    <row r="504" spans="1:16" x14ac:dyDescent="0.25">
      <c r="A504" s="26">
        <v>503</v>
      </c>
      <c r="B504" s="26"/>
      <c r="C504" s="26" t="s">
        <v>828</v>
      </c>
      <c r="D504" s="28" t="s">
        <v>829</v>
      </c>
      <c r="E504" s="26" t="s">
        <v>18</v>
      </c>
      <c r="F504" s="26"/>
      <c r="G504" s="29">
        <v>14</v>
      </c>
      <c r="H504" s="26">
        <v>71</v>
      </c>
      <c r="I504" s="26">
        <v>61</v>
      </c>
      <c r="J504" s="26">
        <f t="shared" si="21"/>
        <v>66</v>
      </c>
      <c r="K504" s="26"/>
      <c r="L504" s="26"/>
      <c r="M504" s="29">
        <f t="shared" si="22"/>
        <v>14</v>
      </c>
      <c r="N504" s="30">
        <f t="shared" si="23"/>
        <v>4.7896833599999997</v>
      </c>
      <c r="O504" s="32"/>
      <c r="P504" s="31" t="s">
        <v>19</v>
      </c>
    </row>
    <row r="505" spans="1:16" x14ac:dyDescent="0.25">
      <c r="A505" s="26">
        <v>504</v>
      </c>
      <c r="B505" s="26"/>
      <c r="C505" s="26" t="s">
        <v>830</v>
      </c>
      <c r="D505" s="28" t="s">
        <v>831</v>
      </c>
      <c r="E505" s="26" t="s">
        <v>18</v>
      </c>
      <c r="F505" s="26"/>
      <c r="G505" s="29">
        <v>11.9</v>
      </c>
      <c r="H505" s="26">
        <v>78</v>
      </c>
      <c r="I505" s="26">
        <v>66</v>
      </c>
      <c r="J505" s="26">
        <f t="shared" si="21"/>
        <v>72</v>
      </c>
      <c r="K505" s="26"/>
      <c r="L505" s="26"/>
      <c r="M505" s="29">
        <f t="shared" si="22"/>
        <v>11.9</v>
      </c>
      <c r="N505" s="30">
        <f t="shared" si="23"/>
        <v>4.8451011839999998</v>
      </c>
      <c r="O505" s="32"/>
      <c r="P505" s="31" t="s">
        <v>19</v>
      </c>
    </row>
    <row r="506" spans="1:16" x14ac:dyDescent="0.25">
      <c r="A506" s="26">
        <v>505</v>
      </c>
      <c r="B506" s="26"/>
      <c r="C506" s="26" t="s">
        <v>832</v>
      </c>
      <c r="D506" s="28" t="s">
        <v>833</v>
      </c>
      <c r="E506" s="26" t="s">
        <v>18</v>
      </c>
      <c r="F506" s="26"/>
      <c r="G506" s="29">
        <v>12.1</v>
      </c>
      <c r="H506" s="26">
        <v>80</v>
      </c>
      <c r="I506" s="26">
        <v>68</v>
      </c>
      <c r="J506" s="26">
        <f t="shared" si="21"/>
        <v>74</v>
      </c>
      <c r="K506" s="26"/>
      <c r="L506" s="26"/>
      <c r="M506" s="29">
        <f t="shared" si="22"/>
        <v>12.1</v>
      </c>
      <c r="N506" s="30">
        <f t="shared" si="23"/>
        <v>5.2040289839999989</v>
      </c>
      <c r="O506" s="32"/>
      <c r="P506" s="31" t="s">
        <v>30</v>
      </c>
    </row>
    <row r="507" spans="1:16" x14ac:dyDescent="0.25">
      <c r="A507" s="26">
        <v>506</v>
      </c>
      <c r="B507" s="26"/>
      <c r="C507" s="26" t="s">
        <v>834</v>
      </c>
      <c r="D507" s="28" t="s">
        <v>835</v>
      </c>
      <c r="E507" s="26" t="s">
        <v>18</v>
      </c>
      <c r="F507" s="26"/>
      <c r="G507" s="29">
        <v>11.6</v>
      </c>
      <c r="H507" s="26">
        <v>73</v>
      </c>
      <c r="I507" s="26">
        <v>69</v>
      </c>
      <c r="J507" s="26">
        <f t="shared" si="21"/>
        <v>71</v>
      </c>
      <c r="K507" s="26">
        <v>0.5</v>
      </c>
      <c r="L507" s="26"/>
      <c r="M507" s="29">
        <f t="shared" si="22"/>
        <v>11.1</v>
      </c>
      <c r="N507" s="30">
        <f t="shared" si="23"/>
        <v>4.394713554</v>
      </c>
      <c r="O507" s="32" t="s">
        <v>21</v>
      </c>
      <c r="P507" s="31" t="s">
        <v>19</v>
      </c>
    </row>
    <row r="508" spans="1:16" x14ac:dyDescent="0.25">
      <c r="A508" s="26">
        <v>507</v>
      </c>
      <c r="B508" s="26"/>
      <c r="C508" s="26" t="s">
        <v>836</v>
      </c>
      <c r="D508" s="28">
        <v>1106</v>
      </c>
      <c r="E508" s="26" t="s">
        <v>18</v>
      </c>
      <c r="F508" s="26"/>
      <c r="G508" s="29">
        <v>5.4</v>
      </c>
      <c r="H508" s="26">
        <v>81</v>
      </c>
      <c r="I508" s="26">
        <v>70</v>
      </c>
      <c r="J508" s="26">
        <f t="shared" si="21"/>
        <v>75</v>
      </c>
      <c r="K508" s="26"/>
      <c r="L508" s="26"/>
      <c r="M508" s="29">
        <f t="shared" si="22"/>
        <v>5.4</v>
      </c>
      <c r="N508" s="30">
        <f t="shared" si="23"/>
        <v>2.3856525</v>
      </c>
      <c r="O508" s="32"/>
      <c r="P508" s="31" t="s">
        <v>19</v>
      </c>
    </row>
    <row r="509" spans="1:16" x14ac:dyDescent="0.25">
      <c r="A509" s="26">
        <v>508</v>
      </c>
      <c r="B509" s="26"/>
      <c r="C509" s="26" t="s">
        <v>837</v>
      </c>
      <c r="D509" s="28" t="s">
        <v>838</v>
      </c>
      <c r="E509" s="26" t="s">
        <v>18</v>
      </c>
      <c r="F509" s="26"/>
      <c r="G509" s="29">
        <v>6.4</v>
      </c>
      <c r="H509" s="26">
        <v>73</v>
      </c>
      <c r="I509" s="26">
        <v>61</v>
      </c>
      <c r="J509" s="26">
        <f t="shared" si="21"/>
        <v>67</v>
      </c>
      <c r="K509" s="26"/>
      <c r="L509" s="26"/>
      <c r="M509" s="29">
        <f t="shared" si="22"/>
        <v>6.4</v>
      </c>
      <c r="N509" s="30">
        <f t="shared" si="23"/>
        <v>2.2564227839999997</v>
      </c>
      <c r="O509" s="32"/>
      <c r="P509" s="31" t="s">
        <v>30</v>
      </c>
    </row>
    <row r="510" spans="1:16" x14ac:dyDescent="0.25">
      <c r="A510" s="26">
        <v>509</v>
      </c>
      <c r="B510" s="26"/>
      <c r="C510" s="26" t="s">
        <v>839</v>
      </c>
      <c r="D510" s="28" t="s">
        <v>840</v>
      </c>
      <c r="E510" s="26" t="s">
        <v>18</v>
      </c>
      <c r="F510" s="26"/>
      <c r="G510" s="29">
        <v>12</v>
      </c>
      <c r="H510" s="26">
        <v>97</v>
      </c>
      <c r="I510" s="26">
        <v>85</v>
      </c>
      <c r="J510" s="26">
        <f t="shared" si="21"/>
        <v>91</v>
      </c>
      <c r="K510" s="26"/>
      <c r="L510" s="26"/>
      <c r="M510" s="29">
        <f t="shared" si="22"/>
        <v>12</v>
      </c>
      <c r="N510" s="30">
        <f t="shared" si="23"/>
        <v>7.8046768800000006</v>
      </c>
      <c r="O510" s="32"/>
      <c r="P510" s="31" t="s">
        <v>19</v>
      </c>
    </row>
    <row r="511" spans="1:16" x14ac:dyDescent="0.25">
      <c r="A511" s="26">
        <v>510</v>
      </c>
      <c r="B511" s="26"/>
      <c r="C511" s="26" t="s">
        <v>841</v>
      </c>
      <c r="D511" s="28" t="s">
        <v>842</v>
      </c>
      <c r="E511" s="26" t="s">
        <v>18</v>
      </c>
      <c r="F511" s="26"/>
      <c r="G511" s="29">
        <v>12</v>
      </c>
      <c r="H511" s="26">
        <v>92</v>
      </c>
      <c r="I511" s="26">
        <v>80</v>
      </c>
      <c r="J511" s="26">
        <f t="shared" si="21"/>
        <v>86</v>
      </c>
      <c r="K511" s="26"/>
      <c r="L511" s="26"/>
      <c r="M511" s="29">
        <f t="shared" si="22"/>
        <v>12</v>
      </c>
      <c r="N511" s="30">
        <f t="shared" si="23"/>
        <v>6.9705820799999998</v>
      </c>
      <c r="O511" s="32"/>
      <c r="P511" s="31" t="s">
        <v>19</v>
      </c>
    </row>
    <row r="512" spans="1:16" x14ac:dyDescent="0.25">
      <c r="A512" s="26">
        <v>511</v>
      </c>
      <c r="B512" s="26"/>
      <c r="C512" s="26" t="s">
        <v>843</v>
      </c>
      <c r="D512" s="28" t="s">
        <v>844</v>
      </c>
      <c r="E512" s="26" t="s">
        <v>18</v>
      </c>
      <c r="F512" s="26"/>
      <c r="G512" s="29">
        <v>11</v>
      </c>
      <c r="H512" s="26">
        <v>87</v>
      </c>
      <c r="I512" s="26">
        <v>76</v>
      </c>
      <c r="J512" s="26">
        <f t="shared" si="21"/>
        <v>81</v>
      </c>
      <c r="K512" s="26"/>
      <c r="L512" s="26"/>
      <c r="M512" s="29">
        <f t="shared" si="22"/>
        <v>11</v>
      </c>
      <c r="N512" s="30">
        <f t="shared" si="23"/>
        <v>5.6683103399999997</v>
      </c>
      <c r="O512" s="32"/>
      <c r="P512" s="31" t="s">
        <v>19</v>
      </c>
    </row>
    <row r="513" spans="1:16" x14ac:dyDescent="0.25">
      <c r="A513" s="26">
        <v>512</v>
      </c>
      <c r="B513" s="26"/>
      <c r="C513" s="26" t="s">
        <v>845</v>
      </c>
      <c r="D513" s="28">
        <v>5063</v>
      </c>
      <c r="E513" s="26" t="s">
        <v>18</v>
      </c>
      <c r="F513" s="26"/>
      <c r="G513" s="29">
        <v>11</v>
      </c>
      <c r="H513" s="26">
        <v>93</v>
      </c>
      <c r="I513" s="26">
        <v>87</v>
      </c>
      <c r="J513" s="26">
        <f t="shared" si="21"/>
        <v>90</v>
      </c>
      <c r="K513" s="26"/>
      <c r="L513" s="26"/>
      <c r="M513" s="29">
        <f t="shared" si="22"/>
        <v>11</v>
      </c>
      <c r="N513" s="30">
        <f t="shared" si="23"/>
        <v>6.9979139999999997</v>
      </c>
      <c r="O513" s="32"/>
      <c r="P513" s="31" t="s">
        <v>19</v>
      </c>
    </row>
    <row r="514" spans="1:16" x14ac:dyDescent="0.25">
      <c r="A514" s="26">
        <v>513</v>
      </c>
      <c r="B514" s="26"/>
      <c r="C514" s="26" t="s">
        <v>846</v>
      </c>
      <c r="D514" s="28" t="s">
        <v>847</v>
      </c>
      <c r="E514" s="26" t="s">
        <v>18</v>
      </c>
      <c r="F514" s="26"/>
      <c r="G514" s="29">
        <v>4.5999999999999996</v>
      </c>
      <c r="H514" s="26">
        <v>87</v>
      </c>
      <c r="I514" s="26">
        <v>86</v>
      </c>
      <c r="J514" s="26">
        <f t="shared" ref="J514:J555" si="24">ROUNDDOWN((H514+I514)/2,0)</f>
        <v>86</v>
      </c>
      <c r="K514" s="26"/>
      <c r="L514" s="26"/>
      <c r="M514" s="29">
        <f t="shared" ref="M514:M577" si="25">G514-K514</f>
        <v>4.5999999999999996</v>
      </c>
      <c r="N514" s="30">
        <f t="shared" ref="N514:N577" si="26">J514*J514*M514*0.7854/10000</f>
        <v>2.6720564639999997</v>
      </c>
      <c r="O514" s="32"/>
      <c r="P514" s="31" t="s">
        <v>19</v>
      </c>
    </row>
    <row r="515" spans="1:16" x14ac:dyDescent="0.25">
      <c r="A515" s="26">
        <v>514</v>
      </c>
      <c r="B515" s="26"/>
      <c r="C515" s="26" t="s">
        <v>848</v>
      </c>
      <c r="D515" s="28">
        <v>5284</v>
      </c>
      <c r="E515" s="26" t="s">
        <v>18</v>
      </c>
      <c r="F515" s="26"/>
      <c r="G515" s="29">
        <v>12</v>
      </c>
      <c r="H515" s="26">
        <v>89</v>
      </c>
      <c r="I515" s="26">
        <v>78</v>
      </c>
      <c r="J515" s="26">
        <f t="shared" si="24"/>
        <v>83</v>
      </c>
      <c r="K515" s="26"/>
      <c r="L515" s="26"/>
      <c r="M515" s="29">
        <f t="shared" si="25"/>
        <v>12</v>
      </c>
      <c r="N515" s="30">
        <f t="shared" si="26"/>
        <v>6.4927447200000001</v>
      </c>
      <c r="O515" s="32"/>
      <c r="P515" s="31" t="s">
        <v>19</v>
      </c>
    </row>
    <row r="516" spans="1:16" x14ac:dyDescent="0.25">
      <c r="A516" s="26">
        <v>515</v>
      </c>
      <c r="B516" s="26"/>
      <c r="C516" s="26" t="s">
        <v>849</v>
      </c>
      <c r="D516" s="28">
        <v>5285</v>
      </c>
      <c r="E516" s="26" t="s">
        <v>18</v>
      </c>
      <c r="F516" s="26"/>
      <c r="G516" s="29">
        <v>12</v>
      </c>
      <c r="H516" s="26">
        <v>98</v>
      </c>
      <c r="I516" s="26">
        <v>88</v>
      </c>
      <c r="J516" s="26">
        <f t="shared" si="24"/>
        <v>93</v>
      </c>
      <c r="K516" s="26"/>
      <c r="L516" s="26"/>
      <c r="M516" s="29">
        <f t="shared" si="25"/>
        <v>12</v>
      </c>
      <c r="N516" s="30">
        <f t="shared" si="26"/>
        <v>8.1515095199999994</v>
      </c>
      <c r="O516" s="32"/>
      <c r="P516" s="31" t="s">
        <v>19</v>
      </c>
    </row>
    <row r="517" spans="1:16" x14ac:dyDescent="0.25">
      <c r="A517" s="26">
        <v>516</v>
      </c>
      <c r="B517" s="26"/>
      <c r="C517" s="26" t="s">
        <v>850</v>
      </c>
      <c r="D517" s="28" t="s">
        <v>851</v>
      </c>
      <c r="E517" s="26" t="s">
        <v>18</v>
      </c>
      <c r="F517" s="26"/>
      <c r="G517" s="29">
        <v>6</v>
      </c>
      <c r="H517" s="26">
        <v>94</v>
      </c>
      <c r="I517" s="26">
        <v>84</v>
      </c>
      <c r="J517" s="26">
        <f t="shared" si="24"/>
        <v>89</v>
      </c>
      <c r="K517" s="26"/>
      <c r="L517" s="26"/>
      <c r="M517" s="29">
        <f t="shared" si="25"/>
        <v>6</v>
      </c>
      <c r="N517" s="30">
        <f t="shared" si="26"/>
        <v>3.7326920400000003</v>
      </c>
      <c r="O517" s="32"/>
      <c r="P517" s="31" t="s">
        <v>19</v>
      </c>
    </row>
    <row r="518" spans="1:16" x14ac:dyDescent="0.25">
      <c r="A518" s="26">
        <v>517</v>
      </c>
      <c r="B518" s="26"/>
      <c r="C518" s="26" t="s">
        <v>852</v>
      </c>
      <c r="D518" s="28">
        <v>778</v>
      </c>
      <c r="E518" s="26" t="s">
        <v>18</v>
      </c>
      <c r="F518" s="26"/>
      <c r="G518" s="29">
        <v>12</v>
      </c>
      <c r="H518" s="26">
        <v>101</v>
      </c>
      <c r="I518" s="26">
        <v>94</v>
      </c>
      <c r="J518" s="26">
        <f t="shared" si="24"/>
        <v>97</v>
      </c>
      <c r="K518" s="26"/>
      <c r="L518" s="26"/>
      <c r="M518" s="29">
        <f t="shared" si="25"/>
        <v>12</v>
      </c>
      <c r="N518" s="30">
        <f t="shared" si="26"/>
        <v>8.8677943199999998</v>
      </c>
      <c r="O518" s="32"/>
      <c r="P518" s="31" t="s">
        <v>30</v>
      </c>
    </row>
    <row r="519" spans="1:16" x14ac:dyDescent="0.25">
      <c r="A519" s="26">
        <v>518</v>
      </c>
      <c r="B519" s="26"/>
      <c r="C519" s="26" t="s">
        <v>853</v>
      </c>
      <c r="D519" s="28">
        <v>1110</v>
      </c>
      <c r="E519" s="26" t="s">
        <v>18</v>
      </c>
      <c r="F519" s="26"/>
      <c r="G519" s="29">
        <v>6</v>
      </c>
      <c r="H519" s="26">
        <v>94</v>
      </c>
      <c r="I519" s="26">
        <v>92</v>
      </c>
      <c r="J519" s="26">
        <f t="shared" si="24"/>
        <v>93</v>
      </c>
      <c r="K519" s="26"/>
      <c r="L519" s="26"/>
      <c r="M519" s="29">
        <f t="shared" si="25"/>
        <v>6</v>
      </c>
      <c r="N519" s="30">
        <f t="shared" si="26"/>
        <v>4.0757547599999997</v>
      </c>
      <c r="O519" s="32"/>
      <c r="P519" s="31" t="s">
        <v>19</v>
      </c>
    </row>
    <row r="520" spans="1:16" x14ac:dyDescent="0.25">
      <c r="A520" s="26">
        <v>519</v>
      </c>
      <c r="B520" s="26"/>
      <c r="C520" s="26" t="s">
        <v>854</v>
      </c>
      <c r="D520" s="28">
        <v>779</v>
      </c>
      <c r="E520" s="26" t="s">
        <v>18</v>
      </c>
      <c r="F520" s="26"/>
      <c r="G520" s="29">
        <v>12</v>
      </c>
      <c r="H520" s="26">
        <v>99</v>
      </c>
      <c r="I520" s="26">
        <v>89</v>
      </c>
      <c r="J520" s="26">
        <f t="shared" si="24"/>
        <v>94</v>
      </c>
      <c r="K520" s="26"/>
      <c r="L520" s="26"/>
      <c r="M520" s="29">
        <f t="shared" si="25"/>
        <v>12</v>
      </c>
      <c r="N520" s="30">
        <f t="shared" si="26"/>
        <v>8.3277532799999996</v>
      </c>
      <c r="O520" s="32"/>
      <c r="P520" s="31" t="s">
        <v>19</v>
      </c>
    </row>
    <row r="521" spans="1:16" x14ac:dyDescent="0.25">
      <c r="A521" s="26">
        <v>520</v>
      </c>
      <c r="B521" s="26"/>
      <c r="C521" s="26" t="s">
        <v>855</v>
      </c>
      <c r="D521" s="28">
        <v>1111</v>
      </c>
      <c r="E521" s="26" t="s">
        <v>18</v>
      </c>
      <c r="F521" s="26"/>
      <c r="G521" s="29">
        <v>12</v>
      </c>
      <c r="H521" s="26">
        <v>125</v>
      </c>
      <c r="I521" s="26">
        <v>104</v>
      </c>
      <c r="J521" s="26">
        <f t="shared" si="24"/>
        <v>114</v>
      </c>
      <c r="K521" s="26"/>
      <c r="L521" s="26"/>
      <c r="M521" s="29">
        <f t="shared" si="25"/>
        <v>12</v>
      </c>
      <c r="N521" s="30">
        <f t="shared" si="26"/>
        <v>12.248470079999999</v>
      </c>
      <c r="O521" s="32"/>
      <c r="P521" s="31" t="s">
        <v>30</v>
      </c>
    </row>
    <row r="522" spans="1:16" x14ac:dyDescent="0.25">
      <c r="A522" s="26">
        <v>521</v>
      </c>
      <c r="B522" s="26"/>
      <c r="C522" s="26" t="s">
        <v>856</v>
      </c>
      <c r="D522" s="28" t="s">
        <v>857</v>
      </c>
      <c r="E522" s="26" t="s">
        <v>18</v>
      </c>
      <c r="F522" s="26"/>
      <c r="G522" s="29">
        <v>9.1999999999999993</v>
      </c>
      <c r="H522" s="26">
        <v>105</v>
      </c>
      <c r="I522" s="26">
        <v>95</v>
      </c>
      <c r="J522" s="26">
        <f t="shared" si="24"/>
        <v>100</v>
      </c>
      <c r="K522" s="26"/>
      <c r="L522" s="26"/>
      <c r="M522" s="29">
        <f t="shared" si="25"/>
        <v>9.1999999999999993</v>
      </c>
      <c r="N522" s="30">
        <f t="shared" si="26"/>
        <v>7.2256800000000005</v>
      </c>
      <c r="O522" s="32"/>
      <c r="P522" s="31" t="s">
        <v>19</v>
      </c>
    </row>
    <row r="523" spans="1:16" x14ac:dyDescent="0.25">
      <c r="A523" s="26">
        <v>522</v>
      </c>
      <c r="B523" s="26"/>
      <c r="C523" s="26" t="s">
        <v>858</v>
      </c>
      <c r="D523" s="28" t="s">
        <v>859</v>
      </c>
      <c r="E523" s="26" t="s">
        <v>18</v>
      </c>
      <c r="F523" s="26"/>
      <c r="G523" s="29">
        <v>11.6</v>
      </c>
      <c r="H523" s="26">
        <v>105</v>
      </c>
      <c r="I523" s="26">
        <v>96</v>
      </c>
      <c r="J523" s="26">
        <f t="shared" si="24"/>
        <v>100</v>
      </c>
      <c r="K523" s="26"/>
      <c r="L523" s="26"/>
      <c r="M523" s="29">
        <f t="shared" si="25"/>
        <v>11.6</v>
      </c>
      <c r="N523" s="30">
        <f t="shared" si="26"/>
        <v>9.1106400000000001</v>
      </c>
      <c r="O523" s="32"/>
      <c r="P523" s="31" t="s">
        <v>19</v>
      </c>
    </row>
    <row r="524" spans="1:16" x14ac:dyDescent="0.25">
      <c r="A524" s="26">
        <v>523</v>
      </c>
      <c r="B524" s="26"/>
      <c r="C524" s="26" t="s">
        <v>860</v>
      </c>
      <c r="D524" s="28" t="s">
        <v>861</v>
      </c>
      <c r="E524" s="26" t="s">
        <v>18</v>
      </c>
      <c r="F524" s="26"/>
      <c r="G524" s="29">
        <v>8.5</v>
      </c>
      <c r="H524" s="26">
        <v>99</v>
      </c>
      <c r="I524" s="26">
        <v>97</v>
      </c>
      <c r="J524" s="26">
        <f t="shared" si="24"/>
        <v>98</v>
      </c>
      <c r="K524" s="26">
        <v>1</v>
      </c>
      <c r="L524" s="26"/>
      <c r="M524" s="29">
        <f t="shared" si="25"/>
        <v>7.5</v>
      </c>
      <c r="N524" s="30">
        <f t="shared" si="26"/>
        <v>5.6572361999999998</v>
      </c>
      <c r="O524" s="32"/>
      <c r="P524" s="31" t="s">
        <v>30</v>
      </c>
    </row>
    <row r="525" spans="1:16" x14ac:dyDescent="0.25">
      <c r="A525" s="26">
        <v>524</v>
      </c>
      <c r="B525" s="26"/>
      <c r="C525" s="26" t="s">
        <v>862</v>
      </c>
      <c r="D525" s="28">
        <v>5050</v>
      </c>
      <c r="E525" s="26" t="s">
        <v>18</v>
      </c>
      <c r="F525" s="26"/>
      <c r="G525" s="29">
        <v>13.5</v>
      </c>
      <c r="H525" s="26">
        <v>82</v>
      </c>
      <c r="I525" s="26">
        <v>69</v>
      </c>
      <c r="J525" s="26">
        <f t="shared" si="24"/>
        <v>75</v>
      </c>
      <c r="K525" s="26"/>
      <c r="L525" s="26"/>
      <c r="M525" s="29">
        <f t="shared" si="25"/>
        <v>13.5</v>
      </c>
      <c r="N525" s="30">
        <f t="shared" si="26"/>
        <v>5.9641312500000003</v>
      </c>
      <c r="O525" s="32"/>
      <c r="P525" s="31" t="s">
        <v>19</v>
      </c>
    </row>
    <row r="526" spans="1:16" x14ac:dyDescent="0.25">
      <c r="A526" s="26">
        <v>525</v>
      </c>
      <c r="B526" s="26"/>
      <c r="C526" s="26" t="s">
        <v>863</v>
      </c>
      <c r="D526" s="28" t="s">
        <v>864</v>
      </c>
      <c r="E526" s="26" t="s">
        <v>18</v>
      </c>
      <c r="F526" s="26"/>
      <c r="G526" s="29">
        <v>12.5</v>
      </c>
      <c r="H526" s="26">
        <v>83</v>
      </c>
      <c r="I526" s="26">
        <v>76</v>
      </c>
      <c r="J526" s="26">
        <f t="shared" si="24"/>
        <v>79</v>
      </c>
      <c r="K526" s="26"/>
      <c r="L526" s="26"/>
      <c r="M526" s="29">
        <f t="shared" si="25"/>
        <v>12.5</v>
      </c>
      <c r="N526" s="30">
        <f t="shared" si="26"/>
        <v>6.1271017500000005</v>
      </c>
      <c r="O526" s="32"/>
      <c r="P526" s="31" t="s">
        <v>19</v>
      </c>
    </row>
    <row r="527" spans="1:16" x14ac:dyDescent="0.25">
      <c r="A527" s="26">
        <v>526</v>
      </c>
      <c r="B527" s="26"/>
      <c r="C527" s="26" t="s">
        <v>865</v>
      </c>
      <c r="D527" s="28">
        <v>5052</v>
      </c>
      <c r="E527" s="26" t="s">
        <v>18</v>
      </c>
      <c r="F527" s="26"/>
      <c r="G527" s="29">
        <v>9.5</v>
      </c>
      <c r="H527" s="26">
        <v>75</v>
      </c>
      <c r="I527" s="26">
        <v>66</v>
      </c>
      <c r="J527" s="26">
        <f t="shared" si="24"/>
        <v>70</v>
      </c>
      <c r="K527" s="26"/>
      <c r="L527" s="26"/>
      <c r="M527" s="29">
        <f t="shared" si="25"/>
        <v>9.5</v>
      </c>
      <c r="N527" s="30">
        <f t="shared" si="26"/>
        <v>3.6560370000000004</v>
      </c>
      <c r="O527" s="32"/>
      <c r="P527" s="31" t="s">
        <v>19</v>
      </c>
    </row>
    <row r="528" spans="1:16" x14ac:dyDescent="0.25">
      <c r="A528" s="26">
        <v>527</v>
      </c>
      <c r="B528" s="26"/>
      <c r="C528" s="26" t="s">
        <v>866</v>
      </c>
      <c r="D528" s="28" t="s">
        <v>867</v>
      </c>
      <c r="E528" s="26" t="s">
        <v>18</v>
      </c>
      <c r="F528" s="26"/>
      <c r="G528" s="29">
        <v>13</v>
      </c>
      <c r="H528" s="26">
        <v>84</v>
      </c>
      <c r="I528" s="26">
        <v>75</v>
      </c>
      <c r="J528" s="26">
        <f t="shared" si="24"/>
        <v>79</v>
      </c>
      <c r="K528" s="26"/>
      <c r="L528" s="26"/>
      <c r="M528" s="29">
        <f t="shared" si="25"/>
        <v>13</v>
      </c>
      <c r="N528" s="30">
        <f t="shared" si="26"/>
        <v>6.3721858200000003</v>
      </c>
      <c r="O528" s="32"/>
      <c r="P528" s="31" t="s">
        <v>19</v>
      </c>
    </row>
    <row r="529" spans="1:16" x14ac:dyDescent="0.25">
      <c r="A529" s="26">
        <v>528</v>
      </c>
      <c r="B529" s="26"/>
      <c r="C529" s="26" t="s">
        <v>868</v>
      </c>
      <c r="D529" s="28" t="s">
        <v>869</v>
      </c>
      <c r="E529" s="26" t="s">
        <v>18</v>
      </c>
      <c r="F529" s="26"/>
      <c r="G529" s="29">
        <v>5.3</v>
      </c>
      <c r="H529" s="26">
        <v>73</v>
      </c>
      <c r="I529" s="26">
        <v>69</v>
      </c>
      <c r="J529" s="26">
        <f t="shared" si="24"/>
        <v>71</v>
      </c>
      <c r="K529" s="26"/>
      <c r="L529" s="26"/>
      <c r="M529" s="29">
        <f t="shared" si="25"/>
        <v>5.3</v>
      </c>
      <c r="N529" s="30">
        <f t="shared" si="26"/>
        <v>2.0983767420000001</v>
      </c>
      <c r="O529" s="32"/>
      <c r="P529" s="31" t="s">
        <v>19</v>
      </c>
    </row>
    <row r="530" spans="1:16" x14ac:dyDescent="0.25">
      <c r="A530" s="26">
        <v>529</v>
      </c>
      <c r="B530" s="26"/>
      <c r="C530" s="26" t="s">
        <v>870</v>
      </c>
      <c r="D530" s="28" t="s">
        <v>871</v>
      </c>
      <c r="E530" s="26" t="s">
        <v>18</v>
      </c>
      <c r="F530" s="26"/>
      <c r="G530" s="29">
        <v>13.5</v>
      </c>
      <c r="H530" s="26">
        <v>83</v>
      </c>
      <c r="I530" s="26">
        <v>70</v>
      </c>
      <c r="J530" s="26">
        <f t="shared" si="24"/>
        <v>76</v>
      </c>
      <c r="K530" s="26"/>
      <c r="L530" s="26"/>
      <c r="M530" s="29">
        <f t="shared" si="25"/>
        <v>13.5</v>
      </c>
      <c r="N530" s="30">
        <f t="shared" si="26"/>
        <v>6.1242350399999994</v>
      </c>
      <c r="O530" s="32"/>
      <c r="P530" s="31" t="s">
        <v>19</v>
      </c>
    </row>
    <row r="531" spans="1:16" x14ac:dyDescent="0.25">
      <c r="A531" s="26">
        <v>530</v>
      </c>
      <c r="B531" s="26"/>
      <c r="C531" s="26" t="s">
        <v>872</v>
      </c>
      <c r="D531" s="28">
        <v>5263</v>
      </c>
      <c r="E531" s="26" t="s">
        <v>18</v>
      </c>
      <c r="F531" s="26"/>
      <c r="G531" s="29">
        <v>11.5</v>
      </c>
      <c r="H531" s="26">
        <v>82</v>
      </c>
      <c r="I531" s="26">
        <v>74</v>
      </c>
      <c r="J531" s="26">
        <f t="shared" si="24"/>
        <v>78</v>
      </c>
      <c r="K531" s="26"/>
      <c r="L531" s="26"/>
      <c r="M531" s="29">
        <f t="shared" si="25"/>
        <v>11.5</v>
      </c>
      <c r="N531" s="30">
        <f t="shared" si="26"/>
        <v>5.49512964</v>
      </c>
      <c r="O531" s="32"/>
      <c r="P531" s="31" t="s">
        <v>19</v>
      </c>
    </row>
    <row r="532" spans="1:16" x14ac:dyDescent="0.25">
      <c r="A532" s="26">
        <v>531</v>
      </c>
      <c r="B532" s="26"/>
      <c r="C532" s="26" t="s">
        <v>873</v>
      </c>
      <c r="D532" s="28">
        <v>5055</v>
      </c>
      <c r="E532" s="26" t="s">
        <v>18</v>
      </c>
      <c r="F532" s="26"/>
      <c r="G532" s="29">
        <v>9.6999999999999993</v>
      </c>
      <c r="H532" s="26">
        <v>74</v>
      </c>
      <c r="I532" s="26">
        <v>62</v>
      </c>
      <c r="J532" s="26">
        <f t="shared" si="24"/>
        <v>68</v>
      </c>
      <c r="K532" s="26"/>
      <c r="L532" s="26"/>
      <c r="M532" s="29">
        <f t="shared" si="25"/>
        <v>9.6999999999999993</v>
      </c>
      <c r="N532" s="30">
        <f t="shared" si="26"/>
        <v>3.5227389119999994</v>
      </c>
      <c r="O532" s="32"/>
      <c r="P532" s="31" t="s">
        <v>19</v>
      </c>
    </row>
    <row r="533" spans="1:16" x14ac:dyDescent="0.25">
      <c r="A533" s="26">
        <v>532</v>
      </c>
      <c r="B533" s="26"/>
      <c r="C533" s="26" t="s">
        <v>874</v>
      </c>
      <c r="D533" s="28">
        <v>5264</v>
      </c>
      <c r="E533" s="26" t="s">
        <v>18</v>
      </c>
      <c r="F533" s="26"/>
      <c r="G533" s="29">
        <v>13</v>
      </c>
      <c r="H533" s="26">
        <v>78</v>
      </c>
      <c r="I533" s="26">
        <v>68</v>
      </c>
      <c r="J533" s="26">
        <f t="shared" si="24"/>
        <v>73</v>
      </c>
      <c r="K533" s="26"/>
      <c r="L533" s="26"/>
      <c r="M533" s="29">
        <f t="shared" si="25"/>
        <v>13</v>
      </c>
      <c r="N533" s="30">
        <f t="shared" si="26"/>
        <v>5.4410155800000002</v>
      </c>
      <c r="O533" s="32"/>
      <c r="P533" s="31" t="s">
        <v>30</v>
      </c>
    </row>
    <row r="534" spans="1:16" x14ac:dyDescent="0.25">
      <c r="A534" s="26">
        <v>533</v>
      </c>
      <c r="B534" s="26"/>
      <c r="C534" s="26" t="s">
        <v>875</v>
      </c>
      <c r="D534" s="28" t="s">
        <v>876</v>
      </c>
      <c r="E534" s="26" t="s">
        <v>18</v>
      </c>
      <c r="F534" s="26"/>
      <c r="G534" s="29">
        <v>6</v>
      </c>
      <c r="H534" s="26">
        <v>79</v>
      </c>
      <c r="I534" s="26">
        <v>71</v>
      </c>
      <c r="J534" s="26">
        <f t="shared" si="24"/>
        <v>75</v>
      </c>
      <c r="K534" s="26"/>
      <c r="L534" s="26"/>
      <c r="M534" s="29">
        <f t="shared" si="25"/>
        <v>6</v>
      </c>
      <c r="N534" s="30">
        <f t="shared" si="26"/>
        <v>2.650725</v>
      </c>
      <c r="O534" s="32"/>
      <c r="P534" s="31" t="s">
        <v>19</v>
      </c>
    </row>
    <row r="535" spans="1:16" x14ac:dyDescent="0.25">
      <c r="A535" s="26">
        <v>534</v>
      </c>
      <c r="B535" s="26"/>
      <c r="C535" s="26" t="s">
        <v>877</v>
      </c>
      <c r="D535" s="28" t="s">
        <v>878</v>
      </c>
      <c r="E535" s="26" t="s">
        <v>18</v>
      </c>
      <c r="F535" s="26"/>
      <c r="G535" s="29">
        <v>9.5</v>
      </c>
      <c r="H535" s="26">
        <v>81</v>
      </c>
      <c r="I535" s="26">
        <v>73</v>
      </c>
      <c r="J535" s="26">
        <f t="shared" si="24"/>
        <v>77</v>
      </c>
      <c r="K535" s="26"/>
      <c r="L535" s="26"/>
      <c r="M535" s="29">
        <f t="shared" si="25"/>
        <v>9.5</v>
      </c>
      <c r="N535" s="30">
        <f t="shared" si="26"/>
        <v>4.4238047700000003</v>
      </c>
      <c r="O535" s="32"/>
      <c r="P535" s="31" t="s">
        <v>19</v>
      </c>
    </row>
    <row r="536" spans="1:16" x14ac:dyDescent="0.25">
      <c r="A536" s="26">
        <v>535</v>
      </c>
      <c r="B536" s="26"/>
      <c r="C536" s="26" t="s">
        <v>879</v>
      </c>
      <c r="D536" s="28">
        <v>5265</v>
      </c>
      <c r="E536" s="26" t="s">
        <v>18</v>
      </c>
      <c r="F536" s="26"/>
      <c r="G536" s="29">
        <v>9.5</v>
      </c>
      <c r="H536" s="26">
        <v>74</v>
      </c>
      <c r="I536" s="26">
        <v>68</v>
      </c>
      <c r="J536" s="26">
        <f t="shared" si="24"/>
        <v>71</v>
      </c>
      <c r="K536" s="26"/>
      <c r="L536" s="26"/>
      <c r="M536" s="29">
        <f t="shared" si="25"/>
        <v>9.5</v>
      </c>
      <c r="N536" s="30">
        <f t="shared" si="26"/>
        <v>3.7612413299999998</v>
      </c>
      <c r="O536" s="32"/>
      <c r="P536" s="31" t="s">
        <v>30</v>
      </c>
    </row>
    <row r="537" spans="1:16" x14ac:dyDescent="0.25">
      <c r="A537" s="26">
        <v>536</v>
      </c>
      <c r="B537" s="26"/>
      <c r="C537" s="26" t="s">
        <v>880</v>
      </c>
      <c r="D537" s="28" t="s">
        <v>881</v>
      </c>
      <c r="E537" s="26" t="s">
        <v>18</v>
      </c>
      <c r="F537" s="26"/>
      <c r="G537" s="29">
        <v>7.1</v>
      </c>
      <c r="H537" s="26">
        <v>80</v>
      </c>
      <c r="I537" s="26">
        <v>76</v>
      </c>
      <c r="J537" s="26">
        <f t="shared" si="24"/>
        <v>78</v>
      </c>
      <c r="K537" s="26">
        <v>0.5</v>
      </c>
      <c r="L537" s="26"/>
      <c r="M537" s="29">
        <f t="shared" si="25"/>
        <v>6.6</v>
      </c>
      <c r="N537" s="30">
        <f t="shared" si="26"/>
        <v>3.1537265760000004</v>
      </c>
      <c r="O537" s="32" t="s">
        <v>53</v>
      </c>
      <c r="P537" s="31" t="s">
        <v>19</v>
      </c>
    </row>
    <row r="538" spans="1:16" x14ac:dyDescent="0.25">
      <c r="A538" s="26">
        <v>537</v>
      </c>
      <c r="B538" s="26"/>
      <c r="C538" s="26" t="s">
        <v>882</v>
      </c>
      <c r="D538" s="28">
        <v>5056</v>
      </c>
      <c r="E538" s="26" t="s">
        <v>18</v>
      </c>
      <c r="F538" s="26"/>
      <c r="G538" s="29">
        <v>13.5</v>
      </c>
      <c r="H538" s="26">
        <v>77</v>
      </c>
      <c r="I538" s="26">
        <v>64</v>
      </c>
      <c r="J538" s="26">
        <f t="shared" si="24"/>
        <v>70</v>
      </c>
      <c r="K538" s="26"/>
      <c r="L538" s="26"/>
      <c r="M538" s="29">
        <f t="shared" si="25"/>
        <v>13.5</v>
      </c>
      <c r="N538" s="30">
        <f t="shared" si="26"/>
        <v>5.1954209999999996</v>
      </c>
      <c r="O538" s="32"/>
      <c r="P538" s="31" t="s">
        <v>19</v>
      </c>
    </row>
    <row r="539" spans="1:16" x14ac:dyDescent="0.25">
      <c r="A539" s="26">
        <v>538</v>
      </c>
      <c r="B539" s="26"/>
      <c r="C539" s="26" t="s">
        <v>883</v>
      </c>
      <c r="D539" s="28" t="s">
        <v>884</v>
      </c>
      <c r="E539" s="26" t="s">
        <v>18</v>
      </c>
      <c r="F539" s="26"/>
      <c r="G539" s="29">
        <v>13.5</v>
      </c>
      <c r="H539" s="26">
        <v>69</v>
      </c>
      <c r="I539" s="26">
        <v>65</v>
      </c>
      <c r="J539" s="26">
        <f t="shared" si="24"/>
        <v>67</v>
      </c>
      <c r="K539" s="26"/>
      <c r="L539" s="26"/>
      <c r="M539" s="29">
        <f t="shared" si="25"/>
        <v>13.5</v>
      </c>
      <c r="N539" s="30">
        <f t="shared" si="26"/>
        <v>4.7596418100000006</v>
      </c>
      <c r="O539" s="32"/>
      <c r="P539" s="31" t="s">
        <v>30</v>
      </c>
    </row>
    <row r="540" spans="1:16" x14ac:dyDescent="0.25">
      <c r="A540" s="26">
        <v>539</v>
      </c>
      <c r="B540" s="26"/>
      <c r="C540" s="26" t="s">
        <v>885</v>
      </c>
      <c r="D540" s="28">
        <v>5057</v>
      </c>
      <c r="E540" s="26" t="s">
        <v>18</v>
      </c>
      <c r="F540" s="26"/>
      <c r="G540" s="29">
        <v>9</v>
      </c>
      <c r="H540" s="26">
        <v>75</v>
      </c>
      <c r="I540" s="26">
        <v>65</v>
      </c>
      <c r="J540" s="26">
        <f t="shared" si="24"/>
        <v>70</v>
      </c>
      <c r="K540" s="26">
        <v>0.5</v>
      </c>
      <c r="L540" s="26"/>
      <c r="M540" s="29">
        <f t="shared" si="25"/>
        <v>8.5</v>
      </c>
      <c r="N540" s="30">
        <f t="shared" si="26"/>
        <v>3.271191</v>
      </c>
      <c r="O540" s="32" t="s">
        <v>21</v>
      </c>
      <c r="P540" s="31" t="s">
        <v>19</v>
      </c>
    </row>
    <row r="541" spans="1:16" x14ac:dyDescent="0.25">
      <c r="A541" s="26">
        <v>540</v>
      </c>
      <c r="B541" s="26"/>
      <c r="C541" s="26" t="s">
        <v>886</v>
      </c>
      <c r="D541" s="28" t="s">
        <v>887</v>
      </c>
      <c r="E541" s="26" t="s">
        <v>18</v>
      </c>
      <c r="F541" s="26"/>
      <c r="G541" s="29">
        <v>11</v>
      </c>
      <c r="H541" s="26">
        <v>76</v>
      </c>
      <c r="I541" s="26">
        <v>62</v>
      </c>
      <c r="J541" s="26">
        <f t="shared" si="24"/>
        <v>69</v>
      </c>
      <c r="K541" s="26"/>
      <c r="L541" s="26"/>
      <c r="M541" s="29">
        <f t="shared" si="25"/>
        <v>11</v>
      </c>
      <c r="N541" s="30">
        <f t="shared" si="26"/>
        <v>4.1132183400000004</v>
      </c>
      <c r="O541" s="32"/>
      <c r="P541" s="31" t="s">
        <v>19</v>
      </c>
    </row>
    <row r="542" spans="1:16" x14ac:dyDescent="0.25">
      <c r="A542" s="26">
        <v>541</v>
      </c>
      <c r="B542" s="26"/>
      <c r="C542" s="26" t="s">
        <v>888</v>
      </c>
      <c r="D542" s="28" t="s">
        <v>889</v>
      </c>
      <c r="E542" s="26" t="s">
        <v>18</v>
      </c>
      <c r="F542" s="26"/>
      <c r="G542" s="29">
        <v>7.5</v>
      </c>
      <c r="H542" s="26">
        <v>71</v>
      </c>
      <c r="I542" s="26">
        <v>63</v>
      </c>
      <c r="J542" s="26">
        <f t="shared" si="24"/>
        <v>67</v>
      </c>
      <c r="K542" s="26"/>
      <c r="L542" s="26"/>
      <c r="M542" s="29">
        <f t="shared" si="25"/>
        <v>7.5</v>
      </c>
      <c r="N542" s="30">
        <f t="shared" si="26"/>
        <v>2.6442454500000001</v>
      </c>
      <c r="O542" s="32"/>
      <c r="P542" s="31" t="s">
        <v>19</v>
      </c>
    </row>
    <row r="543" spans="1:16" x14ac:dyDescent="0.25">
      <c r="A543" s="26">
        <v>542</v>
      </c>
      <c r="B543" s="26"/>
      <c r="C543" s="26" t="s">
        <v>890</v>
      </c>
      <c r="D543" s="28" t="s">
        <v>891</v>
      </c>
      <c r="E543" s="26" t="s">
        <v>18</v>
      </c>
      <c r="F543" s="26"/>
      <c r="G543" s="29">
        <v>14</v>
      </c>
      <c r="H543" s="26">
        <v>81</v>
      </c>
      <c r="I543" s="26">
        <v>70</v>
      </c>
      <c r="J543" s="26">
        <f t="shared" si="24"/>
        <v>75</v>
      </c>
      <c r="K543" s="26"/>
      <c r="L543" s="26"/>
      <c r="M543" s="29">
        <f t="shared" si="25"/>
        <v>14</v>
      </c>
      <c r="N543" s="30">
        <f t="shared" si="26"/>
        <v>6.1850250000000004</v>
      </c>
      <c r="O543" s="32"/>
      <c r="P543" s="31" t="s">
        <v>19</v>
      </c>
    </row>
    <row r="544" spans="1:16" x14ac:dyDescent="0.25">
      <c r="A544" s="26">
        <v>543</v>
      </c>
      <c r="B544" s="26"/>
      <c r="C544" s="26" t="s">
        <v>892</v>
      </c>
      <c r="D544" s="28" t="s">
        <v>893</v>
      </c>
      <c r="E544" s="26" t="s">
        <v>18</v>
      </c>
      <c r="F544" s="26"/>
      <c r="G544" s="29">
        <v>13.4</v>
      </c>
      <c r="H544" s="26">
        <v>79</v>
      </c>
      <c r="I544" s="26">
        <v>72</v>
      </c>
      <c r="J544" s="26">
        <f t="shared" si="24"/>
        <v>75</v>
      </c>
      <c r="K544" s="26"/>
      <c r="L544" s="26"/>
      <c r="M544" s="29">
        <f t="shared" si="25"/>
        <v>13.4</v>
      </c>
      <c r="N544" s="30">
        <f t="shared" si="26"/>
        <v>5.9199525</v>
      </c>
      <c r="O544" s="32"/>
      <c r="P544" s="31" t="s">
        <v>19</v>
      </c>
    </row>
    <row r="545" spans="1:16" x14ac:dyDescent="0.25">
      <c r="A545" s="26">
        <v>544</v>
      </c>
      <c r="B545" s="26"/>
      <c r="C545" s="26" t="s">
        <v>894</v>
      </c>
      <c r="D545" s="28">
        <v>849</v>
      </c>
      <c r="E545" s="26" t="s">
        <v>18</v>
      </c>
      <c r="F545" s="26"/>
      <c r="G545" s="29">
        <v>12</v>
      </c>
      <c r="H545" s="26">
        <v>82</v>
      </c>
      <c r="I545" s="26">
        <v>70</v>
      </c>
      <c r="J545" s="26">
        <f t="shared" si="24"/>
        <v>76</v>
      </c>
      <c r="K545" s="26"/>
      <c r="L545" s="26"/>
      <c r="M545" s="29">
        <f t="shared" si="25"/>
        <v>12</v>
      </c>
      <c r="N545" s="30">
        <f t="shared" si="26"/>
        <v>5.4437644800000005</v>
      </c>
      <c r="O545" s="32"/>
      <c r="P545" s="31" t="s">
        <v>19</v>
      </c>
    </row>
    <row r="546" spans="1:16" x14ac:dyDescent="0.25">
      <c r="A546" s="26">
        <v>545</v>
      </c>
      <c r="B546" s="26"/>
      <c r="C546" s="26" t="s">
        <v>895</v>
      </c>
      <c r="D546" s="28" t="s">
        <v>896</v>
      </c>
      <c r="E546" s="26" t="s">
        <v>18</v>
      </c>
      <c r="F546" s="26"/>
      <c r="G546" s="29">
        <v>6.2</v>
      </c>
      <c r="H546" s="26">
        <v>71</v>
      </c>
      <c r="I546" s="26">
        <v>66</v>
      </c>
      <c r="J546" s="26">
        <f t="shared" si="24"/>
        <v>68</v>
      </c>
      <c r="K546" s="26"/>
      <c r="L546" s="26"/>
      <c r="M546" s="29">
        <f t="shared" si="25"/>
        <v>6.2</v>
      </c>
      <c r="N546" s="30">
        <f t="shared" si="26"/>
        <v>2.2516475520000001</v>
      </c>
      <c r="O546" s="32"/>
      <c r="P546" s="31" t="s">
        <v>19</v>
      </c>
    </row>
    <row r="547" spans="1:16" x14ac:dyDescent="0.25">
      <c r="A547" s="26">
        <v>546</v>
      </c>
      <c r="B547" s="26"/>
      <c r="C547" s="26" t="s">
        <v>897</v>
      </c>
      <c r="D547" s="28" t="s">
        <v>898</v>
      </c>
      <c r="E547" s="26" t="s">
        <v>18</v>
      </c>
      <c r="F547" s="26"/>
      <c r="G547" s="29">
        <v>14</v>
      </c>
      <c r="H547" s="26">
        <v>87</v>
      </c>
      <c r="I547" s="26">
        <v>65</v>
      </c>
      <c r="J547" s="26">
        <f t="shared" si="24"/>
        <v>76</v>
      </c>
      <c r="K547" s="26"/>
      <c r="L547" s="26"/>
      <c r="M547" s="29">
        <f t="shared" si="25"/>
        <v>14</v>
      </c>
      <c r="N547" s="30">
        <f t="shared" si="26"/>
        <v>6.3510585600000002</v>
      </c>
      <c r="O547" s="32"/>
      <c r="P547" s="31" t="s">
        <v>19</v>
      </c>
    </row>
    <row r="548" spans="1:16" x14ac:dyDescent="0.25">
      <c r="A548" s="26">
        <v>547</v>
      </c>
      <c r="B548" s="26"/>
      <c r="C548" s="26" t="s">
        <v>899</v>
      </c>
      <c r="D548" s="28">
        <v>850</v>
      </c>
      <c r="E548" s="26" t="s">
        <v>18</v>
      </c>
      <c r="F548" s="26"/>
      <c r="G548" s="29">
        <v>7.7</v>
      </c>
      <c r="H548" s="26">
        <v>121</v>
      </c>
      <c r="I548" s="26">
        <v>103</v>
      </c>
      <c r="J548" s="26">
        <f t="shared" si="24"/>
        <v>112</v>
      </c>
      <c r="K548" s="26"/>
      <c r="L548" s="26"/>
      <c r="M548" s="29">
        <f t="shared" si="25"/>
        <v>7.7</v>
      </c>
      <c r="N548" s="30">
        <f t="shared" si="26"/>
        <v>7.5860843519999994</v>
      </c>
      <c r="O548" s="32"/>
      <c r="P548" s="31" t="s">
        <v>30</v>
      </c>
    </row>
    <row r="549" spans="1:16" x14ac:dyDescent="0.25">
      <c r="A549" s="26">
        <v>548</v>
      </c>
      <c r="B549" s="26"/>
      <c r="C549" s="26" t="s">
        <v>900</v>
      </c>
      <c r="D549" s="28">
        <v>851</v>
      </c>
      <c r="E549" s="26" t="s">
        <v>18</v>
      </c>
      <c r="F549" s="26"/>
      <c r="G549" s="29">
        <v>11</v>
      </c>
      <c r="H549" s="26">
        <v>80</v>
      </c>
      <c r="I549" s="26">
        <v>61</v>
      </c>
      <c r="J549" s="26">
        <f t="shared" si="24"/>
        <v>70</v>
      </c>
      <c r="K549" s="26"/>
      <c r="L549" s="26"/>
      <c r="M549" s="29">
        <f t="shared" si="25"/>
        <v>11</v>
      </c>
      <c r="N549" s="30">
        <f t="shared" si="26"/>
        <v>4.2333059999999998</v>
      </c>
      <c r="O549" s="32"/>
      <c r="P549" s="31" t="s">
        <v>19</v>
      </c>
    </row>
    <row r="550" spans="1:16" x14ac:dyDescent="0.25">
      <c r="A550" s="26">
        <v>549</v>
      </c>
      <c r="B550" s="26"/>
      <c r="C550" s="26" t="s">
        <v>901</v>
      </c>
      <c r="D550" s="28" t="s">
        <v>902</v>
      </c>
      <c r="E550" s="26" t="s">
        <v>18</v>
      </c>
      <c r="F550" s="26"/>
      <c r="G550" s="29">
        <v>11.5</v>
      </c>
      <c r="H550" s="26">
        <v>83</v>
      </c>
      <c r="I550" s="26">
        <v>62</v>
      </c>
      <c r="J550" s="26">
        <f t="shared" si="24"/>
        <v>72</v>
      </c>
      <c r="K550" s="26"/>
      <c r="L550" s="26"/>
      <c r="M550" s="29">
        <f t="shared" si="25"/>
        <v>11.5</v>
      </c>
      <c r="N550" s="30">
        <f t="shared" si="26"/>
        <v>4.6822406399999998</v>
      </c>
      <c r="O550" s="32"/>
      <c r="P550" s="31" t="s">
        <v>19</v>
      </c>
    </row>
    <row r="551" spans="1:16" x14ac:dyDescent="0.25">
      <c r="A551" s="26">
        <v>550</v>
      </c>
      <c r="B551" s="26"/>
      <c r="C551" s="26" t="s">
        <v>903</v>
      </c>
      <c r="D551" s="28" t="s">
        <v>904</v>
      </c>
      <c r="E551" s="26" t="s">
        <v>18</v>
      </c>
      <c r="F551" s="26"/>
      <c r="G551" s="29">
        <v>12</v>
      </c>
      <c r="H551" s="26">
        <v>72</v>
      </c>
      <c r="I551" s="26">
        <v>56</v>
      </c>
      <c r="J551" s="26">
        <f t="shared" si="24"/>
        <v>64</v>
      </c>
      <c r="K551" s="26"/>
      <c r="L551" s="26"/>
      <c r="M551" s="29">
        <f t="shared" si="25"/>
        <v>12</v>
      </c>
      <c r="N551" s="30">
        <f t="shared" si="26"/>
        <v>3.86039808</v>
      </c>
      <c r="O551" s="32"/>
      <c r="P551" s="31" t="s">
        <v>30</v>
      </c>
    </row>
    <row r="552" spans="1:16" x14ac:dyDescent="0.25">
      <c r="A552" s="26">
        <v>551</v>
      </c>
      <c r="B552" s="26"/>
      <c r="C552" s="26" t="s">
        <v>905</v>
      </c>
      <c r="D552" s="28" t="s">
        <v>906</v>
      </c>
      <c r="E552" s="26" t="s">
        <v>18</v>
      </c>
      <c r="F552" s="26"/>
      <c r="G552" s="29">
        <v>5</v>
      </c>
      <c r="H552" s="26">
        <v>75</v>
      </c>
      <c r="I552" s="26">
        <v>70</v>
      </c>
      <c r="J552" s="26">
        <f t="shared" si="24"/>
        <v>72</v>
      </c>
      <c r="K552" s="26"/>
      <c r="L552" s="26"/>
      <c r="M552" s="29">
        <f t="shared" si="25"/>
        <v>5</v>
      </c>
      <c r="N552" s="30">
        <f t="shared" si="26"/>
        <v>2.0357568000000001</v>
      </c>
      <c r="O552" s="32"/>
      <c r="P552" s="31" t="s">
        <v>19</v>
      </c>
    </row>
    <row r="553" spans="1:16" x14ac:dyDescent="0.25">
      <c r="A553" s="26">
        <v>552</v>
      </c>
      <c r="B553" s="26"/>
      <c r="C553" s="26" t="s">
        <v>907</v>
      </c>
      <c r="D553" s="28" t="s">
        <v>908</v>
      </c>
      <c r="E553" s="26" t="s">
        <v>18</v>
      </c>
      <c r="F553" s="26"/>
      <c r="G553" s="29">
        <v>4.0999999999999996</v>
      </c>
      <c r="H553" s="26">
        <v>70</v>
      </c>
      <c r="I553" s="26">
        <v>68</v>
      </c>
      <c r="J553" s="26">
        <f t="shared" si="24"/>
        <v>69</v>
      </c>
      <c r="K553" s="26"/>
      <c r="L553" s="26"/>
      <c r="M553" s="29">
        <f t="shared" si="25"/>
        <v>4.0999999999999996</v>
      </c>
      <c r="N553" s="30">
        <f t="shared" si="26"/>
        <v>1.5331086539999998</v>
      </c>
      <c r="O553" s="32"/>
      <c r="P553" s="31" t="s">
        <v>19</v>
      </c>
    </row>
    <row r="554" spans="1:16" x14ac:dyDescent="0.25">
      <c r="A554" s="26">
        <v>553</v>
      </c>
      <c r="B554" s="26"/>
      <c r="C554" s="26" t="s">
        <v>909</v>
      </c>
      <c r="D554" s="28" t="s">
        <v>910</v>
      </c>
      <c r="E554" s="26" t="s">
        <v>18</v>
      </c>
      <c r="F554" s="26"/>
      <c r="G554" s="29">
        <v>12.9</v>
      </c>
      <c r="H554" s="26">
        <v>96</v>
      </c>
      <c r="I554" s="26">
        <v>74</v>
      </c>
      <c r="J554" s="26">
        <f t="shared" si="24"/>
        <v>85</v>
      </c>
      <c r="K554" s="26">
        <v>0.5</v>
      </c>
      <c r="L554" s="26"/>
      <c r="M554" s="29">
        <f t="shared" si="25"/>
        <v>12.4</v>
      </c>
      <c r="N554" s="30">
        <f t="shared" si="26"/>
        <v>7.0363986000000001</v>
      </c>
      <c r="O554" s="32" t="s">
        <v>35</v>
      </c>
      <c r="P554" s="31" t="s">
        <v>30</v>
      </c>
    </row>
    <row r="555" spans="1:16" x14ac:dyDescent="0.25">
      <c r="A555" s="26">
        <v>554</v>
      </c>
      <c r="B555" s="26"/>
      <c r="C555" s="26" t="s">
        <v>911</v>
      </c>
      <c r="D555" s="28" t="s">
        <v>912</v>
      </c>
      <c r="E555" s="26" t="s">
        <v>18</v>
      </c>
      <c r="F555" s="26"/>
      <c r="G555" s="29">
        <v>12.7</v>
      </c>
      <c r="H555" s="26">
        <v>79</v>
      </c>
      <c r="I555" s="26">
        <v>68</v>
      </c>
      <c r="J555" s="26">
        <f t="shared" si="24"/>
        <v>73</v>
      </c>
      <c r="K555" s="26"/>
      <c r="L555" s="26"/>
      <c r="M555" s="29">
        <f t="shared" si="25"/>
        <v>12.7</v>
      </c>
      <c r="N555" s="30">
        <f t="shared" si="26"/>
        <v>5.3154536820000002</v>
      </c>
      <c r="O555" s="32"/>
      <c r="P555" s="31" t="s">
        <v>19</v>
      </c>
    </row>
    <row r="556" spans="1:16" x14ac:dyDescent="0.25">
      <c r="A556" s="26">
        <v>555</v>
      </c>
      <c r="B556" s="33"/>
      <c r="C556" s="34" t="s">
        <v>913</v>
      </c>
      <c r="D556" s="28">
        <v>5273</v>
      </c>
      <c r="E556" s="33" t="s">
        <v>18</v>
      </c>
      <c r="F556" s="33"/>
      <c r="G556" s="35">
        <v>11.8</v>
      </c>
      <c r="H556" s="36">
        <v>88</v>
      </c>
      <c r="I556" s="36">
        <v>82</v>
      </c>
      <c r="J556" s="37">
        <f t="shared" ref="J556:J606" si="27">TRUNC((H556+I556)/2)</f>
        <v>85</v>
      </c>
      <c r="K556" s="32"/>
      <c r="L556" s="33"/>
      <c r="M556" s="38">
        <f t="shared" si="25"/>
        <v>11.8</v>
      </c>
      <c r="N556" s="39">
        <f t="shared" si="26"/>
        <v>6.6959277000000004</v>
      </c>
      <c r="O556" s="32"/>
      <c r="P556" s="31" t="s">
        <v>19</v>
      </c>
    </row>
    <row r="557" spans="1:16" x14ac:dyDescent="0.25">
      <c r="A557" s="26">
        <v>556</v>
      </c>
      <c r="B557" s="33"/>
      <c r="C557" s="34" t="s">
        <v>914</v>
      </c>
      <c r="D557" s="28" t="s">
        <v>915</v>
      </c>
      <c r="E557" s="33" t="s">
        <v>18</v>
      </c>
      <c r="F557" s="33"/>
      <c r="G557" s="35">
        <v>11.8</v>
      </c>
      <c r="H557" s="36">
        <v>112</v>
      </c>
      <c r="I557" s="36">
        <v>101</v>
      </c>
      <c r="J557" s="37">
        <f t="shared" si="27"/>
        <v>106</v>
      </c>
      <c r="K557" s="32">
        <v>0.3</v>
      </c>
      <c r="L557" s="33"/>
      <c r="M557" s="38">
        <f t="shared" si="25"/>
        <v>11.5</v>
      </c>
      <c r="N557" s="39">
        <f t="shared" si="26"/>
        <v>10.14846756</v>
      </c>
      <c r="O557" s="32" t="s">
        <v>916</v>
      </c>
      <c r="P557" s="31" t="s">
        <v>19</v>
      </c>
    </row>
    <row r="558" spans="1:16" x14ac:dyDescent="0.25">
      <c r="A558" s="26">
        <v>557</v>
      </c>
      <c r="B558" s="33"/>
      <c r="C558" s="34" t="s">
        <v>917</v>
      </c>
      <c r="D558" s="28" t="s">
        <v>918</v>
      </c>
      <c r="E558" s="33" t="s">
        <v>18</v>
      </c>
      <c r="F558" s="33"/>
      <c r="G558" s="35">
        <v>7.6</v>
      </c>
      <c r="H558" s="36">
        <v>91</v>
      </c>
      <c r="I558" s="36">
        <v>80</v>
      </c>
      <c r="J558" s="37">
        <f t="shared" si="27"/>
        <v>85</v>
      </c>
      <c r="K558" s="32"/>
      <c r="L558" s="33"/>
      <c r="M558" s="38">
        <f t="shared" si="25"/>
        <v>7.6</v>
      </c>
      <c r="N558" s="39">
        <f t="shared" si="26"/>
        <v>4.3126313999999999</v>
      </c>
      <c r="O558" s="32"/>
      <c r="P558" s="31" t="s">
        <v>19</v>
      </c>
    </row>
    <row r="559" spans="1:16" x14ac:dyDescent="0.25">
      <c r="A559" s="26">
        <v>558</v>
      </c>
      <c r="B559" s="33"/>
      <c r="C559" s="34" t="s">
        <v>919</v>
      </c>
      <c r="D559" s="28" t="s">
        <v>920</v>
      </c>
      <c r="E559" s="33" t="s">
        <v>18</v>
      </c>
      <c r="F559" s="33"/>
      <c r="G559" s="35">
        <v>11.8</v>
      </c>
      <c r="H559" s="36">
        <v>103</v>
      </c>
      <c r="I559" s="36">
        <v>91</v>
      </c>
      <c r="J559" s="37">
        <f t="shared" si="27"/>
        <v>97</v>
      </c>
      <c r="K559" s="32"/>
      <c r="L559" s="33"/>
      <c r="M559" s="38">
        <f t="shared" si="25"/>
        <v>11.8</v>
      </c>
      <c r="N559" s="39">
        <f t="shared" si="26"/>
        <v>8.7199977480000008</v>
      </c>
      <c r="O559" s="32"/>
      <c r="P559" s="31" t="s">
        <v>19</v>
      </c>
    </row>
    <row r="560" spans="1:16" x14ac:dyDescent="0.25">
      <c r="A560" s="26">
        <v>559</v>
      </c>
      <c r="B560" s="33"/>
      <c r="C560" s="34" t="s">
        <v>921</v>
      </c>
      <c r="D560" s="28" t="s">
        <v>922</v>
      </c>
      <c r="E560" s="33" t="s">
        <v>18</v>
      </c>
      <c r="F560" s="33"/>
      <c r="G560" s="35">
        <v>9.8000000000000007</v>
      </c>
      <c r="H560" s="36">
        <v>82</v>
      </c>
      <c r="I560" s="36">
        <v>77</v>
      </c>
      <c r="J560" s="37">
        <f t="shared" si="27"/>
        <v>79</v>
      </c>
      <c r="K560" s="32"/>
      <c r="L560" s="33"/>
      <c r="M560" s="38">
        <f t="shared" si="25"/>
        <v>9.8000000000000007</v>
      </c>
      <c r="N560" s="39">
        <f t="shared" si="26"/>
        <v>4.8036477720000006</v>
      </c>
      <c r="O560" s="32"/>
      <c r="P560" s="31" t="s">
        <v>19</v>
      </c>
    </row>
    <row r="561" spans="1:16" x14ac:dyDescent="0.25">
      <c r="A561" s="26">
        <v>560</v>
      </c>
      <c r="B561" s="33"/>
      <c r="C561" s="34" t="s">
        <v>923</v>
      </c>
      <c r="D561" s="28" t="s">
        <v>924</v>
      </c>
      <c r="E561" s="33" t="s">
        <v>18</v>
      </c>
      <c r="F561" s="33"/>
      <c r="G561" s="35">
        <v>11.8</v>
      </c>
      <c r="H561" s="36">
        <v>94</v>
      </c>
      <c r="I561" s="36">
        <v>74</v>
      </c>
      <c r="J561" s="37">
        <f t="shared" si="27"/>
        <v>84</v>
      </c>
      <c r="K561" s="32"/>
      <c r="L561" s="33"/>
      <c r="M561" s="38">
        <f t="shared" si="25"/>
        <v>11.8</v>
      </c>
      <c r="N561" s="39">
        <f t="shared" si="26"/>
        <v>6.539303232</v>
      </c>
      <c r="O561" s="32"/>
      <c r="P561" s="31" t="s">
        <v>19</v>
      </c>
    </row>
    <row r="562" spans="1:16" x14ac:dyDescent="0.25">
      <c r="A562" s="26">
        <v>561</v>
      </c>
      <c r="B562" s="33"/>
      <c r="C562" s="34" t="s">
        <v>925</v>
      </c>
      <c r="D562" s="28" t="s">
        <v>926</v>
      </c>
      <c r="E562" s="33" t="s">
        <v>18</v>
      </c>
      <c r="F562" s="33"/>
      <c r="G562" s="35">
        <v>10.3</v>
      </c>
      <c r="H562" s="36">
        <v>90</v>
      </c>
      <c r="I562" s="36">
        <v>80</v>
      </c>
      <c r="J562" s="37">
        <f t="shared" si="27"/>
        <v>85</v>
      </c>
      <c r="K562" s="32"/>
      <c r="L562" s="33"/>
      <c r="M562" s="38">
        <f t="shared" si="25"/>
        <v>10.3</v>
      </c>
      <c r="N562" s="39">
        <f t="shared" si="26"/>
        <v>5.8447504499999994</v>
      </c>
      <c r="O562" s="32"/>
      <c r="P562" s="31" t="s">
        <v>19</v>
      </c>
    </row>
    <row r="563" spans="1:16" x14ac:dyDescent="0.25">
      <c r="A563" s="26">
        <v>562</v>
      </c>
      <c r="B563" s="33"/>
      <c r="C563" s="34" t="s">
        <v>927</v>
      </c>
      <c r="D563" s="28">
        <v>5049</v>
      </c>
      <c r="E563" s="33" t="s">
        <v>18</v>
      </c>
      <c r="F563" s="33"/>
      <c r="G563" s="35">
        <v>6</v>
      </c>
      <c r="H563" s="36">
        <v>80</v>
      </c>
      <c r="I563" s="36">
        <v>78</v>
      </c>
      <c r="J563" s="37">
        <f t="shared" si="27"/>
        <v>79</v>
      </c>
      <c r="K563" s="32"/>
      <c r="L563" s="33"/>
      <c r="M563" s="38">
        <f t="shared" si="25"/>
        <v>6</v>
      </c>
      <c r="N563" s="39">
        <f t="shared" si="26"/>
        <v>2.9410088399999998</v>
      </c>
      <c r="O563" s="32"/>
      <c r="P563" s="31" t="s">
        <v>30</v>
      </c>
    </row>
    <row r="564" spans="1:16" x14ac:dyDescent="0.25">
      <c r="A564" s="26">
        <v>563</v>
      </c>
      <c r="B564" s="33"/>
      <c r="C564" s="34" t="s">
        <v>928</v>
      </c>
      <c r="D564" s="28" t="s">
        <v>929</v>
      </c>
      <c r="E564" s="33" t="s">
        <v>18</v>
      </c>
      <c r="F564" s="33"/>
      <c r="G564" s="35">
        <v>6.7</v>
      </c>
      <c r="H564" s="36">
        <v>77</v>
      </c>
      <c r="I564" s="36">
        <v>76</v>
      </c>
      <c r="J564" s="37">
        <f t="shared" si="27"/>
        <v>76</v>
      </c>
      <c r="K564" s="32"/>
      <c r="L564" s="33"/>
      <c r="M564" s="38">
        <f t="shared" si="25"/>
        <v>6.7</v>
      </c>
      <c r="N564" s="39">
        <f t="shared" si="26"/>
        <v>3.0394351680000002</v>
      </c>
      <c r="O564" s="32"/>
      <c r="P564" s="31" t="s">
        <v>19</v>
      </c>
    </row>
    <row r="565" spans="1:16" x14ac:dyDescent="0.25">
      <c r="A565" s="26">
        <v>564</v>
      </c>
      <c r="B565" s="33"/>
      <c r="C565" s="34" t="s">
        <v>930</v>
      </c>
      <c r="D565" s="28">
        <v>5276</v>
      </c>
      <c r="E565" s="33" t="s">
        <v>18</v>
      </c>
      <c r="F565" s="33"/>
      <c r="G565" s="35">
        <v>6</v>
      </c>
      <c r="H565" s="36">
        <v>82</v>
      </c>
      <c r="I565" s="36">
        <v>78</v>
      </c>
      <c r="J565" s="37">
        <f t="shared" si="27"/>
        <v>80</v>
      </c>
      <c r="K565" s="32">
        <v>0.3</v>
      </c>
      <c r="L565" s="33"/>
      <c r="M565" s="38">
        <f t="shared" si="25"/>
        <v>5.7</v>
      </c>
      <c r="N565" s="39">
        <f t="shared" si="26"/>
        <v>2.8651391999999998</v>
      </c>
      <c r="O565" s="32" t="s">
        <v>21</v>
      </c>
      <c r="P565" s="31" t="s">
        <v>19</v>
      </c>
    </row>
    <row r="566" spans="1:16" x14ac:dyDescent="0.25">
      <c r="A566" s="26">
        <v>565</v>
      </c>
      <c r="B566" s="33"/>
      <c r="C566" s="34" t="s">
        <v>931</v>
      </c>
      <c r="D566" s="28" t="s">
        <v>932</v>
      </c>
      <c r="E566" s="33" t="s">
        <v>18</v>
      </c>
      <c r="F566" s="33"/>
      <c r="G566" s="35">
        <v>11.7</v>
      </c>
      <c r="H566" s="36">
        <v>87</v>
      </c>
      <c r="I566" s="36">
        <v>81</v>
      </c>
      <c r="J566" s="37">
        <f t="shared" si="27"/>
        <v>84</v>
      </c>
      <c r="K566" s="32"/>
      <c r="L566" s="33"/>
      <c r="M566" s="38">
        <f t="shared" si="25"/>
        <v>11.7</v>
      </c>
      <c r="N566" s="39">
        <f t="shared" si="26"/>
        <v>6.4838854079999999</v>
      </c>
      <c r="O566" s="32"/>
      <c r="P566" s="31" t="s">
        <v>30</v>
      </c>
    </row>
    <row r="567" spans="1:16" x14ac:dyDescent="0.25">
      <c r="A567" s="26">
        <v>566</v>
      </c>
      <c r="B567" s="33"/>
      <c r="C567" s="34" t="s">
        <v>933</v>
      </c>
      <c r="D567" s="28" t="s">
        <v>934</v>
      </c>
      <c r="E567" s="33" t="s">
        <v>18</v>
      </c>
      <c r="F567" s="33"/>
      <c r="G567" s="35">
        <v>9</v>
      </c>
      <c r="H567" s="36">
        <v>80</v>
      </c>
      <c r="I567" s="36">
        <v>74</v>
      </c>
      <c r="J567" s="37">
        <f t="shared" si="27"/>
        <v>77</v>
      </c>
      <c r="K567" s="32"/>
      <c r="L567" s="33"/>
      <c r="M567" s="38">
        <f t="shared" si="25"/>
        <v>9</v>
      </c>
      <c r="N567" s="39">
        <f t="shared" si="26"/>
        <v>4.19097294</v>
      </c>
      <c r="O567" s="32"/>
      <c r="P567" s="31" t="s">
        <v>19</v>
      </c>
    </row>
    <row r="568" spans="1:16" x14ac:dyDescent="0.25">
      <c r="A568" s="26">
        <v>567</v>
      </c>
      <c r="B568" s="33"/>
      <c r="C568" s="34" t="s">
        <v>935</v>
      </c>
      <c r="D568" s="28">
        <v>5278</v>
      </c>
      <c r="E568" s="33" t="s">
        <v>18</v>
      </c>
      <c r="F568" s="33"/>
      <c r="G568" s="35">
        <v>11.8</v>
      </c>
      <c r="H568" s="36">
        <v>87</v>
      </c>
      <c r="I568" s="36">
        <v>79</v>
      </c>
      <c r="J568" s="37">
        <f t="shared" si="27"/>
        <v>83</v>
      </c>
      <c r="K568" s="32"/>
      <c r="L568" s="33"/>
      <c r="M568" s="38">
        <f t="shared" si="25"/>
        <v>11.8</v>
      </c>
      <c r="N568" s="39">
        <f t="shared" si="26"/>
        <v>6.3845323080000007</v>
      </c>
      <c r="O568" s="32"/>
      <c r="P568" s="31" t="s">
        <v>19</v>
      </c>
    </row>
    <row r="569" spans="1:16" x14ac:dyDescent="0.25">
      <c r="A569" s="26">
        <v>568</v>
      </c>
      <c r="B569" s="33"/>
      <c r="C569" s="34" t="s">
        <v>936</v>
      </c>
      <c r="D569" s="28" t="s">
        <v>937</v>
      </c>
      <c r="E569" s="33" t="s">
        <v>18</v>
      </c>
      <c r="F569" s="33"/>
      <c r="G569" s="35">
        <v>10</v>
      </c>
      <c r="H569" s="36">
        <v>80</v>
      </c>
      <c r="I569" s="36">
        <v>77</v>
      </c>
      <c r="J569" s="37">
        <f t="shared" si="27"/>
        <v>78</v>
      </c>
      <c r="K569" s="32"/>
      <c r="L569" s="33"/>
      <c r="M569" s="38">
        <f t="shared" si="25"/>
        <v>10</v>
      </c>
      <c r="N569" s="39">
        <f t="shared" si="26"/>
        <v>4.7783736000000001</v>
      </c>
      <c r="O569" s="32"/>
      <c r="P569" s="31" t="s">
        <v>30</v>
      </c>
    </row>
    <row r="570" spans="1:16" x14ac:dyDescent="0.25">
      <c r="A570" s="26">
        <v>569</v>
      </c>
      <c r="B570" s="33"/>
      <c r="C570" s="34" t="s">
        <v>938</v>
      </c>
      <c r="D570" s="28" t="s">
        <v>939</v>
      </c>
      <c r="E570" s="33" t="s">
        <v>18</v>
      </c>
      <c r="F570" s="33"/>
      <c r="G570" s="35">
        <v>9</v>
      </c>
      <c r="H570" s="36">
        <v>77</v>
      </c>
      <c r="I570" s="36">
        <v>71</v>
      </c>
      <c r="J570" s="37">
        <f t="shared" si="27"/>
        <v>74</v>
      </c>
      <c r="K570" s="32"/>
      <c r="L570" s="33"/>
      <c r="M570" s="38">
        <f t="shared" si="25"/>
        <v>9</v>
      </c>
      <c r="N570" s="39">
        <f t="shared" si="26"/>
        <v>3.8707653599999996</v>
      </c>
      <c r="O570" s="32"/>
      <c r="P570" s="31" t="s">
        <v>19</v>
      </c>
    </row>
    <row r="571" spans="1:16" x14ac:dyDescent="0.25">
      <c r="A571" s="26">
        <v>570</v>
      </c>
      <c r="B571" s="33"/>
      <c r="C571" s="34" t="s">
        <v>940</v>
      </c>
      <c r="D571" s="28">
        <v>5281</v>
      </c>
      <c r="E571" s="33" t="s">
        <v>18</v>
      </c>
      <c r="F571" s="33"/>
      <c r="G571" s="35">
        <v>11.8</v>
      </c>
      <c r="H571" s="36">
        <v>74</v>
      </c>
      <c r="I571" s="36">
        <v>65</v>
      </c>
      <c r="J571" s="37">
        <f t="shared" si="27"/>
        <v>69</v>
      </c>
      <c r="K571" s="32"/>
      <c r="L571" s="33"/>
      <c r="M571" s="38">
        <f t="shared" si="25"/>
        <v>11.8</v>
      </c>
      <c r="N571" s="39">
        <f t="shared" si="26"/>
        <v>4.4123614919999996</v>
      </c>
      <c r="O571" s="32"/>
      <c r="P571" s="31" t="s">
        <v>19</v>
      </c>
    </row>
    <row r="572" spans="1:16" x14ac:dyDescent="0.25">
      <c r="A572" s="26">
        <v>571</v>
      </c>
      <c r="B572" s="33"/>
      <c r="C572" s="34" t="s">
        <v>941</v>
      </c>
      <c r="D572" s="28">
        <v>863</v>
      </c>
      <c r="E572" s="33" t="s">
        <v>18</v>
      </c>
      <c r="F572" s="33"/>
      <c r="G572" s="35">
        <v>11.8</v>
      </c>
      <c r="H572" s="36">
        <v>86</v>
      </c>
      <c r="I572" s="36">
        <v>77</v>
      </c>
      <c r="J572" s="37">
        <f t="shared" si="27"/>
        <v>81</v>
      </c>
      <c r="K572" s="32"/>
      <c r="L572" s="33"/>
      <c r="M572" s="38">
        <f t="shared" si="25"/>
        <v>11.8</v>
      </c>
      <c r="N572" s="39">
        <f t="shared" si="26"/>
        <v>6.0805510920000003</v>
      </c>
      <c r="O572" s="32"/>
      <c r="P572" s="31" t="s">
        <v>19</v>
      </c>
    </row>
    <row r="573" spans="1:16" x14ac:dyDescent="0.25">
      <c r="A573" s="26">
        <v>572</v>
      </c>
      <c r="B573" s="33"/>
      <c r="C573" s="34" t="s">
        <v>942</v>
      </c>
      <c r="D573" s="28" t="s">
        <v>943</v>
      </c>
      <c r="E573" s="33" t="s">
        <v>18</v>
      </c>
      <c r="F573" s="33"/>
      <c r="G573" s="35">
        <v>9.1999999999999993</v>
      </c>
      <c r="H573" s="36">
        <v>91</v>
      </c>
      <c r="I573" s="36">
        <v>82</v>
      </c>
      <c r="J573" s="37">
        <f t="shared" si="27"/>
        <v>86</v>
      </c>
      <c r="K573" s="32"/>
      <c r="L573" s="33"/>
      <c r="M573" s="38">
        <f t="shared" si="25"/>
        <v>9.1999999999999993</v>
      </c>
      <c r="N573" s="39">
        <f t="shared" si="26"/>
        <v>5.3441129279999995</v>
      </c>
      <c r="O573" s="32"/>
      <c r="P573" s="31" t="s">
        <v>19</v>
      </c>
    </row>
    <row r="574" spans="1:16" x14ac:dyDescent="0.25">
      <c r="A574" s="26">
        <v>573</v>
      </c>
      <c r="B574" s="33"/>
      <c r="C574" s="34" t="s">
        <v>944</v>
      </c>
      <c r="D574" s="28" t="s">
        <v>945</v>
      </c>
      <c r="E574" s="33" t="s">
        <v>18</v>
      </c>
      <c r="F574" s="33"/>
      <c r="G574" s="35">
        <v>12.2</v>
      </c>
      <c r="H574" s="36">
        <v>105</v>
      </c>
      <c r="I574" s="36">
        <v>88</v>
      </c>
      <c r="J574" s="37">
        <f t="shared" si="27"/>
        <v>96</v>
      </c>
      <c r="K574" s="32"/>
      <c r="L574" s="33"/>
      <c r="M574" s="38">
        <f t="shared" si="25"/>
        <v>12.2</v>
      </c>
      <c r="N574" s="39">
        <f t="shared" si="26"/>
        <v>8.8306606080000005</v>
      </c>
      <c r="O574" s="32"/>
      <c r="P574" s="31" t="s">
        <v>19</v>
      </c>
    </row>
    <row r="575" spans="1:16" x14ac:dyDescent="0.25">
      <c r="A575" s="26">
        <v>574</v>
      </c>
      <c r="B575" s="33"/>
      <c r="C575" s="34" t="s">
        <v>946</v>
      </c>
      <c r="D575" s="28" t="s">
        <v>947</v>
      </c>
      <c r="E575" s="33" t="s">
        <v>18</v>
      </c>
      <c r="F575" s="33"/>
      <c r="G575" s="35">
        <v>11.6</v>
      </c>
      <c r="H575" s="36">
        <v>92</v>
      </c>
      <c r="I575" s="36">
        <v>75</v>
      </c>
      <c r="J575" s="37">
        <f t="shared" si="27"/>
        <v>83</v>
      </c>
      <c r="K575" s="32"/>
      <c r="L575" s="33"/>
      <c r="M575" s="38">
        <f t="shared" si="25"/>
        <v>11.6</v>
      </c>
      <c r="N575" s="39">
        <f t="shared" si="26"/>
        <v>6.2763198959999995</v>
      </c>
      <c r="O575" s="32"/>
      <c r="P575" s="31" t="s">
        <v>19</v>
      </c>
    </row>
    <row r="576" spans="1:16" x14ac:dyDescent="0.25">
      <c r="A576" s="26">
        <v>575</v>
      </c>
      <c r="B576" s="33"/>
      <c r="C576" s="34" t="s">
        <v>948</v>
      </c>
      <c r="D576" s="28" t="s">
        <v>949</v>
      </c>
      <c r="E576" s="33" t="s">
        <v>18</v>
      </c>
      <c r="F576" s="33"/>
      <c r="G576" s="35">
        <v>8.1999999999999993</v>
      </c>
      <c r="H576" s="36">
        <v>80</v>
      </c>
      <c r="I576" s="36">
        <v>76</v>
      </c>
      <c r="J576" s="37">
        <f t="shared" si="27"/>
        <v>78</v>
      </c>
      <c r="K576" s="32"/>
      <c r="L576" s="33"/>
      <c r="M576" s="38">
        <f t="shared" si="25"/>
        <v>8.1999999999999993</v>
      </c>
      <c r="N576" s="39">
        <f t="shared" si="26"/>
        <v>3.9182663519999994</v>
      </c>
      <c r="O576" s="32"/>
      <c r="P576" s="31" t="s">
        <v>19</v>
      </c>
    </row>
    <row r="577" spans="1:16" x14ac:dyDescent="0.25">
      <c r="A577" s="26">
        <v>576</v>
      </c>
      <c r="B577" s="33"/>
      <c r="C577" s="34" t="s">
        <v>950</v>
      </c>
      <c r="D577" s="28" t="s">
        <v>951</v>
      </c>
      <c r="E577" s="33" t="s">
        <v>18</v>
      </c>
      <c r="F577" s="33"/>
      <c r="G577" s="35">
        <v>6</v>
      </c>
      <c r="H577" s="36">
        <v>74</v>
      </c>
      <c r="I577" s="36">
        <v>72</v>
      </c>
      <c r="J577" s="37">
        <f t="shared" si="27"/>
        <v>73</v>
      </c>
      <c r="K577" s="32"/>
      <c r="L577" s="33"/>
      <c r="M577" s="38">
        <f t="shared" si="25"/>
        <v>6</v>
      </c>
      <c r="N577" s="39">
        <f t="shared" si="26"/>
        <v>2.5112379599999999</v>
      </c>
      <c r="O577" s="32"/>
      <c r="P577" s="31" t="s">
        <v>19</v>
      </c>
    </row>
    <row r="578" spans="1:16" x14ac:dyDescent="0.25">
      <c r="A578" s="26">
        <v>577</v>
      </c>
      <c r="B578" s="33"/>
      <c r="C578" s="34" t="s">
        <v>952</v>
      </c>
      <c r="D578" s="28" t="s">
        <v>953</v>
      </c>
      <c r="E578" s="33" t="s">
        <v>18</v>
      </c>
      <c r="F578" s="33"/>
      <c r="G578" s="35">
        <v>11.5</v>
      </c>
      <c r="H578" s="36">
        <v>83</v>
      </c>
      <c r="I578" s="36">
        <v>75</v>
      </c>
      <c r="J578" s="37">
        <f t="shared" si="27"/>
        <v>79</v>
      </c>
      <c r="K578" s="32"/>
      <c r="L578" s="33"/>
      <c r="M578" s="38">
        <f t="shared" ref="M578:M641" si="28">G578-K578</f>
        <v>11.5</v>
      </c>
      <c r="N578" s="39">
        <f t="shared" ref="N578:N641" si="29">J578*J578*M578*0.7854/10000</f>
        <v>5.6369336099999998</v>
      </c>
      <c r="O578" s="32"/>
      <c r="P578" s="31" t="s">
        <v>30</v>
      </c>
    </row>
    <row r="579" spans="1:16" x14ac:dyDescent="0.25">
      <c r="A579" s="26">
        <v>578</v>
      </c>
      <c r="B579" s="33"/>
      <c r="C579" s="34" t="s">
        <v>954</v>
      </c>
      <c r="D579" s="28" t="s">
        <v>955</v>
      </c>
      <c r="E579" s="33" t="s">
        <v>18</v>
      </c>
      <c r="F579" s="33"/>
      <c r="G579" s="35">
        <v>8.9</v>
      </c>
      <c r="H579" s="36">
        <v>98</v>
      </c>
      <c r="I579" s="36">
        <v>91</v>
      </c>
      <c r="J579" s="37">
        <f t="shared" si="27"/>
        <v>94</v>
      </c>
      <c r="K579" s="32"/>
      <c r="L579" s="33"/>
      <c r="M579" s="38">
        <f t="shared" si="28"/>
        <v>8.9</v>
      </c>
      <c r="N579" s="39">
        <f t="shared" si="29"/>
        <v>6.1764170160000011</v>
      </c>
      <c r="O579" s="32"/>
      <c r="P579" s="31" t="s">
        <v>19</v>
      </c>
    </row>
    <row r="580" spans="1:16" x14ac:dyDescent="0.25">
      <c r="A580" s="26">
        <v>579</v>
      </c>
      <c r="B580" s="33"/>
      <c r="C580" s="34" t="s">
        <v>956</v>
      </c>
      <c r="D580" s="28" t="s">
        <v>957</v>
      </c>
      <c r="E580" s="33" t="s">
        <v>18</v>
      </c>
      <c r="F580" s="33"/>
      <c r="G580" s="35">
        <f>9.1-L580</f>
        <v>9.1</v>
      </c>
      <c r="H580" s="36">
        <v>73</v>
      </c>
      <c r="I580" s="36">
        <v>63</v>
      </c>
      <c r="J580" s="37">
        <f t="shared" si="27"/>
        <v>68</v>
      </c>
      <c r="K580" s="32">
        <v>0.3</v>
      </c>
      <c r="L580" s="33"/>
      <c r="M580" s="38">
        <f t="shared" si="28"/>
        <v>8.7999999999999989</v>
      </c>
      <c r="N580" s="39">
        <f t="shared" si="29"/>
        <v>3.1958868479999998</v>
      </c>
      <c r="O580" s="32" t="s">
        <v>21</v>
      </c>
      <c r="P580" s="31" t="s">
        <v>19</v>
      </c>
    </row>
    <row r="581" spans="1:16" x14ac:dyDescent="0.25">
      <c r="A581" s="26">
        <v>580</v>
      </c>
      <c r="B581" s="33"/>
      <c r="C581" s="34" t="s">
        <v>958</v>
      </c>
      <c r="D581" s="28" t="s">
        <v>959</v>
      </c>
      <c r="E581" s="33" t="s">
        <v>18</v>
      </c>
      <c r="F581" s="33"/>
      <c r="G581" s="35">
        <v>11.8</v>
      </c>
      <c r="H581" s="36">
        <v>84</v>
      </c>
      <c r="I581" s="36">
        <v>74</v>
      </c>
      <c r="J581" s="37">
        <f t="shared" si="27"/>
        <v>79</v>
      </c>
      <c r="K581" s="32"/>
      <c r="L581" s="33"/>
      <c r="M581" s="38">
        <f t="shared" si="28"/>
        <v>11.8</v>
      </c>
      <c r="N581" s="39">
        <f t="shared" si="29"/>
        <v>5.7839840520000001</v>
      </c>
      <c r="O581" s="32"/>
      <c r="P581" s="31" t="s">
        <v>30</v>
      </c>
    </row>
    <row r="582" spans="1:16" x14ac:dyDescent="0.25">
      <c r="A582" s="26">
        <v>581</v>
      </c>
      <c r="B582" s="33"/>
      <c r="C582" s="34" t="s">
        <v>960</v>
      </c>
      <c r="D582" s="28" t="s">
        <v>961</v>
      </c>
      <c r="E582" s="33" t="s">
        <v>18</v>
      </c>
      <c r="F582" s="33"/>
      <c r="G582" s="35">
        <v>8</v>
      </c>
      <c r="H582" s="36">
        <v>83</v>
      </c>
      <c r="I582" s="36">
        <v>69</v>
      </c>
      <c r="J582" s="37">
        <f t="shared" si="27"/>
        <v>76</v>
      </c>
      <c r="K582" s="32"/>
      <c r="L582" s="33"/>
      <c r="M582" s="38">
        <f t="shared" si="28"/>
        <v>8</v>
      </c>
      <c r="N582" s="39">
        <f t="shared" si="29"/>
        <v>3.62917632</v>
      </c>
      <c r="O582" s="32"/>
      <c r="P582" s="31" t="s">
        <v>19</v>
      </c>
    </row>
    <row r="583" spans="1:16" x14ac:dyDescent="0.25">
      <c r="A583" s="26">
        <v>582</v>
      </c>
      <c r="B583" s="33"/>
      <c r="C583" s="34" t="s">
        <v>962</v>
      </c>
      <c r="D583" s="28" t="s">
        <v>963</v>
      </c>
      <c r="E583" s="33" t="s">
        <v>18</v>
      </c>
      <c r="F583" s="33"/>
      <c r="G583" s="35">
        <v>8.1</v>
      </c>
      <c r="H583" s="36">
        <v>75</v>
      </c>
      <c r="I583" s="36">
        <v>70</v>
      </c>
      <c r="J583" s="37">
        <f t="shared" si="27"/>
        <v>72</v>
      </c>
      <c r="K583" s="32"/>
      <c r="L583" s="33"/>
      <c r="M583" s="38">
        <f t="shared" si="28"/>
        <v>8.1</v>
      </c>
      <c r="N583" s="39">
        <f t="shared" si="29"/>
        <v>3.2979260159999999</v>
      </c>
      <c r="O583" s="32"/>
      <c r="P583" s="31" t="s">
        <v>19</v>
      </c>
    </row>
    <row r="584" spans="1:16" x14ac:dyDescent="0.25">
      <c r="A584" s="26">
        <v>583</v>
      </c>
      <c r="B584" s="33"/>
      <c r="C584" s="34" t="s">
        <v>964</v>
      </c>
      <c r="D584" s="28">
        <v>5042</v>
      </c>
      <c r="E584" s="33" t="s">
        <v>18</v>
      </c>
      <c r="F584" s="33"/>
      <c r="G584" s="35">
        <f>11.8-L584</f>
        <v>11.8</v>
      </c>
      <c r="H584" s="36">
        <v>79</v>
      </c>
      <c r="I584" s="36">
        <v>76</v>
      </c>
      <c r="J584" s="37">
        <f t="shared" si="27"/>
        <v>77</v>
      </c>
      <c r="K584" s="32">
        <v>0.4</v>
      </c>
      <c r="L584" s="33"/>
      <c r="M584" s="38">
        <f t="shared" si="28"/>
        <v>11.4</v>
      </c>
      <c r="N584" s="39">
        <f t="shared" si="29"/>
        <v>5.3085657240000002</v>
      </c>
      <c r="O584" s="32" t="s">
        <v>21</v>
      </c>
      <c r="P584" s="31" t="s">
        <v>30</v>
      </c>
    </row>
    <row r="585" spans="1:16" x14ac:dyDescent="0.25">
      <c r="A585" s="26">
        <v>584</v>
      </c>
      <c r="B585" s="33"/>
      <c r="C585" s="34" t="s">
        <v>965</v>
      </c>
      <c r="D585" s="28">
        <v>5043</v>
      </c>
      <c r="E585" s="33" t="s">
        <v>18</v>
      </c>
      <c r="F585" s="33"/>
      <c r="G585" s="35">
        <v>11.8</v>
      </c>
      <c r="H585" s="36">
        <v>80</v>
      </c>
      <c r="I585" s="36">
        <v>72</v>
      </c>
      <c r="J585" s="37">
        <f t="shared" si="27"/>
        <v>76</v>
      </c>
      <c r="K585" s="32"/>
      <c r="L585" s="33"/>
      <c r="M585" s="38">
        <f t="shared" si="28"/>
        <v>11.8</v>
      </c>
      <c r="N585" s="39">
        <f t="shared" si="29"/>
        <v>5.3530350719999999</v>
      </c>
      <c r="O585" s="32"/>
      <c r="P585" s="31" t="s">
        <v>19</v>
      </c>
    </row>
    <row r="586" spans="1:16" x14ac:dyDescent="0.25">
      <c r="A586" s="26">
        <v>585</v>
      </c>
      <c r="B586" s="33"/>
      <c r="C586" s="34" t="s">
        <v>966</v>
      </c>
      <c r="D586" s="28" t="s">
        <v>967</v>
      </c>
      <c r="E586" s="33" t="s">
        <v>18</v>
      </c>
      <c r="F586" s="33"/>
      <c r="G586" s="35">
        <v>6</v>
      </c>
      <c r="H586" s="36">
        <v>108</v>
      </c>
      <c r="I586" s="36">
        <v>105</v>
      </c>
      <c r="J586" s="37">
        <f t="shared" si="27"/>
        <v>106</v>
      </c>
      <c r="K586" s="32"/>
      <c r="L586" s="33"/>
      <c r="M586" s="38">
        <f t="shared" si="28"/>
        <v>6</v>
      </c>
      <c r="N586" s="39">
        <f t="shared" si="29"/>
        <v>5.2948526400000002</v>
      </c>
      <c r="O586" s="32"/>
      <c r="P586" s="31" t="s">
        <v>19</v>
      </c>
    </row>
    <row r="587" spans="1:16" x14ac:dyDescent="0.25">
      <c r="A587" s="26">
        <v>586</v>
      </c>
      <c r="B587" s="33"/>
      <c r="C587" s="34" t="s">
        <v>968</v>
      </c>
      <c r="D587" s="28" t="s">
        <v>969</v>
      </c>
      <c r="E587" s="33" t="s">
        <v>18</v>
      </c>
      <c r="F587" s="33"/>
      <c r="G587" s="35">
        <v>8.9</v>
      </c>
      <c r="H587" s="36">
        <v>114</v>
      </c>
      <c r="I587" s="36">
        <v>105</v>
      </c>
      <c r="J587" s="37">
        <f t="shared" si="27"/>
        <v>109</v>
      </c>
      <c r="K587" s="32"/>
      <c r="L587" s="33"/>
      <c r="M587" s="38">
        <f t="shared" si="28"/>
        <v>8.9</v>
      </c>
      <c r="N587" s="39">
        <f t="shared" si="29"/>
        <v>8.3048902860000009</v>
      </c>
      <c r="O587" s="32"/>
      <c r="P587" s="31" t="s">
        <v>19</v>
      </c>
    </row>
    <row r="588" spans="1:16" x14ac:dyDescent="0.25">
      <c r="A588" s="26">
        <v>587</v>
      </c>
      <c r="B588" s="33"/>
      <c r="C588" s="34" t="s">
        <v>970</v>
      </c>
      <c r="D588" s="28">
        <v>5113</v>
      </c>
      <c r="E588" s="33" t="s">
        <v>18</v>
      </c>
      <c r="F588" s="33"/>
      <c r="G588" s="35">
        <v>6</v>
      </c>
      <c r="H588" s="36">
        <v>80</v>
      </c>
      <c r="I588" s="36">
        <v>75</v>
      </c>
      <c r="J588" s="37">
        <f t="shared" si="27"/>
        <v>77</v>
      </c>
      <c r="K588" s="32"/>
      <c r="L588" s="33"/>
      <c r="M588" s="38">
        <f t="shared" si="28"/>
        <v>6</v>
      </c>
      <c r="N588" s="39">
        <f t="shared" si="29"/>
        <v>2.79398196</v>
      </c>
      <c r="O588" s="32"/>
      <c r="P588" s="31" t="s">
        <v>19</v>
      </c>
    </row>
    <row r="589" spans="1:16" x14ac:dyDescent="0.25">
      <c r="A589" s="26">
        <v>588</v>
      </c>
      <c r="B589" s="33"/>
      <c r="C589" s="34" t="s">
        <v>971</v>
      </c>
      <c r="D589" s="28" t="s">
        <v>972</v>
      </c>
      <c r="E589" s="33" t="s">
        <v>18</v>
      </c>
      <c r="F589" s="33"/>
      <c r="G589" s="35">
        <v>7.9</v>
      </c>
      <c r="H589" s="36">
        <v>85</v>
      </c>
      <c r="I589" s="36">
        <v>80</v>
      </c>
      <c r="J589" s="37">
        <f t="shared" si="27"/>
        <v>82</v>
      </c>
      <c r="K589" s="32"/>
      <c r="L589" s="33"/>
      <c r="M589" s="38">
        <f t="shared" si="28"/>
        <v>7.9</v>
      </c>
      <c r="N589" s="39">
        <f t="shared" si="29"/>
        <v>4.1720133840000004</v>
      </c>
      <c r="O589" s="32"/>
      <c r="P589" s="31" t="s">
        <v>19</v>
      </c>
    </row>
    <row r="590" spans="1:16" x14ac:dyDescent="0.25">
      <c r="A590" s="26">
        <v>589</v>
      </c>
      <c r="B590" s="33"/>
      <c r="C590" s="34" t="s">
        <v>973</v>
      </c>
      <c r="D590" s="28" t="s">
        <v>974</v>
      </c>
      <c r="E590" s="33" t="s">
        <v>18</v>
      </c>
      <c r="F590" s="33"/>
      <c r="G590" s="35">
        <v>10.8</v>
      </c>
      <c r="H590" s="36">
        <v>83</v>
      </c>
      <c r="I590" s="36">
        <v>78</v>
      </c>
      <c r="J590" s="37">
        <f t="shared" si="27"/>
        <v>80</v>
      </c>
      <c r="K590" s="32"/>
      <c r="L590" s="33"/>
      <c r="M590" s="38">
        <f t="shared" si="28"/>
        <v>10.8</v>
      </c>
      <c r="N590" s="39">
        <f t="shared" si="29"/>
        <v>5.4286848000000001</v>
      </c>
      <c r="O590" s="32"/>
      <c r="P590" s="31" t="s">
        <v>19</v>
      </c>
    </row>
    <row r="591" spans="1:16" x14ac:dyDescent="0.25">
      <c r="A591" s="26">
        <v>590</v>
      </c>
      <c r="B591" s="33"/>
      <c r="C591" s="34" t="s">
        <v>975</v>
      </c>
      <c r="D591" s="28" t="s">
        <v>976</v>
      </c>
      <c r="E591" s="33" t="s">
        <v>18</v>
      </c>
      <c r="F591" s="33"/>
      <c r="G591" s="35">
        <v>9.9</v>
      </c>
      <c r="H591" s="36">
        <v>82</v>
      </c>
      <c r="I591" s="36">
        <v>66</v>
      </c>
      <c r="J591" s="37">
        <f t="shared" si="27"/>
        <v>74</v>
      </c>
      <c r="K591" s="32"/>
      <c r="L591" s="33"/>
      <c r="M591" s="38">
        <f t="shared" si="28"/>
        <v>9.9</v>
      </c>
      <c r="N591" s="39">
        <f t="shared" si="29"/>
        <v>4.2578418960000004</v>
      </c>
      <c r="O591" s="32"/>
      <c r="P591" s="31" t="s">
        <v>19</v>
      </c>
    </row>
    <row r="592" spans="1:16" x14ac:dyDescent="0.25">
      <c r="A592" s="26">
        <v>591</v>
      </c>
      <c r="B592" s="33"/>
      <c r="C592" s="34" t="s">
        <v>977</v>
      </c>
      <c r="D592" s="28" t="s">
        <v>978</v>
      </c>
      <c r="E592" s="33" t="s">
        <v>18</v>
      </c>
      <c r="F592" s="33"/>
      <c r="G592" s="35">
        <v>6</v>
      </c>
      <c r="H592" s="36">
        <v>70</v>
      </c>
      <c r="I592" s="36">
        <v>70</v>
      </c>
      <c r="J592" s="37">
        <f t="shared" si="27"/>
        <v>70</v>
      </c>
      <c r="K592" s="32"/>
      <c r="L592" s="33"/>
      <c r="M592" s="38">
        <f t="shared" si="28"/>
        <v>6</v>
      </c>
      <c r="N592" s="39">
        <f t="shared" si="29"/>
        <v>2.3090759999999997</v>
      </c>
      <c r="O592" s="32"/>
      <c r="P592" s="31" t="s">
        <v>19</v>
      </c>
    </row>
    <row r="593" spans="1:16" x14ac:dyDescent="0.25">
      <c r="A593" s="26">
        <v>592</v>
      </c>
      <c r="B593" s="33"/>
      <c r="C593" s="34" t="s">
        <v>979</v>
      </c>
      <c r="D593" s="28" t="s">
        <v>980</v>
      </c>
      <c r="E593" s="33" t="s">
        <v>18</v>
      </c>
      <c r="F593" s="33"/>
      <c r="G593" s="35">
        <v>9.3000000000000007</v>
      </c>
      <c r="H593" s="36">
        <v>107</v>
      </c>
      <c r="I593" s="36">
        <v>100</v>
      </c>
      <c r="J593" s="37">
        <f t="shared" si="27"/>
        <v>103</v>
      </c>
      <c r="K593" s="32"/>
      <c r="L593" s="33"/>
      <c r="M593" s="38">
        <f t="shared" si="28"/>
        <v>9.3000000000000007</v>
      </c>
      <c r="N593" s="39">
        <f t="shared" si="29"/>
        <v>7.7490469980000007</v>
      </c>
      <c r="O593" s="32"/>
      <c r="P593" s="31" t="s">
        <v>30</v>
      </c>
    </row>
    <row r="594" spans="1:16" x14ac:dyDescent="0.25">
      <c r="A594" s="26">
        <v>593</v>
      </c>
      <c r="B594" s="33"/>
      <c r="C594" s="34" t="s">
        <v>981</v>
      </c>
      <c r="D594" s="28" t="s">
        <v>982</v>
      </c>
      <c r="E594" s="33" t="s">
        <v>18</v>
      </c>
      <c r="F594" s="33"/>
      <c r="G594" s="35">
        <v>6</v>
      </c>
      <c r="H594" s="36">
        <v>112</v>
      </c>
      <c r="I594" s="36">
        <v>107</v>
      </c>
      <c r="J594" s="37">
        <f t="shared" si="27"/>
        <v>109</v>
      </c>
      <c r="K594" s="32"/>
      <c r="L594" s="33"/>
      <c r="M594" s="38">
        <f t="shared" si="28"/>
        <v>6</v>
      </c>
      <c r="N594" s="39">
        <f t="shared" si="29"/>
        <v>5.59880244</v>
      </c>
      <c r="O594" s="32"/>
      <c r="P594" s="31" t="s">
        <v>19</v>
      </c>
    </row>
    <row r="595" spans="1:16" x14ac:dyDescent="0.25">
      <c r="A595" s="26">
        <v>594</v>
      </c>
      <c r="B595" s="33"/>
      <c r="C595" s="34" t="s">
        <v>983</v>
      </c>
      <c r="D595" s="28" t="s">
        <v>984</v>
      </c>
      <c r="E595" s="33" t="s">
        <v>18</v>
      </c>
      <c r="F595" s="33"/>
      <c r="G595" s="35">
        <v>6</v>
      </c>
      <c r="H595" s="36">
        <v>97</v>
      </c>
      <c r="I595" s="36">
        <v>95</v>
      </c>
      <c r="J595" s="37">
        <f t="shared" si="27"/>
        <v>96</v>
      </c>
      <c r="K595" s="32"/>
      <c r="L595" s="33"/>
      <c r="M595" s="38">
        <f t="shared" si="28"/>
        <v>6</v>
      </c>
      <c r="N595" s="39">
        <f t="shared" si="29"/>
        <v>4.3429478399999999</v>
      </c>
      <c r="O595" s="32"/>
      <c r="P595" s="31" t="s">
        <v>19</v>
      </c>
    </row>
    <row r="596" spans="1:16" x14ac:dyDescent="0.25">
      <c r="A596" s="26">
        <v>595</v>
      </c>
      <c r="B596" s="33"/>
      <c r="C596" s="34" t="s">
        <v>985</v>
      </c>
      <c r="D596" s="28" t="s">
        <v>986</v>
      </c>
      <c r="E596" s="33" t="s">
        <v>18</v>
      </c>
      <c r="F596" s="33"/>
      <c r="G596" s="35">
        <v>8.4</v>
      </c>
      <c r="H596" s="36">
        <v>97</v>
      </c>
      <c r="I596" s="36">
        <v>96</v>
      </c>
      <c r="J596" s="37">
        <f t="shared" si="27"/>
        <v>96</v>
      </c>
      <c r="K596" s="32"/>
      <c r="L596" s="33"/>
      <c r="M596" s="38">
        <f t="shared" si="28"/>
        <v>8.4</v>
      </c>
      <c r="N596" s="39">
        <f t="shared" si="29"/>
        <v>6.0801269759999998</v>
      </c>
      <c r="O596" s="32"/>
      <c r="P596" s="31" t="s">
        <v>30</v>
      </c>
    </row>
    <row r="597" spans="1:16" x14ac:dyDescent="0.25">
      <c r="A597" s="26">
        <v>596</v>
      </c>
      <c r="B597" s="33"/>
      <c r="C597" s="34" t="s">
        <v>987</v>
      </c>
      <c r="D597" s="28">
        <v>5011</v>
      </c>
      <c r="E597" s="33" t="s">
        <v>18</v>
      </c>
      <c r="F597" s="33"/>
      <c r="G597" s="35">
        <v>6</v>
      </c>
      <c r="H597" s="36">
        <v>89</v>
      </c>
      <c r="I597" s="36">
        <v>86</v>
      </c>
      <c r="J597" s="37">
        <f t="shared" si="27"/>
        <v>87</v>
      </c>
      <c r="K597" s="32"/>
      <c r="L597" s="33"/>
      <c r="M597" s="38">
        <f t="shared" si="28"/>
        <v>6</v>
      </c>
      <c r="N597" s="39">
        <f t="shared" si="29"/>
        <v>3.5668155599999998</v>
      </c>
      <c r="O597" s="32"/>
      <c r="P597" s="31" t="s">
        <v>19</v>
      </c>
    </row>
    <row r="598" spans="1:16" x14ac:dyDescent="0.25">
      <c r="A598" s="26">
        <v>597</v>
      </c>
      <c r="B598" s="33"/>
      <c r="C598" s="34" t="s">
        <v>988</v>
      </c>
      <c r="D598" s="28" t="s">
        <v>989</v>
      </c>
      <c r="E598" s="33" t="s">
        <v>18</v>
      </c>
      <c r="F598" s="33"/>
      <c r="G598" s="35">
        <v>10.199999999999999</v>
      </c>
      <c r="H598" s="36">
        <v>86</v>
      </c>
      <c r="I598" s="36">
        <v>77</v>
      </c>
      <c r="J598" s="37">
        <f t="shared" si="27"/>
        <v>81</v>
      </c>
      <c r="K598" s="32"/>
      <c r="L598" s="33"/>
      <c r="M598" s="38">
        <f t="shared" si="28"/>
        <v>10.199999999999999</v>
      </c>
      <c r="N598" s="39">
        <f t="shared" si="29"/>
        <v>5.2560695879999999</v>
      </c>
      <c r="O598" s="32"/>
      <c r="P598" s="31" t="s">
        <v>19</v>
      </c>
    </row>
    <row r="599" spans="1:16" x14ac:dyDescent="0.25">
      <c r="A599" s="26">
        <v>598</v>
      </c>
      <c r="B599" s="33"/>
      <c r="C599" s="34" t="s">
        <v>990</v>
      </c>
      <c r="D599" s="28" t="s">
        <v>991</v>
      </c>
      <c r="E599" s="33" t="s">
        <v>18</v>
      </c>
      <c r="F599" s="33"/>
      <c r="G599" s="35">
        <v>12.5</v>
      </c>
      <c r="H599" s="36">
        <v>81</v>
      </c>
      <c r="I599" s="36">
        <v>74</v>
      </c>
      <c r="J599" s="37">
        <f t="shared" si="27"/>
        <v>77</v>
      </c>
      <c r="K599" s="32"/>
      <c r="L599" s="33"/>
      <c r="M599" s="38">
        <f t="shared" si="28"/>
        <v>12.5</v>
      </c>
      <c r="N599" s="39">
        <f t="shared" si="29"/>
        <v>5.8207957499999994</v>
      </c>
      <c r="O599" s="32"/>
      <c r="P599" s="31" t="s">
        <v>30</v>
      </c>
    </row>
    <row r="600" spans="1:16" x14ac:dyDescent="0.25">
      <c r="A600" s="26">
        <v>599</v>
      </c>
      <c r="B600" s="33"/>
      <c r="C600" s="34" t="s">
        <v>992</v>
      </c>
      <c r="D600" s="28" t="s">
        <v>993</v>
      </c>
      <c r="E600" s="33" t="s">
        <v>18</v>
      </c>
      <c r="F600" s="33"/>
      <c r="G600" s="35">
        <v>12.5</v>
      </c>
      <c r="H600" s="36">
        <v>90</v>
      </c>
      <c r="I600" s="36">
        <v>75</v>
      </c>
      <c r="J600" s="37">
        <f t="shared" si="27"/>
        <v>82</v>
      </c>
      <c r="K600" s="32"/>
      <c r="L600" s="33"/>
      <c r="M600" s="38">
        <f t="shared" si="28"/>
        <v>12.5</v>
      </c>
      <c r="N600" s="39">
        <f t="shared" si="29"/>
        <v>6.6012869999999992</v>
      </c>
      <c r="O600" s="32"/>
      <c r="P600" s="31" t="s">
        <v>19</v>
      </c>
    </row>
    <row r="601" spans="1:16" x14ac:dyDescent="0.25">
      <c r="A601" s="26">
        <v>600</v>
      </c>
      <c r="B601" s="33"/>
      <c r="C601" s="34" t="s">
        <v>994</v>
      </c>
      <c r="D601" s="28">
        <v>5013</v>
      </c>
      <c r="E601" s="33" t="s">
        <v>18</v>
      </c>
      <c r="F601" s="33"/>
      <c r="G601" s="35">
        <v>11.8</v>
      </c>
      <c r="H601" s="36">
        <v>81</v>
      </c>
      <c r="I601" s="36">
        <v>73</v>
      </c>
      <c r="J601" s="37">
        <f t="shared" si="27"/>
        <v>77</v>
      </c>
      <c r="K601" s="32"/>
      <c r="L601" s="33"/>
      <c r="M601" s="38">
        <f t="shared" si="28"/>
        <v>11.8</v>
      </c>
      <c r="N601" s="39">
        <f t="shared" si="29"/>
        <v>5.4948311879999991</v>
      </c>
      <c r="O601" s="32"/>
      <c r="P601" s="31" t="s">
        <v>19</v>
      </c>
    </row>
    <row r="602" spans="1:16" x14ac:dyDescent="0.25">
      <c r="A602" s="26">
        <v>601</v>
      </c>
      <c r="B602" s="33"/>
      <c r="C602" s="34" t="s">
        <v>995</v>
      </c>
      <c r="D602" s="28" t="s">
        <v>996</v>
      </c>
      <c r="E602" s="33" t="s">
        <v>18</v>
      </c>
      <c r="F602" s="33"/>
      <c r="G602" s="35">
        <v>6</v>
      </c>
      <c r="H602" s="36">
        <v>73</v>
      </c>
      <c r="I602" s="36">
        <v>70</v>
      </c>
      <c r="J602" s="37">
        <f t="shared" si="27"/>
        <v>71</v>
      </c>
      <c r="K602" s="32"/>
      <c r="L602" s="33"/>
      <c r="M602" s="38">
        <f t="shared" si="28"/>
        <v>6</v>
      </c>
      <c r="N602" s="39">
        <f t="shared" si="29"/>
        <v>2.3755208400000001</v>
      </c>
      <c r="O602" s="32"/>
      <c r="P602" s="31" t="s">
        <v>19</v>
      </c>
    </row>
    <row r="603" spans="1:16" x14ac:dyDescent="0.25">
      <c r="A603" s="26">
        <v>602</v>
      </c>
      <c r="B603" s="33"/>
      <c r="C603" s="34" t="s">
        <v>997</v>
      </c>
      <c r="D603" s="28" t="s">
        <v>998</v>
      </c>
      <c r="E603" s="33" t="s">
        <v>18</v>
      </c>
      <c r="F603" s="33"/>
      <c r="G603" s="35">
        <v>7.8</v>
      </c>
      <c r="H603" s="36">
        <v>78</v>
      </c>
      <c r="I603" s="36">
        <v>74</v>
      </c>
      <c r="J603" s="37">
        <f t="shared" si="27"/>
        <v>76</v>
      </c>
      <c r="K603" s="32"/>
      <c r="L603" s="33"/>
      <c r="M603" s="38">
        <f t="shared" si="28"/>
        <v>7.8</v>
      </c>
      <c r="N603" s="39">
        <f t="shared" si="29"/>
        <v>3.5384469119999995</v>
      </c>
      <c r="O603" s="32"/>
      <c r="P603" s="31" t="s">
        <v>19</v>
      </c>
    </row>
    <row r="604" spans="1:16" x14ac:dyDescent="0.25">
      <c r="A604" s="26">
        <v>603</v>
      </c>
      <c r="B604" s="33"/>
      <c r="C604" s="34" t="s">
        <v>999</v>
      </c>
      <c r="D604" s="28">
        <v>5015</v>
      </c>
      <c r="E604" s="33" t="s">
        <v>18</v>
      </c>
      <c r="F604" s="33"/>
      <c r="G604" s="35">
        <v>8.3000000000000007</v>
      </c>
      <c r="H604" s="36">
        <v>74</v>
      </c>
      <c r="I604" s="36">
        <v>69</v>
      </c>
      <c r="J604" s="37">
        <f t="shared" si="27"/>
        <v>71</v>
      </c>
      <c r="K604" s="32"/>
      <c r="L604" s="33"/>
      <c r="M604" s="38">
        <f t="shared" si="28"/>
        <v>8.3000000000000007</v>
      </c>
      <c r="N604" s="39">
        <f t="shared" si="29"/>
        <v>3.2861371620000006</v>
      </c>
      <c r="O604" s="32"/>
      <c r="P604" s="31" t="s">
        <v>19</v>
      </c>
    </row>
    <row r="605" spans="1:16" x14ac:dyDescent="0.25">
      <c r="A605" s="26">
        <v>604</v>
      </c>
      <c r="B605" s="33"/>
      <c r="C605" s="34" t="s">
        <v>1000</v>
      </c>
      <c r="D605" s="28" t="s">
        <v>1001</v>
      </c>
      <c r="E605" s="33" t="s">
        <v>18</v>
      </c>
      <c r="F605" s="33"/>
      <c r="G605" s="35">
        <v>8.8000000000000007</v>
      </c>
      <c r="H605" s="36">
        <v>82</v>
      </c>
      <c r="I605" s="36">
        <v>72</v>
      </c>
      <c r="J605" s="37">
        <f t="shared" si="27"/>
        <v>77</v>
      </c>
      <c r="K605" s="32"/>
      <c r="L605" s="33"/>
      <c r="M605" s="38">
        <f t="shared" si="28"/>
        <v>8.8000000000000007</v>
      </c>
      <c r="N605" s="39">
        <f t="shared" si="29"/>
        <v>4.097840208</v>
      </c>
      <c r="O605" s="32"/>
      <c r="P605" s="31" t="s">
        <v>19</v>
      </c>
    </row>
    <row r="606" spans="1:16" x14ac:dyDescent="0.25">
      <c r="A606" s="26">
        <v>605</v>
      </c>
      <c r="B606" s="33"/>
      <c r="C606" s="34" t="s">
        <v>1002</v>
      </c>
      <c r="D606" s="28" t="s">
        <v>1003</v>
      </c>
      <c r="E606" s="33" t="s">
        <v>18</v>
      </c>
      <c r="F606" s="33"/>
      <c r="G606" s="35">
        <v>6</v>
      </c>
      <c r="H606" s="36">
        <v>72</v>
      </c>
      <c r="I606" s="36">
        <v>66</v>
      </c>
      <c r="J606" s="37">
        <f t="shared" si="27"/>
        <v>69</v>
      </c>
      <c r="K606" s="32"/>
      <c r="L606" s="33"/>
      <c r="M606" s="38">
        <f t="shared" si="28"/>
        <v>6</v>
      </c>
      <c r="N606" s="39">
        <f t="shared" si="29"/>
        <v>2.2435736399999997</v>
      </c>
      <c r="O606" s="32"/>
      <c r="P606" s="31" t="s">
        <v>19</v>
      </c>
    </row>
    <row r="607" spans="1:16" x14ac:dyDescent="0.25">
      <c r="A607" s="26">
        <v>606</v>
      </c>
      <c r="B607" s="26" t="s">
        <v>1004</v>
      </c>
      <c r="C607" s="26" t="s">
        <v>1005</v>
      </c>
      <c r="D607" s="28" t="s">
        <v>1006</v>
      </c>
      <c r="E607" s="26" t="s">
        <v>18</v>
      </c>
      <c r="F607" s="26"/>
      <c r="G607" s="29">
        <v>5.5</v>
      </c>
      <c r="H607" s="26">
        <v>90</v>
      </c>
      <c r="I607" s="26">
        <v>83</v>
      </c>
      <c r="J607" s="33">
        <f t="shared" ref="J607:J670" si="30">ROUNDDOWN((H607+I607)/2,0)</f>
        <v>86</v>
      </c>
      <c r="K607" s="26">
        <v>0.3</v>
      </c>
      <c r="L607" s="33"/>
      <c r="M607" s="38">
        <f t="shared" si="28"/>
        <v>5.2</v>
      </c>
      <c r="N607" s="39">
        <f t="shared" si="29"/>
        <v>3.0205855680000004</v>
      </c>
      <c r="O607" s="26" t="s">
        <v>1007</v>
      </c>
      <c r="P607" s="31" t="s">
        <v>19</v>
      </c>
    </row>
    <row r="608" spans="1:16" x14ac:dyDescent="0.25">
      <c r="A608" s="26">
        <v>607</v>
      </c>
      <c r="B608" s="26" t="s">
        <v>1008</v>
      </c>
      <c r="C608" s="26" t="s">
        <v>1009</v>
      </c>
      <c r="D608" s="28">
        <v>5235</v>
      </c>
      <c r="E608" s="26" t="s">
        <v>18</v>
      </c>
      <c r="F608" s="26"/>
      <c r="G608" s="29">
        <v>6</v>
      </c>
      <c r="H608" s="26">
        <v>74</v>
      </c>
      <c r="I608" s="26">
        <v>71</v>
      </c>
      <c r="J608" s="33">
        <f t="shared" si="30"/>
        <v>72</v>
      </c>
      <c r="K608" s="26"/>
      <c r="L608" s="33"/>
      <c r="M608" s="38">
        <f t="shared" si="28"/>
        <v>6</v>
      </c>
      <c r="N608" s="39">
        <f t="shared" si="29"/>
        <v>2.44290816</v>
      </c>
      <c r="O608" s="26"/>
      <c r="P608" s="31" t="s">
        <v>30</v>
      </c>
    </row>
    <row r="609" spans="1:16" x14ac:dyDescent="0.25">
      <c r="A609" s="26">
        <v>608</v>
      </c>
      <c r="B609" s="26" t="s">
        <v>1010</v>
      </c>
      <c r="C609" s="26" t="s">
        <v>1011</v>
      </c>
      <c r="D609" s="28" t="s">
        <v>1012</v>
      </c>
      <c r="E609" s="26" t="s">
        <v>18</v>
      </c>
      <c r="F609" s="26"/>
      <c r="G609" s="29">
        <v>12.1</v>
      </c>
      <c r="H609" s="26">
        <v>89</v>
      </c>
      <c r="I609" s="26">
        <v>72</v>
      </c>
      <c r="J609" s="33">
        <f t="shared" si="30"/>
        <v>80</v>
      </c>
      <c r="K609" s="26">
        <v>0.3</v>
      </c>
      <c r="L609" s="33"/>
      <c r="M609" s="38">
        <f t="shared" si="28"/>
        <v>11.799999999999999</v>
      </c>
      <c r="N609" s="39">
        <f t="shared" si="29"/>
        <v>5.9313407999999992</v>
      </c>
      <c r="O609" s="26" t="s">
        <v>1007</v>
      </c>
      <c r="P609" s="31" t="s">
        <v>19</v>
      </c>
    </row>
    <row r="610" spans="1:16" x14ac:dyDescent="0.25">
      <c r="A610" s="26">
        <v>609</v>
      </c>
      <c r="B610" s="26" t="s">
        <v>1013</v>
      </c>
      <c r="C610" s="26" t="s">
        <v>1014</v>
      </c>
      <c r="D610" s="28">
        <v>5236</v>
      </c>
      <c r="E610" s="26" t="s">
        <v>18</v>
      </c>
      <c r="F610" s="26"/>
      <c r="G610" s="29">
        <v>11.9</v>
      </c>
      <c r="H610" s="26">
        <v>80</v>
      </c>
      <c r="I610" s="26">
        <v>76</v>
      </c>
      <c r="J610" s="33">
        <f t="shared" si="30"/>
        <v>78</v>
      </c>
      <c r="K610" s="26">
        <v>0.5</v>
      </c>
      <c r="L610" s="33"/>
      <c r="M610" s="38">
        <f t="shared" si="28"/>
        <v>11.4</v>
      </c>
      <c r="N610" s="39">
        <f t="shared" si="29"/>
        <v>5.4473459040000005</v>
      </c>
      <c r="O610" s="26" t="s">
        <v>21</v>
      </c>
      <c r="P610" s="31" t="s">
        <v>19</v>
      </c>
    </row>
    <row r="611" spans="1:16" x14ac:dyDescent="0.25">
      <c r="A611" s="26">
        <v>610</v>
      </c>
      <c r="B611" s="26" t="s">
        <v>1015</v>
      </c>
      <c r="C611" s="26" t="s">
        <v>1016</v>
      </c>
      <c r="D611" s="28" t="s">
        <v>1017</v>
      </c>
      <c r="E611" s="26" t="s">
        <v>18</v>
      </c>
      <c r="F611" s="26"/>
      <c r="G611" s="29">
        <v>10.9</v>
      </c>
      <c r="H611" s="26">
        <v>92</v>
      </c>
      <c r="I611" s="26">
        <v>80</v>
      </c>
      <c r="J611" s="33">
        <f t="shared" si="30"/>
        <v>86</v>
      </c>
      <c r="K611" s="26"/>
      <c r="L611" s="33"/>
      <c r="M611" s="38">
        <f t="shared" si="28"/>
        <v>10.9</v>
      </c>
      <c r="N611" s="39">
        <f t="shared" si="29"/>
        <v>6.331612056</v>
      </c>
      <c r="O611" s="26"/>
      <c r="P611" s="31" t="s">
        <v>30</v>
      </c>
    </row>
    <row r="612" spans="1:16" x14ac:dyDescent="0.25">
      <c r="A612" s="26">
        <v>611</v>
      </c>
      <c r="B612" s="26" t="s">
        <v>1018</v>
      </c>
      <c r="C612" s="40" t="s">
        <v>1019</v>
      </c>
      <c r="D612" s="28">
        <v>5019</v>
      </c>
      <c r="E612" s="26" t="s">
        <v>18</v>
      </c>
      <c r="F612" s="26"/>
      <c r="G612" s="29">
        <v>6.2</v>
      </c>
      <c r="H612" s="26">
        <v>78</v>
      </c>
      <c r="I612" s="26">
        <v>71</v>
      </c>
      <c r="J612" s="33">
        <f t="shared" si="30"/>
        <v>74</v>
      </c>
      <c r="K612" s="26">
        <v>0.3</v>
      </c>
      <c r="L612" s="33"/>
      <c r="M612" s="38">
        <f t="shared" si="28"/>
        <v>5.9</v>
      </c>
      <c r="N612" s="39">
        <f t="shared" si="29"/>
        <v>2.5375017360000003</v>
      </c>
      <c r="O612" s="26" t="s">
        <v>1007</v>
      </c>
      <c r="P612" s="31" t="s">
        <v>19</v>
      </c>
    </row>
    <row r="613" spans="1:16" x14ac:dyDescent="0.25">
      <c r="A613" s="26">
        <v>612</v>
      </c>
      <c r="B613" s="26" t="s">
        <v>1020</v>
      </c>
      <c r="C613" s="26" t="s">
        <v>1021</v>
      </c>
      <c r="D613" s="28" t="s">
        <v>1022</v>
      </c>
      <c r="E613" s="26" t="s">
        <v>18</v>
      </c>
      <c r="F613" s="26"/>
      <c r="G613" s="29">
        <v>6.4</v>
      </c>
      <c r="H613" s="26">
        <v>83</v>
      </c>
      <c r="I613" s="26">
        <v>79</v>
      </c>
      <c r="J613" s="33">
        <f t="shared" si="30"/>
        <v>81</v>
      </c>
      <c r="K613" s="26"/>
      <c r="L613" s="33"/>
      <c r="M613" s="38">
        <f t="shared" si="28"/>
        <v>6.4</v>
      </c>
      <c r="N613" s="39">
        <f t="shared" si="29"/>
        <v>3.2979260159999999</v>
      </c>
      <c r="O613" s="26"/>
      <c r="P613" s="31" t="s">
        <v>19</v>
      </c>
    </row>
    <row r="614" spans="1:16" x14ac:dyDescent="0.25">
      <c r="A614" s="26">
        <v>613</v>
      </c>
      <c r="B614" s="26" t="s">
        <v>1023</v>
      </c>
      <c r="C614" s="26" t="s">
        <v>1024</v>
      </c>
      <c r="D614" s="28">
        <v>869</v>
      </c>
      <c r="E614" s="26" t="s">
        <v>18</v>
      </c>
      <c r="F614" s="26"/>
      <c r="G614" s="29">
        <v>10.9</v>
      </c>
      <c r="H614" s="26">
        <v>105</v>
      </c>
      <c r="I614" s="26">
        <v>100</v>
      </c>
      <c r="J614" s="33">
        <f t="shared" si="30"/>
        <v>102</v>
      </c>
      <c r="K614" s="26"/>
      <c r="L614" s="33"/>
      <c r="M614" s="38">
        <f t="shared" si="28"/>
        <v>10.9</v>
      </c>
      <c r="N614" s="39">
        <f t="shared" si="29"/>
        <v>8.9067187440000009</v>
      </c>
      <c r="O614" s="26"/>
      <c r="P614" s="31" t="s">
        <v>30</v>
      </c>
    </row>
    <row r="615" spans="1:16" x14ac:dyDescent="0.25">
      <c r="A615" s="26">
        <v>614</v>
      </c>
      <c r="B615" s="26" t="s">
        <v>1025</v>
      </c>
      <c r="C615" s="26" t="s">
        <v>1026</v>
      </c>
      <c r="D615" s="28" t="s">
        <v>1027</v>
      </c>
      <c r="E615" s="26" t="s">
        <v>18</v>
      </c>
      <c r="F615" s="26"/>
      <c r="G615" s="29">
        <v>9.5</v>
      </c>
      <c r="H615" s="26">
        <v>96</v>
      </c>
      <c r="I615" s="26">
        <v>86</v>
      </c>
      <c r="J615" s="33">
        <f t="shared" si="30"/>
        <v>91</v>
      </c>
      <c r="K615" s="26">
        <v>0.8</v>
      </c>
      <c r="L615" s="33"/>
      <c r="M615" s="38">
        <f t="shared" si="28"/>
        <v>8.6999999999999993</v>
      </c>
      <c r="N615" s="39">
        <f t="shared" si="29"/>
        <v>5.6583907379999996</v>
      </c>
      <c r="O615" s="26" t="s">
        <v>53</v>
      </c>
      <c r="P615" s="31" t="s">
        <v>19</v>
      </c>
    </row>
    <row r="616" spans="1:16" x14ac:dyDescent="0.25">
      <c r="A616" s="26">
        <v>615</v>
      </c>
      <c r="B616" s="26" t="s">
        <v>1028</v>
      </c>
      <c r="C616" s="26" t="s">
        <v>1029</v>
      </c>
      <c r="D616" s="28">
        <v>870</v>
      </c>
      <c r="E616" s="26" t="s">
        <v>18</v>
      </c>
      <c r="F616" s="26"/>
      <c r="G616" s="29">
        <v>12.8</v>
      </c>
      <c r="H616" s="26">
        <v>72</v>
      </c>
      <c r="I616" s="26">
        <v>69</v>
      </c>
      <c r="J616" s="33">
        <f t="shared" si="30"/>
        <v>70</v>
      </c>
      <c r="K616" s="26"/>
      <c r="L616" s="33"/>
      <c r="M616" s="38">
        <f t="shared" si="28"/>
        <v>12.8</v>
      </c>
      <c r="N616" s="39">
        <f t="shared" si="29"/>
        <v>4.9260288000000001</v>
      </c>
      <c r="O616" s="26"/>
      <c r="P616" s="31" t="s">
        <v>19</v>
      </c>
    </row>
    <row r="617" spans="1:16" x14ac:dyDescent="0.25">
      <c r="A617" s="26">
        <v>616</v>
      </c>
      <c r="B617" s="26" t="s">
        <v>1030</v>
      </c>
      <c r="C617" s="26" t="s">
        <v>1031</v>
      </c>
      <c r="D617" s="28" t="s">
        <v>1032</v>
      </c>
      <c r="E617" s="26" t="s">
        <v>18</v>
      </c>
      <c r="F617" s="26"/>
      <c r="G617" s="29">
        <v>12.3</v>
      </c>
      <c r="H617" s="26">
        <v>81</v>
      </c>
      <c r="I617" s="26">
        <v>73</v>
      </c>
      <c r="J617" s="33">
        <f t="shared" si="30"/>
        <v>77</v>
      </c>
      <c r="K617" s="26">
        <v>0.3</v>
      </c>
      <c r="L617" s="33"/>
      <c r="M617" s="38">
        <f t="shared" si="28"/>
        <v>12</v>
      </c>
      <c r="N617" s="39">
        <f t="shared" si="29"/>
        <v>5.58796392</v>
      </c>
      <c r="O617" s="26" t="s">
        <v>1007</v>
      </c>
      <c r="P617" s="31" t="s">
        <v>19</v>
      </c>
    </row>
    <row r="618" spans="1:16" x14ac:dyDescent="0.25">
      <c r="A618" s="26">
        <v>617</v>
      </c>
      <c r="B618" s="26" t="s">
        <v>1033</v>
      </c>
      <c r="C618" s="26" t="s">
        <v>1034</v>
      </c>
      <c r="D618" s="28" t="s">
        <v>1035</v>
      </c>
      <c r="E618" s="26" t="s">
        <v>18</v>
      </c>
      <c r="F618" s="26"/>
      <c r="G618" s="29">
        <v>6.6</v>
      </c>
      <c r="H618" s="26">
        <v>75</v>
      </c>
      <c r="I618" s="26">
        <v>68</v>
      </c>
      <c r="J618" s="33">
        <f t="shared" si="30"/>
        <v>71</v>
      </c>
      <c r="K618" s="26">
        <v>0.3</v>
      </c>
      <c r="L618" s="33"/>
      <c r="M618" s="38">
        <f t="shared" si="28"/>
        <v>6.3</v>
      </c>
      <c r="N618" s="39">
        <f t="shared" si="29"/>
        <v>2.494296882</v>
      </c>
      <c r="O618" s="26" t="s">
        <v>1007</v>
      </c>
      <c r="P618" s="31" t="s">
        <v>19</v>
      </c>
    </row>
    <row r="619" spans="1:16" x14ac:dyDescent="0.25">
      <c r="A619" s="26">
        <v>618</v>
      </c>
      <c r="B619" s="26" t="s">
        <v>1036</v>
      </c>
      <c r="C619" s="26" t="s">
        <v>1037</v>
      </c>
      <c r="D619" s="28" t="s">
        <v>1038</v>
      </c>
      <c r="E619" s="26" t="s">
        <v>18</v>
      </c>
      <c r="F619" s="26"/>
      <c r="G619" s="29">
        <v>6.2</v>
      </c>
      <c r="H619" s="26">
        <v>91</v>
      </c>
      <c r="I619" s="26">
        <v>84</v>
      </c>
      <c r="J619" s="33">
        <f t="shared" si="30"/>
        <v>87</v>
      </c>
      <c r="K619" s="26"/>
      <c r="L619" s="33"/>
      <c r="M619" s="38">
        <f t="shared" si="28"/>
        <v>6.2</v>
      </c>
      <c r="N619" s="39">
        <f t="shared" si="29"/>
        <v>3.685709412</v>
      </c>
      <c r="O619" s="26"/>
      <c r="P619" s="31" t="s">
        <v>19</v>
      </c>
    </row>
    <row r="620" spans="1:16" x14ac:dyDescent="0.25">
      <c r="A620" s="26">
        <v>619</v>
      </c>
      <c r="B620" s="26" t="s">
        <v>1039</v>
      </c>
      <c r="C620" s="26" t="s">
        <v>1040</v>
      </c>
      <c r="D620" s="28" t="s">
        <v>1041</v>
      </c>
      <c r="E620" s="26" t="s">
        <v>18</v>
      </c>
      <c r="F620" s="26"/>
      <c r="G620" s="29">
        <v>6</v>
      </c>
      <c r="H620" s="26">
        <v>128</v>
      </c>
      <c r="I620" s="26">
        <v>124</v>
      </c>
      <c r="J620" s="33">
        <f t="shared" si="30"/>
        <v>126</v>
      </c>
      <c r="K620" s="26"/>
      <c r="L620" s="33"/>
      <c r="M620" s="38">
        <f t="shared" si="28"/>
        <v>6</v>
      </c>
      <c r="N620" s="39">
        <f t="shared" si="29"/>
        <v>7.4814062399999992</v>
      </c>
      <c r="O620" s="26"/>
      <c r="P620" s="31" t="s">
        <v>19</v>
      </c>
    </row>
    <row r="621" spans="1:16" x14ac:dyDescent="0.25">
      <c r="A621" s="26">
        <v>620</v>
      </c>
      <c r="B621" s="26" t="s">
        <v>1042</v>
      </c>
      <c r="C621" s="26" t="s">
        <v>1043</v>
      </c>
      <c r="D621" s="28">
        <v>873</v>
      </c>
      <c r="E621" s="26" t="s">
        <v>18</v>
      </c>
      <c r="F621" s="26"/>
      <c r="G621" s="29">
        <v>6.2</v>
      </c>
      <c r="H621" s="26">
        <v>76</v>
      </c>
      <c r="I621" s="26">
        <v>76</v>
      </c>
      <c r="J621" s="33">
        <f t="shared" si="30"/>
        <v>76</v>
      </c>
      <c r="K621" s="26"/>
      <c r="L621" s="33"/>
      <c r="M621" s="38">
        <f t="shared" si="28"/>
        <v>6.2</v>
      </c>
      <c r="N621" s="39">
        <f t="shared" si="29"/>
        <v>2.8126116480000003</v>
      </c>
      <c r="O621" s="26"/>
      <c r="P621" s="31" t="s">
        <v>19</v>
      </c>
    </row>
    <row r="622" spans="1:16" x14ac:dyDescent="0.25">
      <c r="A622" s="26">
        <v>621</v>
      </c>
      <c r="B622" s="26" t="s">
        <v>1044</v>
      </c>
      <c r="C622" s="40" t="s">
        <v>1045</v>
      </c>
      <c r="D622" s="28">
        <v>760</v>
      </c>
      <c r="E622" s="26" t="s">
        <v>18</v>
      </c>
      <c r="F622" s="26"/>
      <c r="G622" s="29">
        <v>6.4</v>
      </c>
      <c r="H622" s="26">
        <v>90</v>
      </c>
      <c r="I622" s="26">
        <v>83</v>
      </c>
      <c r="J622" s="33">
        <f t="shared" si="30"/>
        <v>86</v>
      </c>
      <c r="K622" s="26">
        <v>0.3</v>
      </c>
      <c r="L622" s="33"/>
      <c r="M622" s="38">
        <f t="shared" si="28"/>
        <v>6.1000000000000005</v>
      </c>
      <c r="N622" s="39">
        <f t="shared" si="29"/>
        <v>3.5433792240000002</v>
      </c>
      <c r="O622" s="26" t="s">
        <v>1007</v>
      </c>
      <c r="P622" s="31" t="s">
        <v>19</v>
      </c>
    </row>
    <row r="623" spans="1:16" x14ac:dyDescent="0.25">
      <c r="A623" s="26">
        <v>622</v>
      </c>
      <c r="B623" s="26" t="s">
        <v>1046</v>
      </c>
      <c r="C623" s="26" t="s">
        <v>1047</v>
      </c>
      <c r="D623" s="28">
        <v>761</v>
      </c>
      <c r="E623" s="26" t="s">
        <v>18</v>
      </c>
      <c r="F623" s="26"/>
      <c r="G623" s="29">
        <v>11.2</v>
      </c>
      <c r="H623" s="26">
        <v>103</v>
      </c>
      <c r="I623" s="26">
        <v>81</v>
      </c>
      <c r="J623" s="33">
        <f t="shared" si="30"/>
        <v>92</v>
      </c>
      <c r="K623" s="26"/>
      <c r="L623" s="33"/>
      <c r="M623" s="38">
        <f t="shared" si="28"/>
        <v>11.2</v>
      </c>
      <c r="N623" s="39">
        <f t="shared" si="29"/>
        <v>7.4453406719999986</v>
      </c>
      <c r="O623" s="26"/>
      <c r="P623" s="31" t="s">
        <v>30</v>
      </c>
    </row>
    <row r="624" spans="1:16" x14ac:dyDescent="0.25">
      <c r="A624" s="26">
        <v>623</v>
      </c>
      <c r="B624" s="26" t="s">
        <v>1048</v>
      </c>
      <c r="C624" s="26" t="s">
        <v>1049</v>
      </c>
      <c r="D624" s="28" t="s">
        <v>1050</v>
      </c>
      <c r="E624" s="26" t="s">
        <v>18</v>
      </c>
      <c r="F624" s="26"/>
      <c r="G624" s="29">
        <v>6.2</v>
      </c>
      <c r="H624" s="26">
        <v>117</v>
      </c>
      <c r="I624" s="26">
        <v>116</v>
      </c>
      <c r="J624" s="33">
        <f t="shared" si="30"/>
        <v>116</v>
      </c>
      <c r="K624" s="26">
        <v>0.5</v>
      </c>
      <c r="L624" s="33"/>
      <c r="M624" s="38">
        <f t="shared" si="28"/>
        <v>5.7</v>
      </c>
      <c r="N624" s="39">
        <f t="shared" si="29"/>
        <v>6.0239551679999996</v>
      </c>
      <c r="O624" s="26" t="s">
        <v>1007</v>
      </c>
      <c r="P624" s="31" t="s">
        <v>19</v>
      </c>
    </row>
    <row r="625" spans="1:16" x14ac:dyDescent="0.25">
      <c r="A625" s="26">
        <v>624</v>
      </c>
      <c r="B625" s="26" t="s">
        <v>1051</v>
      </c>
      <c r="C625" s="26" t="s">
        <v>1052</v>
      </c>
      <c r="D625" s="28" t="s">
        <v>1053</v>
      </c>
      <c r="E625" s="26" t="s">
        <v>18</v>
      </c>
      <c r="F625" s="26"/>
      <c r="G625" s="29">
        <v>13.9</v>
      </c>
      <c r="H625" s="26">
        <v>106</v>
      </c>
      <c r="I625" s="26">
        <v>98</v>
      </c>
      <c r="J625" s="33">
        <f t="shared" si="30"/>
        <v>102</v>
      </c>
      <c r="K625" s="26"/>
      <c r="L625" s="33"/>
      <c r="M625" s="38">
        <f t="shared" si="28"/>
        <v>13.9</v>
      </c>
      <c r="N625" s="39">
        <f t="shared" si="29"/>
        <v>11.358109224</v>
      </c>
      <c r="O625" s="26"/>
      <c r="P625" s="31" t="s">
        <v>19</v>
      </c>
    </row>
    <row r="626" spans="1:16" x14ac:dyDescent="0.25">
      <c r="A626" s="26">
        <v>625</v>
      </c>
      <c r="B626" s="26" t="s">
        <v>1054</v>
      </c>
      <c r="C626" s="26" t="s">
        <v>1055</v>
      </c>
      <c r="D626" s="28" t="s">
        <v>1056</v>
      </c>
      <c r="E626" s="26" t="s">
        <v>18</v>
      </c>
      <c r="F626" s="26"/>
      <c r="G626" s="29">
        <v>11.1</v>
      </c>
      <c r="H626" s="26">
        <v>101</v>
      </c>
      <c r="I626" s="26">
        <v>94</v>
      </c>
      <c r="J626" s="33">
        <f t="shared" si="30"/>
        <v>97</v>
      </c>
      <c r="K626" s="26"/>
      <c r="L626" s="33"/>
      <c r="M626" s="38">
        <f t="shared" si="28"/>
        <v>11.1</v>
      </c>
      <c r="N626" s="39">
        <f t="shared" si="29"/>
        <v>8.2027097459999982</v>
      </c>
      <c r="O626" s="26"/>
      <c r="P626" s="31" t="s">
        <v>30</v>
      </c>
    </row>
    <row r="627" spans="1:16" x14ac:dyDescent="0.25">
      <c r="A627" s="26">
        <v>626</v>
      </c>
      <c r="B627" s="26" t="s">
        <v>1057</v>
      </c>
      <c r="C627" s="26" t="s">
        <v>1058</v>
      </c>
      <c r="D627" s="28" t="s">
        <v>1059</v>
      </c>
      <c r="E627" s="26" t="s">
        <v>18</v>
      </c>
      <c r="F627" s="26"/>
      <c r="G627" s="29">
        <v>11.4</v>
      </c>
      <c r="H627" s="26">
        <v>81</v>
      </c>
      <c r="I627" s="26">
        <v>74</v>
      </c>
      <c r="J627" s="33">
        <f t="shared" si="30"/>
        <v>77</v>
      </c>
      <c r="K627" s="26"/>
      <c r="L627" s="33"/>
      <c r="M627" s="38">
        <f t="shared" si="28"/>
        <v>11.4</v>
      </c>
      <c r="N627" s="39">
        <f t="shared" si="29"/>
        <v>5.3085657240000002</v>
      </c>
      <c r="O627" s="26"/>
      <c r="P627" s="31" t="s">
        <v>19</v>
      </c>
    </row>
    <row r="628" spans="1:16" x14ac:dyDescent="0.25">
      <c r="A628" s="26">
        <v>627</v>
      </c>
      <c r="B628" s="26" t="s">
        <v>1060</v>
      </c>
      <c r="C628" s="26" t="s">
        <v>1061</v>
      </c>
      <c r="D628" s="28" t="s">
        <v>1056</v>
      </c>
      <c r="E628" s="26" t="s">
        <v>18</v>
      </c>
      <c r="F628" s="26"/>
      <c r="G628" s="29">
        <v>13.7</v>
      </c>
      <c r="H628" s="26">
        <v>92</v>
      </c>
      <c r="I628" s="26">
        <v>75</v>
      </c>
      <c r="J628" s="33">
        <f t="shared" si="30"/>
        <v>83</v>
      </c>
      <c r="K628" s="26">
        <v>0.3</v>
      </c>
      <c r="L628" s="33"/>
      <c r="M628" s="38">
        <f t="shared" si="28"/>
        <v>13.399999999999999</v>
      </c>
      <c r="N628" s="39">
        <f t="shared" si="29"/>
        <v>7.2502316039999988</v>
      </c>
      <c r="O628" s="26" t="s">
        <v>1007</v>
      </c>
      <c r="P628" s="31" t="s">
        <v>19</v>
      </c>
    </row>
    <row r="629" spans="1:16" x14ac:dyDescent="0.25">
      <c r="A629" s="26">
        <v>628</v>
      </c>
      <c r="B629" s="26" t="s">
        <v>1062</v>
      </c>
      <c r="C629" s="41" t="s">
        <v>1063</v>
      </c>
      <c r="D629" s="28">
        <v>763</v>
      </c>
      <c r="E629" s="26" t="s">
        <v>18</v>
      </c>
      <c r="F629" s="26"/>
      <c r="G629" s="29">
        <v>12</v>
      </c>
      <c r="H629" s="26">
        <v>86</v>
      </c>
      <c r="I629" s="26">
        <v>80</v>
      </c>
      <c r="J629" s="33">
        <f t="shared" si="30"/>
        <v>83</v>
      </c>
      <c r="K629" s="26"/>
      <c r="L629" s="33"/>
      <c r="M629" s="38">
        <f t="shared" si="28"/>
        <v>12</v>
      </c>
      <c r="N629" s="39">
        <f t="shared" si="29"/>
        <v>6.4927447200000001</v>
      </c>
      <c r="O629" s="26"/>
      <c r="P629" s="31" t="s">
        <v>30</v>
      </c>
    </row>
    <row r="630" spans="1:16" x14ac:dyDescent="0.25">
      <c r="A630" s="26">
        <v>629</v>
      </c>
      <c r="B630" s="26" t="s">
        <v>1064</v>
      </c>
      <c r="C630" s="26" t="s">
        <v>1065</v>
      </c>
      <c r="D630" s="28">
        <v>784</v>
      </c>
      <c r="E630" s="26" t="s">
        <v>18</v>
      </c>
      <c r="F630" s="26"/>
      <c r="G630" s="29">
        <v>10.7</v>
      </c>
      <c r="H630" s="26">
        <v>70</v>
      </c>
      <c r="I630" s="26">
        <v>65</v>
      </c>
      <c r="J630" s="33">
        <f t="shared" si="30"/>
        <v>67</v>
      </c>
      <c r="K630" s="26">
        <v>0.3</v>
      </c>
      <c r="L630" s="33"/>
      <c r="M630" s="38">
        <f t="shared" si="28"/>
        <v>10.399999999999999</v>
      </c>
      <c r="N630" s="39">
        <f t="shared" si="29"/>
        <v>3.6666870239999989</v>
      </c>
      <c r="O630" s="26" t="s">
        <v>1007</v>
      </c>
      <c r="P630" s="31" t="s">
        <v>19</v>
      </c>
    </row>
    <row r="631" spans="1:16" x14ac:dyDescent="0.25">
      <c r="A631" s="26">
        <v>630</v>
      </c>
      <c r="B631" s="26" t="s">
        <v>1066</v>
      </c>
      <c r="C631" s="26" t="s">
        <v>1067</v>
      </c>
      <c r="D631" s="28" t="s">
        <v>1068</v>
      </c>
      <c r="E631" s="26" t="s">
        <v>18</v>
      </c>
      <c r="F631" s="26"/>
      <c r="G631" s="29">
        <v>9.5</v>
      </c>
      <c r="H631" s="26">
        <v>92</v>
      </c>
      <c r="I631" s="26">
        <v>90</v>
      </c>
      <c r="J631" s="33">
        <f t="shared" si="30"/>
        <v>91</v>
      </c>
      <c r="K631" s="26">
        <v>0.3</v>
      </c>
      <c r="L631" s="33"/>
      <c r="M631" s="38">
        <f t="shared" si="28"/>
        <v>9.1999999999999993</v>
      </c>
      <c r="N631" s="39">
        <f t="shared" si="29"/>
        <v>5.9835856079999994</v>
      </c>
      <c r="O631" s="26" t="s">
        <v>1007</v>
      </c>
      <c r="P631" s="31" t="s">
        <v>19</v>
      </c>
    </row>
    <row r="632" spans="1:16" x14ac:dyDescent="0.25">
      <c r="A632" s="26">
        <v>631</v>
      </c>
      <c r="B632" s="26" t="s">
        <v>1069</v>
      </c>
      <c r="C632" s="26" t="s">
        <v>1070</v>
      </c>
      <c r="D632" s="28" t="s">
        <v>1071</v>
      </c>
      <c r="E632" s="26" t="s">
        <v>18</v>
      </c>
      <c r="F632" s="26"/>
      <c r="G632" s="29">
        <v>6.2</v>
      </c>
      <c r="H632" s="26">
        <v>92</v>
      </c>
      <c r="I632" s="26">
        <v>80</v>
      </c>
      <c r="J632" s="33">
        <f t="shared" si="30"/>
        <v>86</v>
      </c>
      <c r="K632" s="26"/>
      <c r="L632" s="33"/>
      <c r="M632" s="38">
        <f t="shared" si="28"/>
        <v>6.2</v>
      </c>
      <c r="N632" s="39">
        <f t="shared" si="29"/>
        <v>3.6014674080000004</v>
      </c>
      <c r="O632" s="26"/>
      <c r="P632" s="31" t="s">
        <v>19</v>
      </c>
    </row>
    <row r="633" spans="1:16" x14ac:dyDescent="0.25">
      <c r="A633" s="26">
        <v>632</v>
      </c>
      <c r="B633" s="26" t="s">
        <v>1072</v>
      </c>
      <c r="C633" s="26" t="s">
        <v>1073</v>
      </c>
      <c r="D633" s="28">
        <v>5029</v>
      </c>
      <c r="E633" s="26" t="s">
        <v>18</v>
      </c>
      <c r="F633" s="26"/>
      <c r="G633" s="29">
        <v>11.2</v>
      </c>
      <c r="H633" s="26">
        <v>104</v>
      </c>
      <c r="I633" s="26">
        <v>89</v>
      </c>
      <c r="J633" s="33">
        <f t="shared" si="30"/>
        <v>96</v>
      </c>
      <c r="K633" s="26"/>
      <c r="L633" s="33"/>
      <c r="M633" s="38">
        <f t="shared" si="28"/>
        <v>11.2</v>
      </c>
      <c r="N633" s="39">
        <f t="shared" si="29"/>
        <v>8.1068359679999986</v>
      </c>
      <c r="O633" s="26"/>
      <c r="P633" s="31" t="s">
        <v>19</v>
      </c>
    </row>
    <row r="634" spans="1:16" x14ac:dyDescent="0.25">
      <c r="A634" s="26">
        <v>633</v>
      </c>
      <c r="B634" s="26" t="s">
        <v>1074</v>
      </c>
      <c r="C634" s="26" t="s">
        <v>1075</v>
      </c>
      <c r="D634" s="28" t="s">
        <v>1076</v>
      </c>
      <c r="E634" s="26" t="s">
        <v>18</v>
      </c>
      <c r="F634" s="26"/>
      <c r="G634" s="29">
        <v>10.6</v>
      </c>
      <c r="H634" s="26">
        <v>95</v>
      </c>
      <c r="I634" s="26">
        <v>82</v>
      </c>
      <c r="J634" s="33">
        <f t="shared" si="30"/>
        <v>88</v>
      </c>
      <c r="K634" s="26"/>
      <c r="L634" s="33"/>
      <c r="M634" s="38">
        <f t="shared" si="28"/>
        <v>10.6</v>
      </c>
      <c r="N634" s="39">
        <f t="shared" si="29"/>
        <v>6.447065856</v>
      </c>
      <c r="O634" s="26"/>
      <c r="P634" s="31" t="s">
        <v>19</v>
      </c>
    </row>
    <row r="635" spans="1:16" x14ac:dyDescent="0.25">
      <c r="A635" s="26">
        <v>634</v>
      </c>
      <c r="B635" s="26" t="s">
        <v>1077</v>
      </c>
      <c r="C635" s="26" t="s">
        <v>1078</v>
      </c>
      <c r="D635" s="28" t="s">
        <v>1079</v>
      </c>
      <c r="E635" s="26" t="s">
        <v>18</v>
      </c>
      <c r="F635" s="26"/>
      <c r="G635" s="29">
        <v>12.7</v>
      </c>
      <c r="H635" s="26">
        <v>93</v>
      </c>
      <c r="I635" s="26">
        <v>81</v>
      </c>
      <c r="J635" s="33">
        <f t="shared" si="30"/>
        <v>87</v>
      </c>
      <c r="K635" s="26">
        <v>0.3</v>
      </c>
      <c r="L635" s="33"/>
      <c r="M635" s="38">
        <f t="shared" si="28"/>
        <v>12.399999999999999</v>
      </c>
      <c r="N635" s="39">
        <f t="shared" si="29"/>
        <v>7.3714188239999991</v>
      </c>
      <c r="O635" s="26" t="s">
        <v>1007</v>
      </c>
      <c r="P635" s="31" t="s">
        <v>19</v>
      </c>
    </row>
    <row r="636" spans="1:16" x14ac:dyDescent="0.25">
      <c r="A636" s="26">
        <v>635</v>
      </c>
      <c r="B636" s="26" t="s">
        <v>1080</v>
      </c>
      <c r="C636" s="26" t="s">
        <v>1081</v>
      </c>
      <c r="D636" s="28">
        <v>4987</v>
      </c>
      <c r="E636" s="26" t="s">
        <v>18</v>
      </c>
      <c r="F636" s="26"/>
      <c r="G636" s="29">
        <v>8.1999999999999993</v>
      </c>
      <c r="H636" s="26">
        <v>115</v>
      </c>
      <c r="I636" s="26">
        <v>115</v>
      </c>
      <c r="J636" s="33">
        <f t="shared" si="30"/>
        <v>115</v>
      </c>
      <c r="K636" s="26">
        <v>1</v>
      </c>
      <c r="L636" s="33"/>
      <c r="M636" s="38">
        <f t="shared" si="28"/>
        <v>7.1999999999999993</v>
      </c>
      <c r="N636" s="39">
        <f t="shared" si="29"/>
        <v>7.4785787999999984</v>
      </c>
      <c r="O636" s="26" t="s">
        <v>53</v>
      </c>
      <c r="P636" s="31" t="s">
        <v>19</v>
      </c>
    </row>
    <row r="637" spans="1:16" x14ac:dyDescent="0.25">
      <c r="A637" s="26">
        <v>636</v>
      </c>
      <c r="B637" s="26" t="s">
        <v>1082</v>
      </c>
      <c r="C637" s="26" t="s">
        <v>1083</v>
      </c>
      <c r="D637" s="28" t="s">
        <v>1084</v>
      </c>
      <c r="E637" s="26" t="s">
        <v>18</v>
      </c>
      <c r="F637" s="26"/>
      <c r="G637" s="29">
        <v>6.1</v>
      </c>
      <c r="H637" s="26">
        <v>100</v>
      </c>
      <c r="I637" s="26">
        <v>92</v>
      </c>
      <c r="J637" s="33">
        <f t="shared" si="30"/>
        <v>96</v>
      </c>
      <c r="K637" s="26"/>
      <c r="L637" s="33"/>
      <c r="M637" s="38">
        <f t="shared" si="28"/>
        <v>6.1</v>
      </c>
      <c r="N637" s="39">
        <f t="shared" si="29"/>
        <v>4.4153303040000003</v>
      </c>
      <c r="O637" s="26"/>
      <c r="P637" s="31" t="s">
        <v>19</v>
      </c>
    </row>
    <row r="638" spans="1:16" x14ac:dyDescent="0.25">
      <c r="A638" s="26">
        <v>637</v>
      </c>
      <c r="B638" s="26" t="s">
        <v>1085</v>
      </c>
      <c r="C638" s="26" t="s">
        <v>1086</v>
      </c>
      <c r="D638" s="28">
        <v>4988</v>
      </c>
      <c r="E638" s="26" t="s">
        <v>18</v>
      </c>
      <c r="F638" s="26"/>
      <c r="G638" s="29">
        <v>12.2</v>
      </c>
      <c r="H638" s="26">
        <v>97</v>
      </c>
      <c r="I638" s="26">
        <v>95</v>
      </c>
      <c r="J638" s="33">
        <f t="shared" si="30"/>
        <v>96</v>
      </c>
      <c r="K638" s="26"/>
      <c r="L638" s="33"/>
      <c r="M638" s="38">
        <f t="shared" si="28"/>
        <v>12.2</v>
      </c>
      <c r="N638" s="39">
        <f t="shared" si="29"/>
        <v>8.8306606080000005</v>
      </c>
      <c r="O638" s="26"/>
      <c r="P638" s="31" t="s">
        <v>30</v>
      </c>
    </row>
    <row r="639" spans="1:16" x14ac:dyDescent="0.25">
      <c r="A639" s="26">
        <v>638</v>
      </c>
      <c r="B639" s="26" t="s">
        <v>1087</v>
      </c>
      <c r="C639" s="26" t="s">
        <v>1088</v>
      </c>
      <c r="D639" s="28" t="s">
        <v>1089</v>
      </c>
      <c r="E639" s="26" t="s">
        <v>18</v>
      </c>
      <c r="F639" s="26"/>
      <c r="G639" s="29">
        <v>13.7</v>
      </c>
      <c r="H639" s="26">
        <v>90</v>
      </c>
      <c r="I639" s="26">
        <v>63</v>
      </c>
      <c r="J639" s="33">
        <f t="shared" si="30"/>
        <v>76</v>
      </c>
      <c r="K639" s="26"/>
      <c r="L639" s="33"/>
      <c r="M639" s="38">
        <f t="shared" si="28"/>
        <v>13.7</v>
      </c>
      <c r="N639" s="39">
        <f t="shared" si="29"/>
        <v>6.2149644479999999</v>
      </c>
      <c r="O639" s="26"/>
      <c r="P639" s="31" t="s">
        <v>19</v>
      </c>
    </row>
    <row r="640" spans="1:16" x14ac:dyDescent="0.25">
      <c r="A640" s="26">
        <v>639</v>
      </c>
      <c r="B640" s="26" t="s">
        <v>1090</v>
      </c>
      <c r="C640" s="26" t="s">
        <v>1091</v>
      </c>
      <c r="D640" s="28" t="s">
        <v>1092</v>
      </c>
      <c r="E640" s="26" t="s">
        <v>18</v>
      </c>
      <c r="F640" s="26"/>
      <c r="G640" s="29">
        <v>12.2</v>
      </c>
      <c r="H640" s="26">
        <v>112</v>
      </c>
      <c r="I640" s="26">
        <v>85</v>
      </c>
      <c r="J640" s="33">
        <f t="shared" si="30"/>
        <v>98</v>
      </c>
      <c r="K640" s="26"/>
      <c r="L640" s="33"/>
      <c r="M640" s="38">
        <f t="shared" si="28"/>
        <v>12.2</v>
      </c>
      <c r="N640" s="39">
        <f t="shared" si="29"/>
        <v>9.2024375519999992</v>
      </c>
      <c r="O640" s="26"/>
      <c r="P640" s="31" t="s">
        <v>19</v>
      </c>
    </row>
    <row r="641" spans="1:16" x14ac:dyDescent="0.25">
      <c r="A641" s="26">
        <v>640</v>
      </c>
      <c r="B641" s="26" t="s">
        <v>1093</v>
      </c>
      <c r="C641" s="26" t="s">
        <v>1094</v>
      </c>
      <c r="D641" s="28">
        <v>768</v>
      </c>
      <c r="E641" s="26" t="s">
        <v>18</v>
      </c>
      <c r="F641" s="26"/>
      <c r="G641" s="29">
        <v>11.2</v>
      </c>
      <c r="H641" s="26">
        <v>89</v>
      </c>
      <c r="I641" s="26">
        <v>71</v>
      </c>
      <c r="J641" s="33">
        <f t="shared" si="30"/>
        <v>80</v>
      </c>
      <c r="K641" s="26">
        <v>0.3</v>
      </c>
      <c r="L641" s="33"/>
      <c r="M641" s="38">
        <f t="shared" si="28"/>
        <v>10.899999999999999</v>
      </c>
      <c r="N641" s="39">
        <f t="shared" si="29"/>
        <v>5.4789503999999987</v>
      </c>
      <c r="O641" s="26" t="s">
        <v>1007</v>
      </c>
      <c r="P641" s="31" t="s">
        <v>30</v>
      </c>
    </row>
    <row r="642" spans="1:16" x14ac:dyDescent="0.25">
      <c r="A642" s="26">
        <v>641</v>
      </c>
      <c r="B642" s="26" t="s">
        <v>1095</v>
      </c>
      <c r="C642" s="26" t="s">
        <v>1096</v>
      </c>
      <c r="D642" s="28" t="s">
        <v>1097</v>
      </c>
      <c r="E642" s="26" t="s">
        <v>18</v>
      </c>
      <c r="F642" s="26"/>
      <c r="G642" s="29">
        <v>13.7</v>
      </c>
      <c r="H642" s="26">
        <v>90</v>
      </c>
      <c r="I642" s="26">
        <v>72</v>
      </c>
      <c r="J642" s="33">
        <f t="shared" si="30"/>
        <v>81</v>
      </c>
      <c r="K642" s="26"/>
      <c r="L642" s="33"/>
      <c r="M642" s="38">
        <f t="shared" ref="M642:M705" si="31">G642-K642</f>
        <v>13.7</v>
      </c>
      <c r="N642" s="39">
        <f t="shared" ref="N642:N705" si="32">J642*J642*M642*0.7854/10000</f>
        <v>7.059622877999999</v>
      </c>
      <c r="O642" s="26"/>
      <c r="P642" s="31" t="s">
        <v>19</v>
      </c>
    </row>
    <row r="643" spans="1:16" x14ac:dyDescent="0.25">
      <c r="A643" s="26">
        <v>642</v>
      </c>
      <c r="B643" s="26" t="s">
        <v>1098</v>
      </c>
      <c r="C643" s="26" t="s">
        <v>1099</v>
      </c>
      <c r="D643" s="28">
        <v>769</v>
      </c>
      <c r="E643" s="26" t="s">
        <v>18</v>
      </c>
      <c r="F643" s="26"/>
      <c r="G643" s="29">
        <v>6</v>
      </c>
      <c r="H643" s="26">
        <v>108</v>
      </c>
      <c r="I643" s="26">
        <v>107</v>
      </c>
      <c r="J643" s="33">
        <f t="shared" si="30"/>
        <v>107</v>
      </c>
      <c r="K643" s="26">
        <v>0.5</v>
      </c>
      <c r="L643" s="33"/>
      <c r="M643" s="38">
        <f t="shared" si="31"/>
        <v>5.5</v>
      </c>
      <c r="N643" s="39">
        <f t="shared" si="32"/>
        <v>4.9456245299999999</v>
      </c>
      <c r="O643" s="26" t="s">
        <v>53</v>
      </c>
      <c r="P643" s="31" t="s">
        <v>19</v>
      </c>
    </row>
    <row r="644" spans="1:16" x14ac:dyDescent="0.25">
      <c r="A644" s="26">
        <v>643</v>
      </c>
      <c r="B644" s="26" t="s">
        <v>1100</v>
      </c>
      <c r="C644" s="26" t="s">
        <v>1101</v>
      </c>
      <c r="D644" s="28">
        <v>770</v>
      </c>
      <c r="E644" s="26" t="s">
        <v>18</v>
      </c>
      <c r="F644" s="26"/>
      <c r="G644" s="29">
        <v>11.7</v>
      </c>
      <c r="H644" s="26">
        <v>94</v>
      </c>
      <c r="I644" s="26">
        <v>81</v>
      </c>
      <c r="J644" s="33">
        <f t="shared" si="30"/>
        <v>87</v>
      </c>
      <c r="K644" s="26"/>
      <c r="L644" s="33"/>
      <c r="M644" s="38">
        <f t="shared" si="31"/>
        <v>11.7</v>
      </c>
      <c r="N644" s="39">
        <f t="shared" si="32"/>
        <v>6.9552903419999987</v>
      </c>
      <c r="O644" s="26"/>
      <c r="P644" s="31" t="s">
        <v>30</v>
      </c>
    </row>
    <row r="645" spans="1:16" x14ac:dyDescent="0.25">
      <c r="A645" s="26">
        <v>644</v>
      </c>
      <c r="B645" s="26" t="s">
        <v>1102</v>
      </c>
      <c r="C645" s="26" t="s">
        <v>1103</v>
      </c>
      <c r="D645" s="28" t="s">
        <v>1104</v>
      </c>
      <c r="E645" s="26" t="s">
        <v>18</v>
      </c>
      <c r="F645" s="26"/>
      <c r="G645" s="29">
        <v>13</v>
      </c>
      <c r="H645" s="26">
        <v>90</v>
      </c>
      <c r="I645" s="26">
        <v>66</v>
      </c>
      <c r="J645" s="33">
        <f t="shared" si="30"/>
        <v>78</v>
      </c>
      <c r="K645" s="26">
        <v>0.3</v>
      </c>
      <c r="L645" s="33"/>
      <c r="M645" s="38">
        <f t="shared" si="31"/>
        <v>12.7</v>
      </c>
      <c r="N645" s="39">
        <f t="shared" si="32"/>
        <v>6.0685344720000005</v>
      </c>
      <c r="O645" s="26" t="s">
        <v>1007</v>
      </c>
      <c r="P645" s="31" t="s">
        <v>19</v>
      </c>
    </row>
    <row r="646" spans="1:16" x14ac:dyDescent="0.25">
      <c r="A646" s="26">
        <v>645</v>
      </c>
      <c r="B646" s="26" t="s">
        <v>1105</v>
      </c>
      <c r="C646" s="26" t="s">
        <v>1106</v>
      </c>
      <c r="D646" s="28" t="s">
        <v>1107</v>
      </c>
      <c r="E646" s="26" t="s">
        <v>18</v>
      </c>
      <c r="F646" s="26"/>
      <c r="G646" s="29">
        <v>12.3</v>
      </c>
      <c r="H646" s="26">
        <v>100</v>
      </c>
      <c r="I646" s="26">
        <v>88</v>
      </c>
      <c r="J646" s="33">
        <f t="shared" si="30"/>
        <v>94</v>
      </c>
      <c r="K646" s="26"/>
      <c r="L646" s="33"/>
      <c r="M646" s="38">
        <f t="shared" si="31"/>
        <v>12.3</v>
      </c>
      <c r="N646" s="39">
        <f t="shared" si="32"/>
        <v>8.5359471120000006</v>
      </c>
      <c r="O646" s="26"/>
      <c r="P646" s="31" t="s">
        <v>19</v>
      </c>
    </row>
    <row r="647" spans="1:16" x14ac:dyDescent="0.25">
      <c r="A647" s="26">
        <v>646</v>
      </c>
      <c r="B647" s="26" t="s">
        <v>1108</v>
      </c>
      <c r="C647" s="26" t="s">
        <v>1109</v>
      </c>
      <c r="D647" s="28" t="s">
        <v>1110</v>
      </c>
      <c r="E647" s="26" t="s">
        <v>18</v>
      </c>
      <c r="F647" s="26"/>
      <c r="G647" s="29">
        <v>10.6</v>
      </c>
      <c r="H647" s="26">
        <v>112</v>
      </c>
      <c r="I647" s="26">
        <v>101</v>
      </c>
      <c r="J647" s="33">
        <f t="shared" si="30"/>
        <v>106</v>
      </c>
      <c r="K647" s="26"/>
      <c r="L647" s="33"/>
      <c r="M647" s="38">
        <f t="shared" si="31"/>
        <v>10.6</v>
      </c>
      <c r="N647" s="39">
        <f t="shared" si="32"/>
        <v>9.3542396639999996</v>
      </c>
      <c r="O647" s="26"/>
      <c r="P647" s="31" t="s">
        <v>19</v>
      </c>
    </row>
    <row r="648" spans="1:16" x14ac:dyDescent="0.25">
      <c r="A648" s="26">
        <v>647</v>
      </c>
      <c r="B648" s="26" t="s">
        <v>1111</v>
      </c>
      <c r="C648" s="26" t="s">
        <v>1112</v>
      </c>
      <c r="D648" s="28" t="s">
        <v>1113</v>
      </c>
      <c r="E648" s="26" t="s">
        <v>18</v>
      </c>
      <c r="F648" s="26"/>
      <c r="G648" s="29">
        <v>11.4</v>
      </c>
      <c r="H648" s="26">
        <v>89</v>
      </c>
      <c r="I648" s="26">
        <v>74</v>
      </c>
      <c r="J648" s="33">
        <f t="shared" si="30"/>
        <v>81</v>
      </c>
      <c r="K648" s="26"/>
      <c r="L648" s="33"/>
      <c r="M648" s="38">
        <f t="shared" si="31"/>
        <v>11.4</v>
      </c>
      <c r="N648" s="39">
        <f t="shared" si="32"/>
        <v>5.874430716</v>
      </c>
      <c r="O648" s="26"/>
      <c r="P648" s="31" t="s">
        <v>19</v>
      </c>
    </row>
    <row r="649" spans="1:16" x14ac:dyDescent="0.25">
      <c r="A649" s="26">
        <v>648</v>
      </c>
      <c r="B649" s="26" t="s">
        <v>1114</v>
      </c>
      <c r="C649" s="26" t="s">
        <v>1115</v>
      </c>
      <c r="D649" s="28" t="s">
        <v>1116</v>
      </c>
      <c r="E649" s="26" t="s">
        <v>18</v>
      </c>
      <c r="F649" s="26"/>
      <c r="G649" s="29">
        <v>12.1</v>
      </c>
      <c r="H649" s="26">
        <v>75</v>
      </c>
      <c r="I649" s="26">
        <v>68</v>
      </c>
      <c r="J649" s="33">
        <f t="shared" si="30"/>
        <v>71</v>
      </c>
      <c r="K649" s="26">
        <v>0.3</v>
      </c>
      <c r="L649" s="33"/>
      <c r="M649" s="38">
        <f t="shared" si="31"/>
        <v>11.799999999999999</v>
      </c>
      <c r="N649" s="39">
        <f t="shared" si="32"/>
        <v>4.6718576519999999</v>
      </c>
      <c r="O649" s="26" t="s">
        <v>1007</v>
      </c>
      <c r="P649" s="31" t="s">
        <v>19</v>
      </c>
    </row>
    <row r="650" spans="1:16" x14ac:dyDescent="0.25">
      <c r="A650" s="26">
        <v>649</v>
      </c>
      <c r="B650" s="26" t="s">
        <v>1117</v>
      </c>
      <c r="C650" s="26" t="s">
        <v>1118</v>
      </c>
      <c r="D650" s="28" t="s">
        <v>1119</v>
      </c>
      <c r="E650" s="26" t="s">
        <v>18</v>
      </c>
      <c r="F650" s="26"/>
      <c r="G650" s="29">
        <v>11.1</v>
      </c>
      <c r="H650" s="26">
        <v>90</v>
      </c>
      <c r="I650" s="26">
        <v>81</v>
      </c>
      <c r="J650" s="33">
        <f t="shared" si="30"/>
        <v>85</v>
      </c>
      <c r="K650" s="26"/>
      <c r="L650" s="33"/>
      <c r="M650" s="38">
        <f t="shared" si="31"/>
        <v>11.1</v>
      </c>
      <c r="N650" s="39">
        <f t="shared" si="32"/>
        <v>6.2987116499999996</v>
      </c>
      <c r="O650" s="26"/>
      <c r="P650" s="31" t="s">
        <v>19</v>
      </c>
    </row>
    <row r="651" spans="1:16" x14ac:dyDescent="0.25">
      <c r="A651" s="26">
        <v>650</v>
      </c>
      <c r="B651" s="26" t="s">
        <v>1120</v>
      </c>
      <c r="C651" s="26" t="s">
        <v>1121</v>
      </c>
      <c r="D651" s="28" t="s">
        <v>1122</v>
      </c>
      <c r="E651" s="26" t="s">
        <v>18</v>
      </c>
      <c r="F651" s="26"/>
      <c r="G651" s="29">
        <v>10.5</v>
      </c>
      <c r="H651" s="26">
        <v>118</v>
      </c>
      <c r="I651" s="26">
        <v>108</v>
      </c>
      <c r="J651" s="33">
        <f t="shared" si="30"/>
        <v>113</v>
      </c>
      <c r="K651" s="26"/>
      <c r="L651" s="33"/>
      <c r="M651" s="38">
        <f t="shared" si="31"/>
        <v>10.5</v>
      </c>
      <c r="N651" s="39">
        <f t="shared" si="32"/>
        <v>10.530211229999999</v>
      </c>
      <c r="O651" s="26"/>
      <c r="P651" s="31" t="s">
        <v>19</v>
      </c>
    </row>
    <row r="652" spans="1:16" x14ac:dyDescent="0.25">
      <c r="A652" s="26">
        <v>651</v>
      </c>
      <c r="B652" s="26" t="s">
        <v>1123</v>
      </c>
      <c r="C652" s="26" t="s">
        <v>1124</v>
      </c>
      <c r="D652" s="28" t="s">
        <v>1125</v>
      </c>
      <c r="E652" s="26" t="s">
        <v>18</v>
      </c>
      <c r="F652" s="26"/>
      <c r="G652" s="29">
        <v>10.199999999999999</v>
      </c>
      <c r="H652" s="26">
        <v>109</v>
      </c>
      <c r="I652" s="26">
        <v>105</v>
      </c>
      <c r="J652" s="33">
        <f t="shared" si="30"/>
        <v>107</v>
      </c>
      <c r="K652" s="26">
        <v>0.5</v>
      </c>
      <c r="L652" s="33"/>
      <c r="M652" s="38">
        <f t="shared" si="31"/>
        <v>9.6999999999999993</v>
      </c>
      <c r="N652" s="39">
        <f t="shared" si="32"/>
        <v>8.7222832619999995</v>
      </c>
      <c r="O652" s="26" t="s">
        <v>1007</v>
      </c>
      <c r="P652" s="31" t="s">
        <v>19</v>
      </c>
    </row>
    <row r="653" spans="1:16" x14ac:dyDescent="0.25">
      <c r="A653" s="26">
        <v>652</v>
      </c>
      <c r="B653" s="26" t="s">
        <v>1126</v>
      </c>
      <c r="C653" s="26" t="s">
        <v>1127</v>
      </c>
      <c r="D653" s="28" t="s">
        <v>1128</v>
      </c>
      <c r="E653" s="26" t="s">
        <v>18</v>
      </c>
      <c r="F653" s="26"/>
      <c r="G653" s="29">
        <v>12.8</v>
      </c>
      <c r="H653" s="26">
        <v>93</v>
      </c>
      <c r="I653" s="26">
        <v>87</v>
      </c>
      <c r="J653" s="33">
        <f t="shared" si="30"/>
        <v>90</v>
      </c>
      <c r="K653" s="26"/>
      <c r="L653" s="33"/>
      <c r="M653" s="38">
        <f t="shared" si="31"/>
        <v>12.8</v>
      </c>
      <c r="N653" s="39">
        <f t="shared" si="32"/>
        <v>8.1430272000000006</v>
      </c>
      <c r="O653" s="26"/>
      <c r="P653" s="31" t="s">
        <v>30</v>
      </c>
    </row>
    <row r="654" spans="1:16" x14ac:dyDescent="0.25">
      <c r="A654" s="26">
        <v>653</v>
      </c>
      <c r="B654" s="26" t="s">
        <v>1129</v>
      </c>
      <c r="C654" s="26" t="s">
        <v>1130</v>
      </c>
      <c r="D654" s="28">
        <v>4994</v>
      </c>
      <c r="E654" s="26" t="s">
        <v>18</v>
      </c>
      <c r="F654" s="26"/>
      <c r="G654" s="29">
        <v>6.5</v>
      </c>
      <c r="H654" s="26">
        <v>87</v>
      </c>
      <c r="I654" s="26">
        <v>86</v>
      </c>
      <c r="J654" s="33">
        <f t="shared" si="30"/>
        <v>86</v>
      </c>
      <c r="K654" s="26"/>
      <c r="L654" s="33"/>
      <c r="M654" s="38">
        <f t="shared" si="31"/>
        <v>6.5</v>
      </c>
      <c r="N654" s="39">
        <f t="shared" si="32"/>
        <v>3.7757319600000003</v>
      </c>
      <c r="O654" s="26"/>
      <c r="P654" s="31" t="s">
        <v>19</v>
      </c>
    </row>
    <row r="655" spans="1:16" x14ac:dyDescent="0.25">
      <c r="A655" s="26">
        <v>654</v>
      </c>
      <c r="B655" s="26" t="s">
        <v>1131</v>
      </c>
      <c r="C655" s="26" t="s">
        <v>1132</v>
      </c>
      <c r="D655" s="28">
        <v>904</v>
      </c>
      <c r="E655" s="26" t="s">
        <v>18</v>
      </c>
      <c r="F655" s="26"/>
      <c r="G655" s="29">
        <v>12.1</v>
      </c>
      <c r="H655" s="26">
        <v>72</v>
      </c>
      <c r="I655" s="26">
        <v>62</v>
      </c>
      <c r="J655" s="33">
        <f t="shared" si="30"/>
        <v>67</v>
      </c>
      <c r="K655" s="26">
        <v>0.5</v>
      </c>
      <c r="L655" s="33"/>
      <c r="M655" s="38">
        <f t="shared" si="31"/>
        <v>11.6</v>
      </c>
      <c r="N655" s="39">
        <f t="shared" si="32"/>
        <v>4.0897662960000005</v>
      </c>
      <c r="O655" s="26" t="s">
        <v>53</v>
      </c>
      <c r="P655" s="31" t="s">
        <v>19</v>
      </c>
    </row>
    <row r="656" spans="1:16" x14ac:dyDescent="0.25">
      <c r="A656" s="26">
        <v>655</v>
      </c>
      <c r="B656" s="26" t="s">
        <v>1133</v>
      </c>
      <c r="C656" s="26" t="s">
        <v>1134</v>
      </c>
      <c r="D656" s="28" t="s">
        <v>1135</v>
      </c>
      <c r="E656" s="26" t="s">
        <v>18</v>
      </c>
      <c r="F656" s="26"/>
      <c r="G656" s="29">
        <v>10.3</v>
      </c>
      <c r="H656" s="26">
        <v>92</v>
      </c>
      <c r="I656" s="26">
        <v>86</v>
      </c>
      <c r="J656" s="33">
        <f t="shared" si="30"/>
        <v>89</v>
      </c>
      <c r="K656" s="26"/>
      <c r="L656" s="33"/>
      <c r="M656" s="38">
        <f t="shared" si="31"/>
        <v>10.3</v>
      </c>
      <c r="N656" s="39">
        <f t="shared" si="32"/>
        <v>6.4077880020000002</v>
      </c>
      <c r="O656" s="26"/>
      <c r="P656" s="31" t="s">
        <v>30</v>
      </c>
    </row>
    <row r="657" spans="1:16" x14ac:dyDescent="0.25">
      <c r="A657" s="26">
        <v>656</v>
      </c>
      <c r="B657" s="26" t="s">
        <v>1136</v>
      </c>
      <c r="C657" s="26" t="s">
        <v>1137</v>
      </c>
      <c r="D657" s="28" t="s">
        <v>1138</v>
      </c>
      <c r="E657" s="26" t="s">
        <v>18</v>
      </c>
      <c r="F657" s="26"/>
      <c r="G657" s="29">
        <v>13.1</v>
      </c>
      <c r="H657" s="26">
        <v>88</v>
      </c>
      <c r="I657" s="26">
        <v>78</v>
      </c>
      <c r="J657" s="33">
        <f t="shared" si="30"/>
        <v>83</v>
      </c>
      <c r="K657" s="26"/>
      <c r="L657" s="33"/>
      <c r="M657" s="38">
        <f t="shared" si="31"/>
        <v>13.1</v>
      </c>
      <c r="N657" s="39">
        <f t="shared" si="32"/>
        <v>7.0879129860000001</v>
      </c>
      <c r="O657" s="26"/>
      <c r="P657" s="31" t="s">
        <v>19</v>
      </c>
    </row>
    <row r="658" spans="1:16" x14ac:dyDescent="0.25">
      <c r="A658" s="26">
        <v>657</v>
      </c>
      <c r="B658" s="26" t="s">
        <v>1139</v>
      </c>
      <c r="C658" s="26" t="s">
        <v>1140</v>
      </c>
      <c r="D658" s="28" t="s">
        <v>1141</v>
      </c>
      <c r="E658" s="26" t="s">
        <v>18</v>
      </c>
      <c r="F658" s="26"/>
      <c r="G658" s="29">
        <v>12.5</v>
      </c>
      <c r="H658" s="26">
        <v>88</v>
      </c>
      <c r="I658" s="26">
        <v>68</v>
      </c>
      <c r="J658" s="33">
        <f t="shared" si="30"/>
        <v>78</v>
      </c>
      <c r="K658" s="26"/>
      <c r="L658" s="33"/>
      <c r="M658" s="38">
        <f t="shared" si="31"/>
        <v>12.5</v>
      </c>
      <c r="N658" s="39">
        <f t="shared" si="32"/>
        <v>5.9729669999999997</v>
      </c>
      <c r="O658" s="26"/>
      <c r="P658" s="31" t="s">
        <v>19</v>
      </c>
    </row>
    <row r="659" spans="1:16" x14ac:dyDescent="0.25">
      <c r="A659" s="26">
        <v>658</v>
      </c>
      <c r="B659" s="26" t="s">
        <v>1142</v>
      </c>
      <c r="C659" s="26" t="s">
        <v>1143</v>
      </c>
      <c r="D659" s="28" t="s">
        <v>1144</v>
      </c>
      <c r="E659" s="26" t="s">
        <v>18</v>
      </c>
      <c r="F659" s="26"/>
      <c r="G659" s="29">
        <v>10.7</v>
      </c>
      <c r="H659" s="26">
        <v>90</v>
      </c>
      <c r="I659" s="26">
        <v>79</v>
      </c>
      <c r="J659" s="33">
        <f t="shared" si="30"/>
        <v>84</v>
      </c>
      <c r="K659" s="26">
        <v>0.5</v>
      </c>
      <c r="L659" s="33"/>
      <c r="M659" s="38">
        <f t="shared" si="31"/>
        <v>10.199999999999999</v>
      </c>
      <c r="N659" s="39">
        <f t="shared" si="32"/>
        <v>5.6526180479999999</v>
      </c>
      <c r="O659" s="26" t="s">
        <v>53</v>
      </c>
      <c r="P659" s="31" t="s">
        <v>30</v>
      </c>
    </row>
    <row r="660" spans="1:16" x14ac:dyDescent="0.25">
      <c r="A660" s="26">
        <v>659</v>
      </c>
      <c r="B660" s="26" t="s">
        <v>1145</v>
      </c>
      <c r="C660" s="26" t="s">
        <v>1146</v>
      </c>
      <c r="D660" s="28" t="s">
        <v>1147</v>
      </c>
      <c r="E660" s="26" t="s">
        <v>18</v>
      </c>
      <c r="F660" s="26"/>
      <c r="G660" s="29">
        <v>5.0999999999999996</v>
      </c>
      <c r="H660" s="26">
        <v>121</v>
      </c>
      <c r="I660" s="26">
        <v>117</v>
      </c>
      <c r="J660" s="33">
        <f t="shared" si="30"/>
        <v>119</v>
      </c>
      <c r="K660" s="26">
        <v>0.5</v>
      </c>
      <c r="L660" s="33"/>
      <c r="M660" s="38">
        <f t="shared" si="31"/>
        <v>4.5999999999999996</v>
      </c>
      <c r="N660" s="39">
        <f t="shared" si="32"/>
        <v>5.1161427239999995</v>
      </c>
      <c r="O660" s="26" t="s">
        <v>21</v>
      </c>
      <c r="P660" s="31" t="s">
        <v>19</v>
      </c>
    </row>
    <row r="661" spans="1:16" x14ac:dyDescent="0.25">
      <c r="A661" s="26">
        <v>660</v>
      </c>
      <c r="B661" s="26" t="s">
        <v>1148</v>
      </c>
      <c r="C661" s="26" t="s">
        <v>1149</v>
      </c>
      <c r="D661" s="28" t="s">
        <v>1150</v>
      </c>
      <c r="E661" s="26" t="s">
        <v>18</v>
      </c>
      <c r="F661" s="26"/>
      <c r="G661" s="29">
        <v>9.1</v>
      </c>
      <c r="H661" s="26">
        <v>116</v>
      </c>
      <c r="I661" s="26">
        <v>103</v>
      </c>
      <c r="J661" s="33">
        <f t="shared" si="30"/>
        <v>109</v>
      </c>
      <c r="K661" s="26"/>
      <c r="L661" s="33"/>
      <c r="M661" s="38">
        <f t="shared" si="31"/>
        <v>9.1</v>
      </c>
      <c r="N661" s="39">
        <f t="shared" si="32"/>
        <v>8.4915170339999992</v>
      </c>
      <c r="O661" s="26"/>
      <c r="P661" s="31" t="s">
        <v>19</v>
      </c>
    </row>
    <row r="662" spans="1:16" x14ac:dyDescent="0.25">
      <c r="A662" s="26">
        <v>661</v>
      </c>
      <c r="B662" s="26" t="s">
        <v>1151</v>
      </c>
      <c r="C662" s="26" t="s">
        <v>1152</v>
      </c>
      <c r="D662" s="28">
        <v>907</v>
      </c>
      <c r="E662" s="26" t="s">
        <v>18</v>
      </c>
      <c r="F662" s="26"/>
      <c r="G662" s="29">
        <v>13</v>
      </c>
      <c r="H662" s="26">
        <v>145</v>
      </c>
      <c r="I662" s="26">
        <v>130</v>
      </c>
      <c r="J662" s="33">
        <f t="shared" si="30"/>
        <v>137</v>
      </c>
      <c r="K662" s="26">
        <v>0.3</v>
      </c>
      <c r="L662" s="33"/>
      <c r="M662" s="38">
        <f t="shared" si="31"/>
        <v>12.7</v>
      </c>
      <c r="N662" s="39">
        <f t="shared" si="32"/>
        <v>18.721289202000001</v>
      </c>
      <c r="O662" s="26" t="s">
        <v>1007</v>
      </c>
      <c r="P662" s="31" t="s">
        <v>19</v>
      </c>
    </row>
    <row r="663" spans="1:16" x14ac:dyDescent="0.25">
      <c r="A663" s="26">
        <v>662</v>
      </c>
      <c r="B663" s="26" t="s">
        <v>1153</v>
      </c>
      <c r="C663" s="26" t="s">
        <v>1154</v>
      </c>
      <c r="D663" s="28" t="s">
        <v>1155</v>
      </c>
      <c r="E663" s="26" t="s">
        <v>18</v>
      </c>
      <c r="F663" s="26"/>
      <c r="G663" s="29">
        <v>12.5</v>
      </c>
      <c r="H663" s="26">
        <v>126</v>
      </c>
      <c r="I663" s="26">
        <v>112</v>
      </c>
      <c r="J663" s="33">
        <f t="shared" si="30"/>
        <v>119</v>
      </c>
      <c r="K663" s="26"/>
      <c r="L663" s="33"/>
      <c r="M663" s="38">
        <f t="shared" si="31"/>
        <v>12.5</v>
      </c>
      <c r="N663" s="39">
        <f t="shared" si="32"/>
        <v>13.902561749999998</v>
      </c>
      <c r="O663" s="26"/>
      <c r="P663" s="31" t="s">
        <v>19</v>
      </c>
    </row>
    <row r="664" spans="1:16" x14ac:dyDescent="0.25">
      <c r="A664" s="26">
        <v>663</v>
      </c>
      <c r="B664" s="26" t="s">
        <v>1156</v>
      </c>
      <c r="C664" s="26" t="s">
        <v>1157</v>
      </c>
      <c r="D664" s="28">
        <v>5216</v>
      </c>
      <c r="E664" s="26" t="s">
        <v>18</v>
      </c>
      <c r="F664" s="26"/>
      <c r="G664" s="29">
        <v>12.7</v>
      </c>
      <c r="H664" s="26">
        <v>112</v>
      </c>
      <c r="I664" s="26">
        <v>100</v>
      </c>
      <c r="J664" s="33">
        <f t="shared" si="30"/>
        <v>106</v>
      </c>
      <c r="K664" s="26"/>
      <c r="L664" s="33"/>
      <c r="M664" s="38">
        <f t="shared" si="31"/>
        <v>12.7</v>
      </c>
      <c r="N664" s="39">
        <f t="shared" si="32"/>
        <v>11.207438087999998</v>
      </c>
      <c r="O664" s="26"/>
      <c r="P664" s="31" t="s">
        <v>19</v>
      </c>
    </row>
    <row r="665" spans="1:16" x14ac:dyDescent="0.25">
      <c r="A665" s="26">
        <v>664</v>
      </c>
      <c r="B665" s="26" t="s">
        <v>1158</v>
      </c>
      <c r="C665" s="26" t="s">
        <v>1159</v>
      </c>
      <c r="D665" s="28" t="s">
        <v>1160</v>
      </c>
      <c r="E665" s="26" t="s">
        <v>18</v>
      </c>
      <c r="F665" s="26"/>
      <c r="G665" s="29">
        <v>7.8</v>
      </c>
      <c r="H665" s="26">
        <v>95</v>
      </c>
      <c r="I665" s="26">
        <v>93</v>
      </c>
      <c r="J665" s="33">
        <f t="shared" si="30"/>
        <v>94</v>
      </c>
      <c r="K665" s="26">
        <v>0.3</v>
      </c>
      <c r="L665" s="33"/>
      <c r="M665" s="38">
        <f t="shared" si="31"/>
        <v>7.5</v>
      </c>
      <c r="N665" s="39">
        <f t="shared" si="32"/>
        <v>5.2048458000000002</v>
      </c>
      <c r="O665" s="26" t="s">
        <v>21</v>
      </c>
      <c r="P665" s="31" t="s">
        <v>19</v>
      </c>
    </row>
    <row r="666" spans="1:16" x14ac:dyDescent="0.25">
      <c r="A666" s="26">
        <v>665</v>
      </c>
      <c r="B666" s="26" t="s">
        <v>1161</v>
      </c>
      <c r="C666" s="26" t="s">
        <v>1162</v>
      </c>
      <c r="D666" s="28" t="s">
        <v>730</v>
      </c>
      <c r="E666" s="26" t="s">
        <v>18</v>
      </c>
      <c r="F666" s="26"/>
      <c r="G666" s="29">
        <v>11.3</v>
      </c>
      <c r="H666" s="26">
        <v>122</v>
      </c>
      <c r="I666" s="26">
        <v>107</v>
      </c>
      <c r="J666" s="33">
        <f t="shared" si="30"/>
        <v>114</v>
      </c>
      <c r="K666" s="26">
        <v>0.5</v>
      </c>
      <c r="L666" s="33"/>
      <c r="M666" s="38">
        <f t="shared" si="31"/>
        <v>10.8</v>
      </c>
      <c r="N666" s="39">
        <f t="shared" si="32"/>
        <v>11.023623072000001</v>
      </c>
      <c r="O666" s="26" t="s">
        <v>35</v>
      </c>
      <c r="P666" s="31" t="s">
        <v>19</v>
      </c>
    </row>
    <row r="667" spans="1:16" x14ac:dyDescent="0.25">
      <c r="A667" s="26">
        <v>666</v>
      </c>
      <c r="B667" s="26" t="s">
        <v>1163</v>
      </c>
      <c r="C667" s="26" t="s">
        <v>1164</v>
      </c>
      <c r="D667" s="28">
        <v>4999</v>
      </c>
      <c r="E667" s="26" t="s">
        <v>18</v>
      </c>
      <c r="F667" s="26"/>
      <c r="G667" s="29">
        <v>10</v>
      </c>
      <c r="H667" s="26">
        <v>101</v>
      </c>
      <c r="I667" s="26">
        <v>83</v>
      </c>
      <c r="J667" s="33">
        <f t="shared" si="30"/>
        <v>92</v>
      </c>
      <c r="K667" s="26">
        <v>0.5</v>
      </c>
      <c r="L667" s="33"/>
      <c r="M667" s="38">
        <f t="shared" si="31"/>
        <v>9.5</v>
      </c>
      <c r="N667" s="39">
        <f t="shared" si="32"/>
        <v>6.3152443200000006</v>
      </c>
      <c r="O667" s="26" t="s">
        <v>1007</v>
      </c>
      <c r="P667" s="31" t="s">
        <v>19</v>
      </c>
    </row>
    <row r="668" spans="1:16" x14ac:dyDescent="0.25">
      <c r="A668" s="26">
        <v>667</v>
      </c>
      <c r="B668" s="26" t="s">
        <v>1165</v>
      </c>
      <c r="C668" s="26" t="s">
        <v>1166</v>
      </c>
      <c r="D668" s="28" t="s">
        <v>1167</v>
      </c>
      <c r="E668" s="26" t="s">
        <v>18</v>
      </c>
      <c r="F668" s="26"/>
      <c r="G668" s="29">
        <v>8.9</v>
      </c>
      <c r="H668" s="26">
        <v>83</v>
      </c>
      <c r="I668" s="26">
        <v>71</v>
      </c>
      <c r="J668" s="33">
        <f t="shared" si="30"/>
        <v>77</v>
      </c>
      <c r="K668" s="26"/>
      <c r="L668" s="33"/>
      <c r="M668" s="38">
        <f t="shared" si="31"/>
        <v>8.9</v>
      </c>
      <c r="N668" s="39">
        <f t="shared" si="32"/>
        <v>4.1444065739999996</v>
      </c>
      <c r="O668" s="26"/>
      <c r="P668" s="31" t="s">
        <v>30</v>
      </c>
    </row>
    <row r="669" spans="1:16" x14ac:dyDescent="0.25">
      <c r="A669" s="26">
        <v>668</v>
      </c>
      <c r="B669" s="26" t="s">
        <v>1168</v>
      </c>
      <c r="C669" s="26" t="s">
        <v>1169</v>
      </c>
      <c r="D669" s="28" t="s">
        <v>1170</v>
      </c>
      <c r="E669" s="26" t="s">
        <v>18</v>
      </c>
      <c r="F669" s="26"/>
      <c r="G669" s="29">
        <v>10.9</v>
      </c>
      <c r="H669" s="26">
        <v>132</v>
      </c>
      <c r="I669" s="26">
        <v>127</v>
      </c>
      <c r="J669" s="33">
        <f t="shared" si="30"/>
        <v>129</v>
      </c>
      <c r="K669" s="26"/>
      <c r="L669" s="33">
        <v>20</v>
      </c>
      <c r="M669" s="38">
        <f t="shared" si="31"/>
        <v>10.9</v>
      </c>
      <c r="N669" s="39">
        <f t="shared" si="32"/>
        <v>14.246127125999998</v>
      </c>
      <c r="O669" s="26"/>
      <c r="P669" s="31" t="s">
        <v>19</v>
      </c>
    </row>
    <row r="670" spans="1:16" x14ac:dyDescent="0.25">
      <c r="A670" s="26">
        <v>669</v>
      </c>
      <c r="B670" s="26" t="s">
        <v>1171</v>
      </c>
      <c r="C670" s="26" t="s">
        <v>1172</v>
      </c>
      <c r="D670" s="28">
        <v>5000</v>
      </c>
      <c r="E670" s="26" t="s">
        <v>18</v>
      </c>
      <c r="F670" s="26"/>
      <c r="G670" s="29">
        <v>6.2</v>
      </c>
      <c r="H670" s="26">
        <v>130</v>
      </c>
      <c r="I670" s="26">
        <v>112</v>
      </c>
      <c r="J670" s="33">
        <f t="shared" si="30"/>
        <v>121</v>
      </c>
      <c r="K670" s="26"/>
      <c r="L670" s="33">
        <v>20</v>
      </c>
      <c r="M670" s="38">
        <f t="shared" si="31"/>
        <v>6.2</v>
      </c>
      <c r="N670" s="39">
        <f t="shared" si="32"/>
        <v>7.1294056679999995</v>
      </c>
      <c r="O670" s="26"/>
      <c r="P670" s="31" t="s">
        <v>19</v>
      </c>
    </row>
    <row r="671" spans="1:16" x14ac:dyDescent="0.25">
      <c r="A671" s="26">
        <v>670</v>
      </c>
      <c r="B671" s="26" t="s">
        <v>1173</v>
      </c>
      <c r="C671" s="26" t="s">
        <v>1174</v>
      </c>
      <c r="D671" s="28">
        <v>1574</v>
      </c>
      <c r="E671" s="26" t="s">
        <v>18</v>
      </c>
      <c r="F671" s="26"/>
      <c r="G671" s="29">
        <v>13.6</v>
      </c>
      <c r="H671" s="26">
        <v>122</v>
      </c>
      <c r="I671" s="26">
        <v>103</v>
      </c>
      <c r="J671" s="33">
        <f t="shared" ref="J671:J734" si="33">ROUNDDOWN((H671+I671)/2,0)</f>
        <v>112</v>
      </c>
      <c r="K671" s="26"/>
      <c r="L671" s="33"/>
      <c r="M671" s="38">
        <f t="shared" si="31"/>
        <v>13.6</v>
      </c>
      <c r="N671" s="39">
        <f t="shared" si="32"/>
        <v>13.398798335999999</v>
      </c>
      <c r="O671" s="26"/>
      <c r="P671" s="31" t="s">
        <v>30</v>
      </c>
    </row>
    <row r="672" spans="1:16" x14ac:dyDescent="0.25">
      <c r="A672" s="26">
        <v>671</v>
      </c>
      <c r="B672" s="26" t="s">
        <v>1175</v>
      </c>
      <c r="C672" s="26" t="s">
        <v>1176</v>
      </c>
      <c r="D672" s="28" t="s">
        <v>1177</v>
      </c>
      <c r="E672" s="26" t="s">
        <v>18</v>
      </c>
      <c r="F672" s="26"/>
      <c r="G672" s="29">
        <v>13.1</v>
      </c>
      <c r="H672" s="26">
        <v>103</v>
      </c>
      <c r="I672" s="26">
        <v>87</v>
      </c>
      <c r="J672" s="33">
        <f t="shared" si="33"/>
        <v>95</v>
      </c>
      <c r="K672" s="26">
        <v>0.3</v>
      </c>
      <c r="L672" s="33"/>
      <c r="M672" s="38">
        <f t="shared" si="31"/>
        <v>12.799999999999999</v>
      </c>
      <c r="N672" s="39">
        <f t="shared" si="32"/>
        <v>9.0729407999999978</v>
      </c>
      <c r="O672" s="26" t="s">
        <v>1007</v>
      </c>
      <c r="P672" s="31" t="s">
        <v>19</v>
      </c>
    </row>
    <row r="673" spans="1:16" x14ac:dyDescent="0.25">
      <c r="A673" s="26">
        <v>672</v>
      </c>
      <c r="B673" s="26" t="s">
        <v>1178</v>
      </c>
      <c r="C673" s="26" t="s">
        <v>1179</v>
      </c>
      <c r="D673" s="28" t="s">
        <v>1180</v>
      </c>
      <c r="E673" s="26" t="s">
        <v>18</v>
      </c>
      <c r="F673" s="26"/>
      <c r="G673" s="29">
        <v>14.2</v>
      </c>
      <c r="H673" s="26">
        <v>81</v>
      </c>
      <c r="I673" s="26">
        <v>67</v>
      </c>
      <c r="J673" s="33">
        <f t="shared" si="33"/>
        <v>74</v>
      </c>
      <c r="K673" s="26">
        <v>0.3</v>
      </c>
      <c r="L673" s="33"/>
      <c r="M673" s="38">
        <f t="shared" si="31"/>
        <v>13.899999999999999</v>
      </c>
      <c r="N673" s="39">
        <f t="shared" si="32"/>
        <v>5.9781820559999996</v>
      </c>
      <c r="O673" s="26" t="s">
        <v>21</v>
      </c>
      <c r="P673" s="31" t="s">
        <v>19</v>
      </c>
    </row>
    <row r="674" spans="1:16" x14ac:dyDescent="0.25">
      <c r="A674" s="26">
        <v>673</v>
      </c>
      <c r="B674" s="26" t="s">
        <v>1181</v>
      </c>
      <c r="C674" s="26" t="s">
        <v>1182</v>
      </c>
      <c r="D674" s="28">
        <v>950</v>
      </c>
      <c r="E674" s="26" t="s">
        <v>18</v>
      </c>
      <c r="F674" s="26"/>
      <c r="G674" s="29">
        <v>10.1</v>
      </c>
      <c r="H674" s="26">
        <v>105</v>
      </c>
      <c r="I674" s="26">
        <v>86</v>
      </c>
      <c r="J674" s="33">
        <f t="shared" si="33"/>
        <v>95</v>
      </c>
      <c r="K674" s="26"/>
      <c r="L674" s="33"/>
      <c r="M674" s="38">
        <f t="shared" si="31"/>
        <v>10.1</v>
      </c>
      <c r="N674" s="39">
        <f t="shared" si="32"/>
        <v>7.1591173500000007</v>
      </c>
      <c r="O674" s="26"/>
      <c r="P674" s="31" t="s">
        <v>30</v>
      </c>
    </row>
    <row r="675" spans="1:16" x14ac:dyDescent="0.25">
      <c r="A675" s="26">
        <v>674</v>
      </c>
      <c r="B675" s="26" t="s">
        <v>1183</v>
      </c>
      <c r="C675" s="26" t="s">
        <v>1184</v>
      </c>
      <c r="D675" s="28" t="s">
        <v>1185</v>
      </c>
      <c r="E675" s="26" t="s">
        <v>18</v>
      </c>
      <c r="F675" s="26"/>
      <c r="G675" s="29">
        <v>5.5</v>
      </c>
      <c r="H675" s="26">
        <v>86</v>
      </c>
      <c r="I675" s="26">
        <v>80</v>
      </c>
      <c r="J675" s="33">
        <f t="shared" si="33"/>
        <v>83</v>
      </c>
      <c r="K675" s="26"/>
      <c r="L675" s="33"/>
      <c r="M675" s="38">
        <f t="shared" si="31"/>
        <v>5.5</v>
      </c>
      <c r="N675" s="39">
        <f t="shared" si="32"/>
        <v>2.9758413300000002</v>
      </c>
      <c r="O675" s="26"/>
      <c r="P675" s="31" t="s">
        <v>19</v>
      </c>
    </row>
    <row r="676" spans="1:16" x14ac:dyDescent="0.25">
      <c r="A676" s="26">
        <v>675</v>
      </c>
      <c r="B676" s="26" t="s">
        <v>1186</v>
      </c>
      <c r="C676" s="26" t="s">
        <v>1187</v>
      </c>
      <c r="D676" s="28">
        <v>5191</v>
      </c>
      <c r="E676" s="26" t="s">
        <v>18</v>
      </c>
      <c r="F676" s="26"/>
      <c r="G676" s="29">
        <v>12.1</v>
      </c>
      <c r="H676" s="26">
        <v>80</v>
      </c>
      <c r="I676" s="26">
        <v>78</v>
      </c>
      <c r="J676" s="33">
        <f t="shared" si="33"/>
        <v>79</v>
      </c>
      <c r="K676" s="26"/>
      <c r="L676" s="33"/>
      <c r="M676" s="38">
        <f t="shared" si="31"/>
        <v>12.1</v>
      </c>
      <c r="N676" s="39">
        <f t="shared" si="32"/>
        <v>5.9310344939999995</v>
      </c>
      <c r="O676" s="26"/>
      <c r="P676" s="31" t="s">
        <v>19</v>
      </c>
    </row>
    <row r="677" spans="1:16" x14ac:dyDescent="0.25">
      <c r="A677" s="26">
        <v>676</v>
      </c>
      <c r="B677" s="26" t="s">
        <v>1188</v>
      </c>
      <c r="C677" s="26" t="s">
        <v>1189</v>
      </c>
      <c r="D677" s="28" t="s">
        <v>1190</v>
      </c>
      <c r="E677" s="26" t="s">
        <v>18</v>
      </c>
      <c r="F677" s="26"/>
      <c r="G677" s="29">
        <v>6.2</v>
      </c>
      <c r="H677" s="26">
        <v>94</v>
      </c>
      <c r="I677" s="26">
        <v>90</v>
      </c>
      <c r="J677" s="33">
        <f t="shared" si="33"/>
        <v>92</v>
      </c>
      <c r="K677" s="26"/>
      <c r="L677" s="33"/>
      <c r="M677" s="38">
        <f t="shared" si="31"/>
        <v>6.2</v>
      </c>
      <c r="N677" s="39">
        <f t="shared" si="32"/>
        <v>4.1215278720000006</v>
      </c>
      <c r="O677" s="26"/>
      <c r="P677" s="31" t="s">
        <v>19</v>
      </c>
    </row>
    <row r="678" spans="1:16" x14ac:dyDescent="0.25">
      <c r="A678" s="26">
        <v>677</v>
      </c>
      <c r="B678" s="26" t="s">
        <v>1191</v>
      </c>
      <c r="C678" s="26" t="s">
        <v>1192</v>
      </c>
      <c r="D678" s="28">
        <v>5006</v>
      </c>
      <c r="E678" s="26" t="s">
        <v>18</v>
      </c>
      <c r="F678" s="26"/>
      <c r="G678" s="29">
        <v>10</v>
      </c>
      <c r="H678" s="26">
        <v>130</v>
      </c>
      <c r="I678" s="26">
        <v>115</v>
      </c>
      <c r="J678" s="33">
        <f t="shared" si="33"/>
        <v>122</v>
      </c>
      <c r="K678" s="26">
        <v>0.5</v>
      </c>
      <c r="L678" s="33"/>
      <c r="M678" s="38">
        <f t="shared" si="31"/>
        <v>9.5</v>
      </c>
      <c r="N678" s="39">
        <f t="shared" si="32"/>
        <v>11.105398919999999</v>
      </c>
      <c r="O678" s="26" t="s">
        <v>21</v>
      </c>
      <c r="P678" s="31" t="s">
        <v>19</v>
      </c>
    </row>
    <row r="679" spans="1:16" x14ac:dyDescent="0.25">
      <c r="A679" s="26">
        <v>678</v>
      </c>
      <c r="B679" s="26" t="s">
        <v>1193</v>
      </c>
      <c r="C679" s="26" t="s">
        <v>1194</v>
      </c>
      <c r="D679" s="28">
        <v>5192</v>
      </c>
      <c r="E679" s="26" t="s">
        <v>18</v>
      </c>
      <c r="F679" s="26"/>
      <c r="G679" s="29">
        <v>11.2</v>
      </c>
      <c r="H679" s="26">
        <v>86</v>
      </c>
      <c r="I679" s="26">
        <v>77</v>
      </c>
      <c r="J679" s="33">
        <f t="shared" si="33"/>
        <v>81</v>
      </c>
      <c r="K679" s="26">
        <v>0.5</v>
      </c>
      <c r="L679" s="33"/>
      <c r="M679" s="38">
        <f t="shared" si="31"/>
        <v>10.7</v>
      </c>
      <c r="N679" s="39">
        <f t="shared" si="32"/>
        <v>5.5137200579999996</v>
      </c>
      <c r="O679" s="26" t="s">
        <v>21</v>
      </c>
      <c r="P679" s="31" t="s">
        <v>19</v>
      </c>
    </row>
    <row r="680" spans="1:16" x14ac:dyDescent="0.25">
      <c r="A680" s="26">
        <v>679</v>
      </c>
      <c r="B680" s="26" t="s">
        <v>1195</v>
      </c>
      <c r="C680" s="26" t="s">
        <v>1196</v>
      </c>
      <c r="D680" s="28">
        <v>865</v>
      </c>
      <c r="E680" s="26" t="s">
        <v>18</v>
      </c>
      <c r="F680" s="26"/>
      <c r="G680" s="29">
        <v>6.1</v>
      </c>
      <c r="H680" s="26">
        <v>78</v>
      </c>
      <c r="I680" s="26">
        <v>76</v>
      </c>
      <c r="J680" s="33">
        <f t="shared" si="33"/>
        <v>77</v>
      </c>
      <c r="K680" s="26"/>
      <c r="L680" s="33"/>
      <c r="M680" s="38">
        <f t="shared" si="31"/>
        <v>6.1</v>
      </c>
      <c r="N680" s="39">
        <f t="shared" si="32"/>
        <v>2.840548326</v>
      </c>
      <c r="O680" s="26"/>
      <c r="P680" s="31" t="s">
        <v>19</v>
      </c>
    </row>
    <row r="681" spans="1:16" x14ac:dyDescent="0.25">
      <c r="A681" s="26">
        <v>680</v>
      </c>
      <c r="B681" s="26" t="s">
        <v>1197</v>
      </c>
      <c r="C681" s="26" t="s">
        <v>1198</v>
      </c>
      <c r="D681" s="28">
        <v>5007</v>
      </c>
      <c r="E681" s="26" t="s">
        <v>18</v>
      </c>
      <c r="F681" s="26"/>
      <c r="G681" s="29">
        <v>11.8</v>
      </c>
      <c r="H681" s="26">
        <v>93</v>
      </c>
      <c r="I681" s="26">
        <v>79</v>
      </c>
      <c r="J681" s="33">
        <f t="shared" si="33"/>
        <v>86</v>
      </c>
      <c r="K681" s="26"/>
      <c r="L681" s="33"/>
      <c r="M681" s="38">
        <f t="shared" si="31"/>
        <v>11.8</v>
      </c>
      <c r="N681" s="39">
        <f t="shared" si="32"/>
        <v>6.8544057120000002</v>
      </c>
      <c r="O681" s="26"/>
      <c r="P681" s="31" t="s">
        <v>19</v>
      </c>
    </row>
    <row r="682" spans="1:16" x14ac:dyDescent="0.25">
      <c r="A682" s="26">
        <v>681</v>
      </c>
      <c r="B682" s="26" t="s">
        <v>1199</v>
      </c>
      <c r="C682" s="26" t="s">
        <v>1200</v>
      </c>
      <c r="D682" s="28">
        <v>5193</v>
      </c>
      <c r="E682" s="26" t="s">
        <v>18</v>
      </c>
      <c r="F682" s="26"/>
      <c r="G682" s="29">
        <v>6.1</v>
      </c>
      <c r="H682" s="26">
        <v>79</v>
      </c>
      <c r="I682" s="26">
        <v>77</v>
      </c>
      <c r="J682" s="33">
        <f t="shared" si="33"/>
        <v>78</v>
      </c>
      <c r="K682" s="26">
        <v>0.3</v>
      </c>
      <c r="L682" s="33"/>
      <c r="M682" s="38">
        <f t="shared" si="31"/>
        <v>5.8</v>
      </c>
      <c r="N682" s="39">
        <f t="shared" si="32"/>
        <v>2.7714566879999998</v>
      </c>
      <c r="O682" s="26" t="s">
        <v>21</v>
      </c>
      <c r="P682" s="31" t="s">
        <v>19</v>
      </c>
    </row>
    <row r="683" spans="1:16" x14ac:dyDescent="0.25">
      <c r="A683" s="26">
        <v>682</v>
      </c>
      <c r="B683" s="26" t="s">
        <v>1201</v>
      </c>
      <c r="C683" s="26" t="s">
        <v>1202</v>
      </c>
      <c r="D683" s="28" t="s">
        <v>1203</v>
      </c>
      <c r="E683" s="26" t="s">
        <v>18</v>
      </c>
      <c r="F683" s="26"/>
      <c r="G683" s="29">
        <v>10.4</v>
      </c>
      <c r="H683" s="26">
        <v>103</v>
      </c>
      <c r="I683" s="26">
        <v>93</v>
      </c>
      <c r="J683" s="33">
        <f t="shared" si="33"/>
        <v>98</v>
      </c>
      <c r="K683" s="26"/>
      <c r="L683" s="33"/>
      <c r="M683" s="38">
        <f t="shared" si="31"/>
        <v>10.4</v>
      </c>
      <c r="N683" s="39">
        <f t="shared" si="32"/>
        <v>7.844700864</v>
      </c>
      <c r="O683" s="26"/>
      <c r="P683" s="31" t="s">
        <v>30</v>
      </c>
    </row>
    <row r="684" spans="1:16" x14ac:dyDescent="0.25">
      <c r="A684" s="26">
        <v>683</v>
      </c>
      <c r="B684" s="26" t="s">
        <v>1204</v>
      </c>
      <c r="C684" s="26" t="s">
        <v>1205</v>
      </c>
      <c r="D684" s="28" t="s">
        <v>1206</v>
      </c>
      <c r="E684" s="26" t="s">
        <v>18</v>
      </c>
      <c r="F684" s="26"/>
      <c r="G684" s="29">
        <v>9.3000000000000007</v>
      </c>
      <c r="H684" s="26">
        <v>93</v>
      </c>
      <c r="I684" s="26">
        <v>93</v>
      </c>
      <c r="J684" s="33">
        <f t="shared" si="33"/>
        <v>93</v>
      </c>
      <c r="K684" s="26">
        <v>0.5</v>
      </c>
      <c r="L684" s="33"/>
      <c r="M684" s="38">
        <f t="shared" si="31"/>
        <v>8.8000000000000007</v>
      </c>
      <c r="N684" s="39">
        <f t="shared" si="32"/>
        <v>5.9777736480000003</v>
      </c>
      <c r="O684" s="26" t="s">
        <v>1007</v>
      </c>
      <c r="P684" s="31" t="s">
        <v>19</v>
      </c>
    </row>
    <row r="685" spans="1:16" x14ac:dyDescent="0.25">
      <c r="A685" s="26">
        <v>684</v>
      </c>
      <c r="B685" s="26" t="s">
        <v>1207</v>
      </c>
      <c r="C685" s="26" t="s">
        <v>1208</v>
      </c>
      <c r="D685" s="28" t="s">
        <v>1209</v>
      </c>
      <c r="E685" s="26" t="s">
        <v>18</v>
      </c>
      <c r="F685" s="26"/>
      <c r="G685" s="29">
        <v>13.3</v>
      </c>
      <c r="H685" s="26">
        <v>115</v>
      </c>
      <c r="I685" s="26">
        <v>100</v>
      </c>
      <c r="J685" s="33">
        <f t="shared" si="33"/>
        <v>107</v>
      </c>
      <c r="K685" s="26">
        <v>1</v>
      </c>
      <c r="L685" s="33"/>
      <c r="M685" s="38">
        <f t="shared" si="31"/>
        <v>12.3</v>
      </c>
      <c r="N685" s="39">
        <f t="shared" si="32"/>
        <v>11.060214858</v>
      </c>
      <c r="O685" s="26" t="s">
        <v>53</v>
      </c>
      <c r="P685" s="31" t="s">
        <v>19</v>
      </c>
    </row>
    <row r="686" spans="1:16" x14ac:dyDescent="0.25">
      <c r="A686" s="26">
        <v>685</v>
      </c>
      <c r="B686" s="26" t="s">
        <v>1210</v>
      </c>
      <c r="C686" s="26" t="s">
        <v>1211</v>
      </c>
      <c r="D686" s="28" t="s">
        <v>1212</v>
      </c>
      <c r="E686" s="26" t="s">
        <v>18</v>
      </c>
      <c r="F686" s="26"/>
      <c r="G686" s="29">
        <v>11.5</v>
      </c>
      <c r="H686" s="26">
        <v>133</v>
      </c>
      <c r="I686" s="26">
        <v>115</v>
      </c>
      <c r="J686" s="33">
        <f t="shared" si="33"/>
        <v>124</v>
      </c>
      <c r="K686" s="26"/>
      <c r="L686" s="33"/>
      <c r="M686" s="38">
        <f t="shared" si="31"/>
        <v>11.5</v>
      </c>
      <c r="N686" s="39">
        <f t="shared" si="32"/>
        <v>13.887756959999999</v>
      </c>
      <c r="O686" s="26"/>
      <c r="P686" s="31" t="s">
        <v>30</v>
      </c>
    </row>
    <row r="687" spans="1:16" x14ac:dyDescent="0.25">
      <c r="A687" s="26">
        <v>686</v>
      </c>
      <c r="B687" s="26" t="s">
        <v>1213</v>
      </c>
      <c r="C687" s="26" t="s">
        <v>1214</v>
      </c>
      <c r="D687" s="28" t="s">
        <v>1215</v>
      </c>
      <c r="E687" s="26" t="s">
        <v>18</v>
      </c>
      <c r="F687" s="26"/>
      <c r="G687" s="29">
        <v>11.4</v>
      </c>
      <c r="H687" s="26">
        <v>118</v>
      </c>
      <c r="I687" s="26">
        <v>113</v>
      </c>
      <c r="J687" s="33">
        <f t="shared" si="33"/>
        <v>115</v>
      </c>
      <c r="K687" s="26">
        <v>0.3</v>
      </c>
      <c r="L687" s="33"/>
      <c r="M687" s="38">
        <f t="shared" si="31"/>
        <v>11.1</v>
      </c>
      <c r="N687" s="39">
        <f t="shared" si="32"/>
        <v>11.52947565</v>
      </c>
      <c r="O687" s="26" t="s">
        <v>1007</v>
      </c>
      <c r="P687" s="31" t="s">
        <v>19</v>
      </c>
    </row>
    <row r="688" spans="1:16" x14ac:dyDescent="0.25">
      <c r="A688" s="26">
        <v>687</v>
      </c>
      <c r="B688" s="26" t="s">
        <v>1216</v>
      </c>
      <c r="C688" s="26" t="s">
        <v>1217</v>
      </c>
      <c r="D688" s="28">
        <v>5009</v>
      </c>
      <c r="E688" s="26" t="s">
        <v>18</v>
      </c>
      <c r="F688" s="26"/>
      <c r="G688" s="29">
        <v>11.3</v>
      </c>
      <c r="H688" s="26">
        <v>110</v>
      </c>
      <c r="I688" s="26">
        <v>111</v>
      </c>
      <c r="J688" s="33">
        <f t="shared" si="33"/>
        <v>110</v>
      </c>
      <c r="K688" s="26"/>
      <c r="L688" s="33"/>
      <c r="M688" s="38">
        <f t="shared" si="31"/>
        <v>11.3</v>
      </c>
      <c r="N688" s="39">
        <f t="shared" si="32"/>
        <v>10.7387742</v>
      </c>
      <c r="O688" s="26"/>
      <c r="P688" s="31" t="s">
        <v>19</v>
      </c>
    </row>
    <row r="689" spans="1:16" x14ac:dyDescent="0.25">
      <c r="A689" s="26">
        <v>688</v>
      </c>
      <c r="B689" s="26" t="s">
        <v>1218</v>
      </c>
      <c r="C689" s="26" t="s">
        <v>1219</v>
      </c>
      <c r="D689" s="28" t="s">
        <v>1220</v>
      </c>
      <c r="E689" s="26" t="s">
        <v>18</v>
      </c>
      <c r="F689" s="26"/>
      <c r="G689" s="29">
        <v>11</v>
      </c>
      <c r="H689" s="26">
        <v>111</v>
      </c>
      <c r="I689" s="26">
        <v>103</v>
      </c>
      <c r="J689" s="33">
        <f t="shared" si="33"/>
        <v>107</v>
      </c>
      <c r="K689" s="26">
        <v>1</v>
      </c>
      <c r="L689" s="33"/>
      <c r="M689" s="38">
        <f t="shared" si="31"/>
        <v>10</v>
      </c>
      <c r="N689" s="39">
        <f t="shared" si="32"/>
        <v>8.9920445999999998</v>
      </c>
      <c r="O689" s="26" t="s">
        <v>53</v>
      </c>
      <c r="P689" s="31" t="s">
        <v>30</v>
      </c>
    </row>
    <row r="690" spans="1:16" x14ac:dyDescent="0.25">
      <c r="A690" s="26">
        <v>689</v>
      </c>
      <c r="B690" s="26" t="s">
        <v>1221</v>
      </c>
      <c r="C690" s="26" t="s">
        <v>1222</v>
      </c>
      <c r="D690" s="28" t="s">
        <v>1223</v>
      </c>
      <c r="E690" s="26" t="s">
        <v>18</v>
      </c>
      <c r="F690" s="26"/>
      <c r="G690" s="29">
        <v>5</v>
      </c>
      <c r="H690" s="26">
        <v>104</v>
      </c>
      <c r="I690" s="26">
        <v>100</v>
      </c>
      <c r="J690" s="33">
        <f t="shared" si="33"/>
        <v>102</v>
      </c>
      <c r="K690" s="26">
        <v>0.3</v>
      </c>
      <c r="L690" s="33"/>
      <c r="M690" s="38">
        <f t="shared" si="31"/>
        <v>4.7</v>
      </c>
      <c r="N690" s="39">
        <f t="shared" si="32"/>
        <v>3.8405117519999998</v>
      </c>
      <c r="O690" s="26" t="s">
        <v>1007</v>
      </c>
      <c r="P690" s="31" t="s">
        <v>19</v>
      </c>
    </row>
    <row r="691" spans="1:16" x14ac:dyDescent="0.25">
      <c r="A691" s="26">
        <v>690</v>
      </c>
      <c r="B691" s="26" t="s">
        <v>1224</v>
      </c>
      <c r="C691" s="26" t="s">
        <v>1225</v>
      </c>
      <c r="D691" s="28" t="s">
        <v>1226</v>
      </c>
      <c r="E691" s="26" t="s">
        <v>18</v>
      </c>
      <c r="F691" s="26"/>
      <c r="G691" s="29">
        <v>11.3</v>
      </c>
      <c r="H691" s="26">
        <v>104</v>
      </c>
      <c r="I691" s="26">
        <v>101</v>
      </c>
      <c r="J691" s="33">
        <f t="shared" si="33"/>
        <v>102</v>
      </c>
      <c r="K691" s="26"/>
      <c r="L691" s="33"/>
      <c r="M691" s="38">
        <f t="shared" si="31"/>
        <v>11.3</v>
      </c>
      <c r="N691" s="39">
        <f t="shared" si="32"/>
        <v>9.2335708080000014</v>
      </c>
      <c r="O691" s="26"/>
      <c r="P691" s="31" t="s">
        <v>19</v>
      </c>
    </row>
    <row r="692" spans="1:16" x14ac:dyDescent="0.25">
      <c r="A692" s="26">
        <v>691</v>
      </c>
      <c r="B692" s="26" t="s">
        <v>1227</v>
      </c>
      <c r="C692" s="26" t="s">
        <v>1228</v>
      </c>
      <c r="D692" s="28">
        <v>4984</v>
      </c>
      <c r="E692" s="26" t="s">
        <v>18</v>
      </c>
      <c r="F692" s="26"/>
      <c r="G692" s="29">
        <v>10.3</v>
      </c>
      <c r="H692" s="26">
        <v>80</v>
      </c>
      <c r="I692" s="26">
        <v>70</v>
      </c>
      <c r="J692" s="33">
        <f t="shared" si="33"/>
        <v>75</v>
      </c>
      <c r="K692" s="26"/>
      <c r="L692" s="33"/>
      <c r="M692" s="38">
        <f t="shared" si="31"/>
        <v>10.3</v>
      </c>
      <c r="N692" s="39">
        <f t="shared" si="32"/>
        <v>4.5504112500000007</v>
      </c>
      <c r="O692" s="26"/>
      <c r="P692" s="31" t="s">
        <v>19</v>
      </c>
    </row>
    <row r="693" spans="1:16" x14ac:dyDescent="0.25">
      <c r="A693" s="26">
        <v>692</v>
      </c>
      <c r="B693" s="26" t="s">
        <v>1229</v>
      </c>
      <c r="C693" s="26" t="s">
        <v>1230</v>
      </c>
      <c r="D693" s="28" t="s">
        <v>1231</v>
      </c>
      <c r="E693" s="26" t="s">
        <v>18</v>
      </c>
      <c r="F693" s="26"/>
      <c r="G693" s="29">
        <v>5.9</v>
      </c>
      <c r="H693" s="26">
        <v>70</v>
      </c>
      <c r="I693" s="26">
        <v>68</v>
      </c>
      <c r="J693" s="33">
        <f t="shared" si="33"/>
        <v>69</v>
      </c>
      <c r="K693" s="26">
        <v>0.5</v>
      </c>
      <c r="L693" s="33"/>
      <c r="M693" s="38">
        <f t="shared" si="31"/>
        <v>5.4</v>
      </c>
      <c r="N693" s="39">
        <f t="shared" si="32"/>
        <v>2.0192162759999999</v>
      </c>
      <c r="O693" s="26" t="s">
        <v>53</v>
      </c>
      <c r="P693" s="31" t="s">
        <v>19</v>
      </c>
    </row>
    <row r="694" spans="1:16" x14ac:dyDescent="0.25">
      <c r="A694" s="26">
        <v>693</v>
      </c>
      <c r="B694" s="26" t="s">
        <v>1232</v>
      </c>
      <c r="C694" s="26" t="s">
        <v>1233</v>
      </c>
      <c r="D694" s="28" t="s">
        <v>1234</v>
      </c>
      <c r="E694" s="26" t="s">
        <v>18</v>
      </c>
      <c r="F694" s="26"/>
      <c r="G694" s="29">
        <v>11.6</v>
      </c>
      <c r="H694" s="26">
        <v>120</v>
      </c>
      <c r="I694" s="26">
        <v>101</v>
      </c>
      <c r="J694" s="33">
        <f t="shared" si="33"/>
        <v>110</v>
      </c>
      <c r="K694" s="26"/>
      <c r="L694" s="33"/>
      <c r="M694" s="38">
        <f t="shared" si="31"/>
        <v>11.6</v>
      </c>
      <c r="N694" s="39">
        <f t="shared" si="32"/>
        <v>11.023874399999999</v>
      </c>
      <c r="O694" s="26"/>
      <c r="P694" s="31" t="s">
        <v>19</v>
      </c>
    </row>
    <row r="695" spans="1:16" x14ac:dyDescent="0.25">
      <c r="A695" s="26">
        <v>694</v>
      </c>
      <c r="B695" s="26" t="s">
        <v>1235</v>
      </c>
      <c r="C695" s="26" t="s">
        <v>1236</v>
      </c>
      <c r="D695" s="28" t="s">
        <v>1237</v>
      </c>
      <c r="E695" s="26" t="s">
        <v>18</v>
      </c>
      <c r="F695" s="26"/>
      <c r="G695" s="29">
        <v>9.5</v>
      </c>
      <c r="H695" s="26">
        <v>100</v>
      </c>
      <c r="I695" s="26">
        <v>99</v>
      </c>
      <c r="J695" s="33">
        <f t="shared" si="33"/>
        <v>99</v>
      </c>
      <c r="K695" s="26"/>
      <c r="L695" s="33"/>
      <c r="M695" s="38">
        <f t="shared" si="31"/>
        <v>9.5</v>
      </c>
      <c r="N695" s="39">
        <f t="shared" si="32"/>
        <v>7.3128201300000004</v>
      </c>
      <c r="O695" s="26"/>
      <c r="P695" s="31" t="s">
        <v>19</v>
      </c>
    </row>
    <row r="696" spans="1:16" x14ac:dyDescent="0.25">
      <c r="A696" s="26">
        <v>695</v>
      </c>
      <c r="B696" s="26" t="s">
        <v>1238</v>
      </c>
      <c r="C696" s="26" t="s">
        <v>1239</v>
      </c>
      <c r="D696" s="28" t="s">
        <v>1240</v>
      </c>
      <c r="E696" s="26" t="s">
        <v>18</v>
      </c>
      <c r="F696" s="26"/>
      <c r="G696" s="29">
        <v>10.199999999999999</v>
      </c>
      <c r="H696" s="26">
        <v>101</v>
      </c>
      <c r="I696" s="26">
        <v>87</v>
      </c>
      <c r="J696" s="33">
        <f t="shared" si="33"/>
        <v>94</v>
      </c>
      <c r="K696" s="26">
        <v>1</v>
      </c>
      <c r="L696" s="33"/>
      <c r="M696" s="38">
        <f t="shared" si="31"/>
        <v>9.1999999999999993</v>
      </c>
      <c r="N696" s="39">
        <f t="shared" si="32"/>
        <v>6.3846108479999995</v>
      </c>
      <c r="O696" s="26" t="s">
        <v>53</v>
      </c>
      <c r="P696" s="31" t="s">
        <v>19</v>
      </c>
    </row>
    <row r="697" spans="1:16" x14ac:dyDescent="0.25">
      <c r="A697" s="26">
        <v>696</v>
      </c>
      <c r="B697" s="26" t="s">
        <v>1241</v>
      </c>
      <c r="C697" s="26" t="s">
        <v>1242</v>
      </c>
      <c r="D697" s="28" t="s">
        <v>1243</v>
      </c>
      <c r="E697" s="26" t="s">
        <v>18</v>
      </c>
      <c r="F697" s="26"/>
      <c r="G697" s="29">
        <v>6.1</v>
      </c>
      <c r="H697" s="26">
        <v>87</v>
      </c>
      <c r="I697" s="26">
        <v>87</v>
      </c>
      <c r="J697" s="33">
        <f t="shared" si="33"/>
        <v>87</v>
      </c>
      <c r="K697" s="26"/>
      <c r="L697" s="33"/>
      <c r="M697" s="38">
        <f t="shared" si="31"/>
        <v>6.1</v>
      </c>
      <c r="N697" s="39">
        <f t="shared" si="32"/>
        <v>3.6262624859999995</v>
      </c>
      <c r="O697" s="26"/>
      <c r="P697" s="31" t="s">
        <v>19</v>
      </c>
    </row>
    <row r="698" spans="1:16" x14ac:dyDescent="0.25">
      <c r="A698" s="26">
        <v>697</v>
      </c>
      <c r="B698" s="26" t="s">
        <v>1244</v>
      </c>
      <c r="C698" s="26" t="s">
        <v>1245</v>
      </c>
      <c r="D698" s="28" t="s">
        <v>1246</v>
      </c>
      <c r="E698" s="26" t="s">
        <v>18</v>
      </c>
      <c r="F698" s="26"/>
      <c r="G698" s="29">
        <v>11.7</v>
      </c>
      <c r="H698" s="26">
        <v>142</v>
      </c>
      <c r="I698" s="26">
        <v>131</v>
      </c>
      <c r="J698" s="33">
        <f t="shared" si="33"/>
        <v>136</v>
      </c>
      <c r="K698" s="26"/>
      <c r="L698" s="33"/>
      <c r="M698" s="38">
        <f t="shared" si="31"/>
        <v>11.7</v>
      </c>
      <c r="N698" s="39">
        <f t="shared" si="32"/>
        <v>16.996307327999997</v>
      </c>
      <c r="O698" s="26"/>
      <c r="P698" s="31" t="s">
        <v>30</v>
      </c>
    </row>
    <row r="699" spans="1:16" x14ac:dyDescent="0.25">
      <c r="A699" s="26">
        <v>698</v>
      </c>
      <c r="B699" s="26" t="s">
        <v>1247</v>
      </c>
      <c r="C699" s="26" t="s">
        <v>1248</v>
      </c>
      <c r="D699" s="28">
        <v>1583</v>
      </c>
      <c r="E699" s="26" t="s">
        <v>18</v>
      </c>
      <c r="F699" s="26"/>
      <c r="G699" s="29">
        <v>11.4</v>
      </c>
      <c r="H699" s="26">
        <v>136</v>
      </c>
      <c r="I699" s="26">
        <v>131</v>
      </c>
      <c r="J699" s="33">
        <f t="shared" si="33"/>
        <v>133</v>
      </c>
      <c r="K699" s="26"/>
      <c r="L699" s="33"/>
      <c r="M699" s="38">
        <f t="shared" si="31"/>
        <v>11.4</v>
      </c>
      <c r="N699" s="39">
        <f t="shared" si="32"/>
        <v>15.837952283999998</v>
      </c>
      <c r="O699" s="26"/>
      <c r="P699" s="31" t="s">
        <v>19</v>
      </c>
    </row>
    <row r="700" spans="1:16" x14ac:dyDescent="0.25">
      <c r="A700" s="26">
        <v>699</v>
      </c>
      <c r="B700" s="26" t="s">
        <v>1249</v>
      </c>
      <c r="C700" s="26" t="s">
        <v>1250</v>
      </c>
      <c r="D700" s="28" t="s">
        <v>1251</v>
      </c>
      <c r="E700" s="26" t="s">
        <v>18</v>
      </c>
      <c r="F700" s="26"/>
      <c r="G700" s="29">
        <v>11.8</v>
      </c>
      <c r="H700" s="26">
        <v>110</v>
      </c>
      <c r="I700" s="26">
        <v>101</v>
      </c>
      <c r="J700" s="33">
        <f t="shared" si="33"/>
        <v>105</v>
      </c>
      <c r="K700" s="26"/>
      <c r="L700" s="33"/>
      <c r="M700" s="38">
        <f t="shared" si="31"/>
        <v>11.8</v>
      </c>
      <c r="N700" s="39">
        <f t="shared" si="32"/>
        <v>10.217661300000001</v>
      </c>
      <c r="O700" s="26"/>
      <c r="P700" s="31" t="s">
        <v>19</v>
      </c>
    </row>
    <row r="701" spans="1:16" x14ac:dyDescent="0.25">
      <c r="A701" s="26">
        <v>700</v>
      </c>
      <c r="B701" s="26" t="s">
        <v>1252</v>
      </c>
      <c r="C701" s="26" t="s">
        <v>1253</v>
      </c>
      <c r="D701" s="28" t="s">
        <v>1254</v>
      </c>
      <c r="E701" s="26" t="s">
        <v>18</v>
      </c>
      <c r="F701" s="26"/>
      <c r="G701" s="29">
        <v>12.2</v>
      </c>
      <c r="H701" s="26">
        <v>102</v>
      </c>
      <c r="I701" s="26">
        <v>100</v>
      </c>
      <c r="J701" s="33">
        <f t="shared" si="33"/>
        <v>101</v>
      </c>
      <c r="K701" s="26"/>
      <c r="L701" s="33"/>
      <c r="M701" s="38">
        <f t="shared" si="31"/>
        <v>12.2</v>
      </c>
      <c r="N701" s="39">
        <f t="shared" si="32"/>
        <v>9.7744757879999984</v>
      </c>
      <c r="O701" s="26"/>
      <c r="P701" s="31" t="s">
        <v>30</v>
      </c>
    </row>
    <row r="702" spans="1:16" x14ac:dyDescent="0.25">
      <c r="A702" s="26">
        <v>701</v>
      </c>
      <c r="B702" s="26" t="s">
        <v>1255</v>
      </c>
      <c r="C702" s="26" t="s">
        <v>1256</v>
      </c>
      <c r="D702" s="28" t="s">
        <v>1257</v>
      </c>
      <c r="E702" s="26" t="s">
        <v>18</v>
      </c>
      <c r="F702" s="26"/>
      <c r="G702" s="29">
        <v>11.8</v>
      </c>
      <c r="H702" s="26">
        <v>99</v>
      </c>
      <c r="I702" s="26">
        <v>92</v>
      </c>
      <c r="J702" s="33">
        <f t="shared" si="33"/>
        <v>95</v>
      </c>
      <c r="K702" s="26"/>
      <c r="L702" s="33"/>
      <c r="M702" s="38">
        <f t="shared" si="31"/>
        <v>11.8</v>
      </c>
      <c r="N702" s="39">
        <f t="shared" si="32"/>
        <v>8.3641173000000002</v>
      </c>
      <c r="O702" s="26"/>
      <c r="P702" s="31" t="s">
        <v>19</v>
      </c>
    </row>
    <row r="703" spans="1:16" x14ac:dyDescent="0.25">
      <c r="A703" s="26">
        <v>702</v>
      </c>
      <c r="B703" s="26" t="s">
        <v>1258</v>
      </c>
      <c r="C703" s="26" t="s">
        <v>1259</v>
      </c>
      <c r="D703" s="28" t="s">
        <v>1260</v>
      </c>
      <c r="E703" s="26" t="s">
        <v>18</v>
      </c>
      <c r="F703" s="26"/>
      <c r="G703" s="29">
        <v>12.8</v>
      </c>
      <c r="H703" s="26">
        <v>106</v>
      </c>
      <c r="I703" s="26">
        <v>88</v>
      </c>
      <c r="J703" s="33">
        <f t="shared" si="33"/>
        <v>97</v>
      </c>
      <c r="K703" s="26"/>
      <c r="L703" s="33"/>
      <c r="M703" s="38">
        <f t="shared" si="31"/>
        <v>12.8</v>
      </c>
      <c r="N703" s="39">
        <f t="shared" si="32"/>
        <v>9.458980608000001</v>
      </c>
      <c r="O703" s="26"/>
      <c r="P703" s="31" t="s">
        <v>19</v>
      </c>
    </row>
    <row r="704" spans="1:16" x14ac:dyDescent="0.25">
      <c r="A704" s="26">
        <v>703</v>
      </c>
      <c r="B704" s="26" t="s">
        <v>1261</v>
      </c>
      <c r="C704" s="26" t="s">
        <v>1262</v>
      </c>
      <c r="D704" s="28" t="s">
        <v>1263</v>
      </c>
      <c r="E704" s="26" t="s">
        <v>18</v>
      </c>
      <c r="F704" s="26"/>
      <c r="G704" s="29">
        <v>10.1</v>
      </c>
      <c r="H704" s="26">
        <v>88</v>
      </c>
      <c r="I704" s="26">
        <v>77</v>
      </c>
      <c r="J704" s="33">
        <f t="shared" si="33"/>
        <v>82</v>
      </c>
      <c r="K704" s="26">
        <v>0.5</v>
      </c>
      <c r="L704" s="33"/>
      <c r="M704" s="38">
        <f t="shared" si="31"/>
        <v>9.6</v>
      </c>
      <c r="N704" s="39">
        <f t="shared" si="32"/>
        <v>5.0697884159999997</v>
      </c>
      <c r="O704" s="26" t="s">
        <v>35</v>
      </c>
      <c r="P704" s="31" t="s">
        <v>30</v>
      </c>
    </row>
    <row r="705" spans="1:16" x14ac:dyDescent="0.25">
      <c r="A705" s="26">
        <v>704</v>
      </c>
      <c r="B705" s="26" t="s">
        <v>1264</v>
      </c>
      <c r="C705" s="26" t="s">
        <v>1265</v>
      </c>
      <c r="D705" s="28" t="s">
        <v>1266</v>
      </c>
      <c r="E705" s="26" t="s">
        <v>18</v>
      </c>
      <c r="F705" s="26"/>
      <c r="G705" s="29">
        <v>8.3000000000000007</v>
      </c>
      <c r="H705" s="26">
        <v>93</v>
      </c>
      <c r="I705" s="26">
        <v>84</v>
      </c>
      <c r="J705" s="33">
        <f t="shared" si="33"/>
        <v>88</v>
      </c>
      <c r="K705" s="26">
        <v>0.5</v>
      </c>
      <c r="L705" s="33"/>
      <c r="M705" s="38">
        <f t="shared" si="31"/>
        <v>7.8000000000000007</v>
      </c>
      <c r="N705" s="39">
        <f t="shared" si="32"/>
        <v>4.7440673279999999</v>
      </c>
      <c r="O705" s="26" t="s">
        <v>35</v>
      </c>
      <c r="P705" s="31" t="s">
        <v>19</v>
      </c>
    </row>
    <row r="706" spans="1:16" x14ac:dyDescent="0.25">
      <c r="A706" s="26">
        <v>705</v>
      </c>
      <c r="B706" s="26" t="s">
        <v>1267</v>
      </c>
      <c r="C706" s="26" t="s">
        <v>1268</v>
      </c>
      <c r="D706" s="28">
        <v>882</v>
      </c>
      <c r="E706" s="26" t="s">
        <v>18</v>
      </c>
      <c r="F706" s="26"/>
      <c r="G706" s="29">
        <v>8.9</v>
      </c>
      <c r="H706" s="26">
        <v>77</v>
      </c>
      <c r="I706" s="26">
        <v>70</v>
      </c>
      <c r="J706" s="33">
        <f t="shared" si="33"/>
        <v>73</v>
      </c>
      <c r="K706" s="26"/>
      <c r="L706" s="33"/>
      <c r="M706" s="38">
        <f t="shared" ref="M706:M769" si="34">G706-K706</f>
        <v>8.9</v>
      </c>
      <c r="N706" s="39">
        <f t="shared" ref="N706:N769" si="35">J706*J706*M706*0.7854/10000</f>
        <v>3.7250029739999997</v>
      </c>
      <c r="O706" s="26"/>
      <c r="P706" s="31" t="s">
        <v>19</v>
      </c>
    </row>
    <row r="707" spans="1:16" x14ac:dyDescent="0.25">
      <c r="A707" s="26">
        <v>706</v>
      </c>
      <c r="B707" s="26" t="s">
        <v>1269</v>
      </c>
      <c r="C707" s="26" t="s">
        <v>1270</v>
      </c>
      <c r="D707" s="28" t="s">
        <v>1271</v>
      </c>
      <c r="E707" s="26" t="s">
        <v>18</v>
      </c>
      <c r="F707" s="26"/>
      <c r="G707" s="29">
        <v>9.8000000000000007</v>
      </c>
      <c r="H707" s="26">
        <v>76</v>
      </c>
      <c r="I707" s="26">
        <v>65</v>
      </c>
      <c r="J707" s="33">
        <f t="shared" si="33"/>
        <v>70</v>
      </c>
      <c r="K707" s="26">
        <v>0.5</v>
      </c>
      <c r="L707" s="33"/>
      <c r="M707" s="38">
        <f t="shared" si="34"/>
        <v>9.3000000000000007</v>
      </c>
      <c r="N707" s="39">
        <f t="shared" si="35"/>
        <v>3.5790677999999998</v>
      </c>
      <c r="O707" s="26" t="s">
        <v>1007</v>
      </c>
      <c r="P707" s="31" t="s">
        <v>19</v>
      </c>
    </row>
    <row r="708" spans="1:16" x14ac:dyDescent="0.25">
      <c r="A708" s="26">
        <v>707</v>
      </c>
      <c r="B708" s="26" t="s">
        <v>1272</v>
      </c>
      <c r="C708" s="26" t="s">
        <v>1273</v>
      </c>
      <c r="D708" s="28" t="s">
        <v>1274</v>
      </c>
      <c r="E708" s="26" t="s">
        <v>18</v>
      </c>
      <c r="F708" s="26"/>
      <c r="G708" s="29">
        <v>14.2</v>
      </c>
      <c r="H708" s="26">
        <v>82</v>
      </c>
      <c r="I708" s="26">
        <v>65</v>
      </c>
      <c r="J708" s="33">
        <f t="shared" si="33"/>
        <v>73</v>
      </c>
      <c r="K708" s="26">
        <v>0.3</v>
      </c>
      <c r="L708" s="33"/>
      <c r="M708" s="38">
        <f t="shared" si="34"/>
        <v>13.899999999999999</v>
      </c>
      <c r="N708" s="39">
        <f t="shared" si="35"/>
        <v>5.8177012739999991</v>
      </c>
      <c r="O708" s="26" t="s">
        <v>1007</v>
      </c>
      <c r="P708" s="31" t="s">
        <v>19</v>
      </c>
    </row>
    <row r="709" spans="1:16" x14ac:dyDescent="0.25">
      <c r="A709" s="26">
        <v>708</v>
      </c>
      <c r="B709" s="26" t="s">
        <v>1275</v>
      </c>
      <c r="C709" s="26" t="s">
        <v>1276</v>
      </c>
      <c r="D709" s="28" t="s">
        <v>1277</v>
      </c>
      <c r="E709" s="26" t="s">
        <v>18</v>
      </c>
      <c r="F709" s="26"/>
      <c r="G709" s="29">
        <v>13.4</v>
      </c>
      <c r="H709" s="26">
        <v>104</v>
      </c>
      <c r="I709" s="26">
        <v>90</v>
      </c>
      <c r="J709" s="33">
        <f t="shared" si="33"/>
        <v>97</v>
      </c>
      <c r="K709" s="26"/>
      <c r="L709" s="33"/>
      <c r="M709" s="38">
        <f t="shared" si="34"/>
        <v>13.4</v>
      </c>
      <c r="N709" s="39">
        <f t="shared" si="35"/>
        <v>9.9023703239999996</v>
      </c>
      <c r="O709" s="26"/>
      <c r="P709" s="31" t="s">
        <v>19</v>
      </c>
    </row>
    <row r="710" spans="1:16" x14ac:dyDescent="0.25">
      <c r="A710" s="26">
        <v>709</v>
      </c>
      <c r="B710" s="26" t="s">
        <v>1278</v>
      </c>
      <c r="C710" s="26" t="s">
        <v>1279</v>
      </c>
      <c r="D710" s="28" t="s">
        <v>1280</v>
      </c>
      <c r="E710" s="26" t="s">
        <v>18</v>
      </c>
      <c r="F710" s="26"/>
      <c r="G710" s="29">
        <v>6.1</v>
      </c>
      <c r="H710" s="26">
        <v>90</v>
      </c>
      <c r="I710" s="26">
        <v>87</v>
      </c>
      <c r="J710" s="33">
        <f t="shared" si="33"/>
        <v>88</v>
      </c>
      <c r="K710" s="26"/>
      <c r="L710" s="33"/>
      <c r="M710" s="38">
        <f t="shared" si="34"/>
        <v>6.1</v>
      </c>
      <c r="N710" s="39">
        <f t="shared" si="35"/>
        <v>3.7101039359999994</v>
      </c>
      <c r="O710" s="26"/>
      <c r="P710" s="31" t="s">
        <v>19</v>
      </c>
    </row>
    <row r="711" spans="1:16" x14ac:dyDescent="0.25">
      <c r="A711" s="26">
        <v>710</v>
      </c>
      <c r="B711" s="26" t="s">
        <v>1281</v>
      </c>
      <c r="C711" s="26" t="s">
        <v>1282</v>
      </c>
      <c r="D711" s="28" t="s">
        <v>1283</v>
      </c>
      <c r="E711" s="26" t="s">
        <v>18</v>
      </c>
      <c r="F711" s="26"/>
      <c r="G711" s="29">
        <v>12</v>
      </c>
      <c r="H711" s="26">
        <v>85</v>
      </c>
      <c r="I711" s="26">
        <v>81</v>
      </c>
      <c r="J711" s="33">
        <f t="shared" si="33"/>
        <v>83</v>
      </c>
      <c r="K711" s="26"/>
      <c r="L711" s="33"/>
      <c r="M711" s="38">
        <f t="shared" si="34"/>
        <v>12</v>
      </c>
      <c r="N711" s="39">
        <f t="shared" si="35"/>
        <v>6.4927447200000001</v>
      </c>
      <c r="O711" s="26"/>
      <c r="P711" s="31" t="s">
        <v>19</v>
      </c>
    </row>
    <row r="712" spans="1:16" x14ac:dyDescent="0.25">
      <c r="A712" s="26">
        <v>711</v>
      </c>
      <c r="B712" s="26" t="s">
        <v>1284</v>
      </c>
      <c r="C712" s="26" t="s">
        <v>1285</v>
      </c>
      <c r="D712" s="28">
        <v>5095</v>
      </c>
      <c r="E712" s="26" t="s">
        <v>18</v>
      </c>
      <c r="F712" s="26"/>
      <c r="G712" s="29">
        <v>10.4</v>
      </c>
      <c r="H712" s="26">
        <v>117</v>
      </c>
      <c r="I712" s="26">
        <v>90</v>
      </c>
      <c r="J712" s="33">
        <f t="shared" si="33"/>
        <v>103</v>
      </c>
      <c r="K712" s="26"/>
      <c r="L712" s="33"/>
      <c r="M712" s="38">
        <f t="shared" si="34"/>
        <v>10.4</v>
      </c>
      <c r="N712" s="39">
        <f t="shared" si="35"/>
        <v>8.6656009440000012</v>
      </c>
      <c r="O712" s="26"/>
      <c r="P712" s="31" t="s">
        <v>19</v>
      </c>
    </row>
    <row r="713" spans="1:16" x14ac:dyDescent="0.25">
      <c r="A713" s="26">
        <v>712</v>
      </c>
      <c r="B713" s="26" t="s">
        <v>1286</v>
      </c>
      <c r="C713" s="26" t="s">
        <v>1287</v>
      </c>
      <c r="D713" s="28">
        <v>5223</v>
      </c>
      <c r="E713" s="26" t="s">
        <v>18</v>
      </c>
      <c r="F713" s="26"/>
      <c r="G713" s="29">
        <v>11.2</v>
      </c>
      <c r="H713" s="26">
        <v>85</v>
      </c>
      <c r="I713" s="26">
        <v>75</v>
      </c>
      <c r="J713" s="33">
        <f t="shared" si="33"/>
        <v>80</v>
      </c>
      <c r="K713" s="26">
        <v>0.5</v>
      </c>
      <c r="L713" s="33"/>
      <c r="M713" s="38">
        <f t="shared" si="34"/>
        <v>10.7</v>
      </c>
      <c r="N713" s="39">
        <f t="shared" si="35"/>
        <v>5.3784192000000006</v>
      </c>
      <c r="O713" s="26" t="s">
        <v>1007</v>
      </c>
      <c r="P713" s="31" t="s">
        <v>30</v>
      </c>
    </row>
    <row r="714" spans="1:16" x14ac:dyDescent="0.25">
      <c r="A714" s="26">
        <v>713</v>
      </c>
      <c r="B714" s="26" t="s">
        <v>1288</v>
      </c>
      <c r="C714" s="26" t="s">
        <v>1289</v>
      </c>
      <c r="D714" s="28" t="s">
        <v>1290</v>
      </c>
      <c r="E714" s="26" t="s">
        <v>18</v>
      </c>
      <c r="F714" s="26"/>
      <c r="G714" s="29">
        <v>11.9</v>
      </c>
      <c r="H714" s="26">
        <v>95</v>
      </c>
      <c r="I714" s="26">
        <v>85</v>
      </c>
      <c r="J714" s="33">
        <f t="shared" si="33"/>
        <v>90</v>
      </c>
      <c r="K714" s="26">
        <v>0.5</v>
      </c>
      <c r="L714" s="33"/>
      <c r="M714" s="38">
        <f t="shared" si="34"/>
        <v>11.4</v>
      </c>
      <c r="N714" s="39">
        <f t="shared" si="35"/>
        <v>7.2523835999999999</v>
      </c>
      <c r="O714" s="26" t="s">
        <v>53</v>
      </c>
      <c r="P714" s="31" t="s">
        <v>19</v>
      </c>
    </row>
    <row r="715" spans="1:16" x14ac:dyDescent="0.25">
      <c r="A715" s="26">
        <v>714</v>
      </c>
      <c r="B715" s="26" t="s">
        <v>1291</v>
      </c>
      <c r="C715" s="26" t="s">
        <v>1292</v>
      </c>
      <c r="D715" s="28" t="s">
        <v>1293</v>
      </c>
      <c r="E715" s="26" t="s">
        <v>18</v>
      </c>
      <c r="F715" s="26"/>
      <c r="G715" s="29">
        <v>9.3000000000000007</v>
      </c>
      <c r="H715" s="26">
        <v>142</v>
      </c>
      <c r="I715" s="26">
        <v>140</v>
      </c>
      <c r="J715" s="33">
        <f t="shared" si="33"/>
        <v>141</v>
      </c>
      <c r="K715" s="26">
        <v>0.5</v>
      </c>
      <c r="L715" s="33"/>
      <c r="M715" s="38">
        <f t="shared" si="34"/>
        <v>8.8000000000000007</v>
      </c>
      <c r="N715" s="39">
        <f t="shared" si="35"/>
        <v>13.740792912000002</v>
      </c>
      <c r="O715" s="26" t="s">
        <v>35</v>
      </c>
      <c r="P715" s="31" t="s">
        <v>19</v>
      </c>
    </row>
    <row r="716" spans="1:16" x14ac:dyDescent="0.25">
      <c r="A716" s="26">
        <v>715</v>
      </c>
      <c r="B716" s="26" t="s">
        <v>1294</v>
      </c>
      <c r="C716" s="26" t="s">
        <v>1295</v>
      </c>
      <c r="D716" s="28" t="s">
        <v>1296</v>
      </c>
      <c r="E716" s="26" t="s">
        <v>18</v>
      </c>
      <c r="F716" s="26"/>
      <c r="G716" s="29">
        <v>11.9</v>
      </c>
      <c r="H716" s="26">
        <v>103</v>
      </c>
      <c r="I716" s="26">
        <v>80</v>
      </c>
      <c r="J716" s="33">
        <f t="shared" si="33"/>
        <v>91</v>
      </c>
      <c r="K716" s="26"/>
      <c r="L716" s="33"/>
      <c r="M716" s="38">
        <f t="shared" si="34"/>
        <v>11.9</v>
      </c>
      <c r="N716" s="39">
        <f t="shared" si="35"/>
        <v>7.7396379060000005</v>
      </c>
      <c r="O716" s="26"/>
      <c r="P716" s="31" t="s">
        <v>30</v>
      </c>
    </row>
    <row r="717" spans="1:16" x14ac:dyDescent="0.25">
      <c r="A717" s="26">
        <v>716</v>
      </c>
      <c r="B717" s="26" t="s">
        <v>1297</v>
      </c>
      <c r="C717" s="26" t="s">
        <v>1298</v>
      </c>
      <c r="D717" s="28" t="s">
        <v>1299</v>
      </c>
      <c r="E717" s="26" t="s">
        <v>18</v>
      </c>
      <c r="F717" s="26"/>
      <c r="G717" s="29">
        <v>5.2</v>
      </c>
      <c r="H717" s="26">
        <v>80</v>
      </c>
      <c r="I717" s="26">
        <v>76</v>
      </c>
      <c r="J717" s="33">
        <f t="shared" si="33"/>
        <v>78</v>
      </c>
      <c r="K717" s="26"/>
      <c r="L717" s="33"/>
      <c r="M717" s="38">
        <f t="shared" si="34"/>
        <v>5.2</v>
      </c>
      <c r="N717" s="39">
        <f t="shared" si="35"/>
        <v>2.484754272</v>
      </c>
      <c r="O717" s="26"/>
      <c r="P717" s="31" t="s">
        <v>19</v>
      </c>
    </row>
    <row r="718" spans="1:16" x14ac:dyDescent="0.25">
      <c r="A718" s="26">
        <v>717</v>
      </c>
      <c r="B718" s="26" t="s">
        <v>1300</v>
      </c>
      <c r="C718" s="40" t="s">
        <v>1301</v>
      </c>
      <c r="D718" s="28" t="s">
        <v>1302</v>
      </c>
      <c r="E718" s="26" t="s">
        <v>18</v>
      </c>
      <c r="F718" s="26"/>
      <c r="G718" s="29">
        <v>13.2</v>
      </c>
      <c r="H718" s="26">
        <v>95</v>
      </c>
      <c r="I718" s="26">
        <v>81</v>
      </c>
      <c r="J718" s="33">
        <f t="shared" si="33"/>
        <v>88</v>
      </c>
      <c r="K718" s="26">
        <v>0.5</v>
      </c>
      <c r="L718" s="33"/>
      <c r="M718" s="38">
        <f t="shared" si="34"/>
        <v>12.7</v>
      </c>
      <c r="N718" s="39">
        <f t="shared" si="35"/>
        <v>7.7243147519999988</v>
      </c>
      <c r="O718" s="26" t="s">
        <v>53</v>
      </c>
      <c r="P718" s="31" t="s">
        <v>19</v>
      </c>
    </row>
    <row r="719" spans="1:16" x14ac:dyDescent="0.25">
      <c r="A719" s="26">
        <v>718</v>
      </c>
      <c r="B719" s="26" t="s">
        <v>1303</v>
      </c>
      <c r="C719" s="26" t="s">
        <v>1304</v>
      </c>
      <c r="D719" s="28" t="s">
        <v>1305</v>
      </c>
      <c r="E719" s="26" t="s">
        <v>18</v>
      </c>
      <c r="F719" s="26"/>
      <c r="G719" s="29">
        <v>10.1</v>
      </c>
      <c r="H719" s="26">
        <v>85</v>
      </c>
      <c r="I719" s="26">
        <v>85</v>
      </c>
      <c r="J719" s="33">
        <f t="shared" si="33"/>
        <v>85</v>
      </c>
      <c r="K719" s="26">
        <v>0.5</v>
      </c>
      <c r="L719" s="33"/>
      <c r="M719" s="38">
        <f t="shared" si="34"/>
        <v>9.6</v>
      </c>
      <c r="N719" s="39">
        <f t="shared" si="35"/>
        <v>5.4475343999999994</v>
      </c>
      <c r="O719" s="26" t="s">
        <v>1007</v>
      </c>
      <c r="P719" s="31" t="s">
        <v>30</v>
      </c>
    </row>
    <row r="720" spans="1:16" x14ac:dyDescent="0.25">
      <c r="A720" s="26">
        <v>719</v>
      </c>
      <c r="B720" s="26" t="s">
        <v>1306</v>
      </c>
      <c r="C720" s="26" t="s">
        <v>1307</v>
      </c>
      <c r="D720" s="28" t="s">
        <v>1308</v>
      </c>
      <c r="E720" s="26" t="s">
        <v>18</v>
      </c>
      <c r="F720" s="26"/>
      <c r="G720" s="29">
        <v>11.7</v>
      </c>
      <c r="H720" s="26">
        <v>105</v>
      </c>
      <c r="I720" s="26">
        <v>81</v>
      </c>
      <c r="J720" s="33">
        <f t="shared" si="33"/>
        <v>93</v>
      </c>
      <c r="K720" s="26"/>
      <c r="L720" s="33"/>
      <c r="M720" s="38">
        <f t="shared" si="34"/>
        <v>11.7</v>
      </c>
      <c r="N720" s="39">
        <f t="shared" si="35"/>
        <v>7.9477217819999995</v>
      </c>
      <c r="O720" s="26"/>
      <c r="P720" s="31" t="s">
        <v>19</v>
      </c>
    </row>
    <row r="721" spans="1:16" x14ac:dyDescent="0.25">
      <c r="A721" s="26">
        <v>720</v>
      </c>
      <c r="B721" s="26" t="s">
        <v>1309</v>
      </c>
      <c r="C721" s="26" t="s">
        <v>1310</v>
      </c>
      <c r="D721" s="28" t="s">
        <v>1311</v>
      </c>
      <c r="E721" s="26" t="s">
        <v>18</v>
      </c>
      <c r="F721" s="26"/>
      <c r="G721" s="29">
        <v>9.6999999999999993</v>
      </c>
      <c r="H721" s="26">
        <v>81</v>
      </c>
      <c r="I721" s="26">
        <v>70</v>
      </c>
      <c r="J721" s="33">
        <f t="shared" si="33"/>
        <v>75</v>
      </c>
      <c r="K721" s="26"/>
      <c r="L721" s="33"/>
      <c r="M721" s="38">
        <f t="shared" si="34"/>
        <v>9.6999999999999993</v>
      </c>
      <c r="N721" s="39">
        <f t="shared" si="35"/>
        <v>4.2853387499999993</v>
      </c>
      <c r="O721" s="26"/>
      <c r="P721" s="31" t="s">
        <v>19</v>
      </c>
    </row>
    <row r="722" spans="1:16" x14ac:dyDescent="0.25">
      <c r="A722" s="26">
        <v>721</v>
      </c>
      <c r="B722" s="26" t="s">
        <v>1312</v>
      </c>
      <c r="C722" s="26" t="s">
        <v>1313</v>
      </c>
      <c r="D722" s="28" t="s">
        <v>1314</v>
      </c>
      <c r="E722" s="26" t="s">
        <v>18</v>
      </c>
      <c r="F722" s="26"/>
      <c r="G722" s="29">
        <v>12.5</v>
      </c>
      <c r="H722" s="26">
        <v>138</v>
      </c>
      <c r="I722" s="26">
        <v>86</v>
      </c>
      <c r="J722" s="33">
        <f t="shared" si="33"/>
        <v>112</v>
      </c>
      <c r="K722" s="26">
        <v>1</v>
      </c>
      <c r="L722" s="33"/>
      <c r="M722" s="38">
        <f t="shared" si="34"/>
        <v>11.5</v>
      </c>
      <c r="N722" s="39">
        <f t="shared" si="35"/>
        <v>11.329866239999999</v>
      </c>
      <c r="O722" s="26" t="s">
        <v>53</v>
      </c>
      <c r="P722" s="31" t="s">
        <v>19</v>
      </c>
    </row>
    <row r="723" spans="1:16" x14ac:dyDescent="0.25">
      <c r="A723" s="26">
        <v>722</v>
      </c>
      <c r="B723" s="26" t="s">
        <v>1315</v>
      </c>
      <c r="C723" s="26" t="s">
        <v>1316</v>
      </c>
      <c r="D723" s="28" t="s">
        <v>1317</v>
      </c>
      <c r="E723" s="26" t="s">
        <v>18</v>
      </c>
      <c r="F723" s="26"/>
      <c r="G723" s="29">
        <v>12</v>
      </c>
      <c r="H723" s="26">
        <v>86</v>
      </c>
      <c r="I723" s="26">
        <v>75</v>
      </c>
      <c r="J723" s="33">
        <f t="shared" si="33"/>
        <v>80</v>
      </c>
      <c r="K723" s="26">
        <v>1</v>
      </c>
      <c r="L723" s="33"/>
      <c r="M723" s="38">
        <f t="shared" si="34"/>
        <v>11</v>
      </c>
      <c r="N723" s="39">
        <f t="shared" si="35"/>
        <v>5.5292159999999999</v>
      </c>
      <c r="O723" s="26" t="s">
        <v>53</v>
      </c>
      <c r="P723" s="31" t="s">
        <v>19</v>
      </c>
    </row>
    <row r="724" spans="1:16" x14ac:dyDescent="0.25">
      <c r="A724" s="26">
        <v>723</v>
      </c>
      <c r="B724" s="26" t="s">
        <v>1318</v>
      </c>
      <c r="C724" s="26" t="s">
        <v>1319</v>
      </c>
      <c r="D724" s="28" t="s">
        <v>1320</v>
      </c>
      <c r="E724" s="26" t="s">
        <v>18</v>
      </c>
      <c r="F724" s="26"/>
      <c r="G724" s="29">
        <v>5.2</v>
      </c>
      <c r="H724" s="26">
        <v>94</v>
      </c>
      <c r="I724" s="26">
        <v>83</v>
      </c>
      <c r="J724" s="33">
        <f t="shared" si="33"/>
        <v>88</v>
      </c>
      <c r="K724" s="26"/>
      <c r="L724" s="33"/>
      <c r="M724" s="38">
        <f t="shared" si="34"/>
        <v>5.2</v>
      </c>
      <c r="N724" s="39">
        <f t="shared" si="35"/>
        <v>3.1627115520000002</v>
      </c>
      <c r="O724" s="26"/>
      <c r="P724" s="31" t="s">
        <v>19</v>
      </c>
    </row>
    <row r="725" spans="1:16" x14ac:dyDescent="0.25">
      <c r="A725" s="26">
        <v>724</v>
      </c>
      <c r="B725" s="26" t="s">
        <v>1321</v>
      </c>
      <c r="C725" s="26" t="s">
        <v>1322</v>
      </c>
      <c r="D725" s="28" t="s">
        <v>1323</v>
      </c>
      <c r="E725" s="26" t="s">
        <v>18</v>
      </c>
      <c r="F725" s="26"/>
      <c r="G725" s="29">
        <v>9.8000000000000007</v>
      </c>
      <c r="H725" s="26">
        <v>83</v>
      </c>
      <c r="I725" s="26">
        <v>74</v>
      </c>
      <c r="J725" s="33">
        <f t="shared" si="33"/>
        <v>78</v>
      </c>
      <c r="K725" s="26"/>
      <c r="L725" s="33"/>
      <c r="M725" s="38">
        <f t="shared" si="34"/>
        <v>9.8000000000000007</v>
      </c>
      <c r="N725" s="39">
        <f t="shared" si="35"/>
        <v>4.6828061280000002</v>
      </c>
      <c r="O725" s="26"/>
      <c r="P725" s="31" t="s">
        <v>19</v>
      </c>
    </row>
    <row r="726" spans="1:16" x14ac:dyDescent="0.25">
      <c r="A726" s="26">
        <v>725</v>
      </c>
      <c r="B726" s="26" t="s">
        <v>1324</v>
      </c>
      <c r="C726" s="26" t="s">
        <v>1325</v>
      </c>
      <c r="D726" s="28" t="s">
        <v>1326</v>
      </c>
      <c r="E726" s="26" t="s">
        <v>18</v>
      </c>
      <c r="F726" s="26"/>
      <c r="G726" s="29">
        <v>13.8</v>
      </c>
      <c r="H726" s="26">
        <v>93</v>
      </c>
      <c r="I726" s="26">
        <v>85</v>
      </c>
      <c r="J726" s="33">
        <f t="shared" si="33"/>
        <v>89</v>
      </c>
      <c r="K726" s="26"/>
      <c r="L726" s="33"/>
      <c r="M726" s="38">
        <f t="shared" si="34"/>
        <v>13.8</v>
      </c>
      <c r="N726" s="39">
        <f t="shared" si="35"/>
        <v>8.5851916920000004</v>
      </c>
      <c r="O726" s="26"/>
      <c r="P726" s="31" t="s">
        <v>19</v>
      </c>
    </row>
    <row r="727" spans="1:16" x14ac:dyDescent="0.25">
      <c r="A727" s="26">
        <v>726</v>
      </c>
      <c r="B727" s="26" t="s">
        <v>1327</v>
      </c>
      <c r="C727" s="26" t="s">
        <v>1328</v>
      </c>
      <c r="D727" s="28" t="s">
        <v>1329</v>
      </c>
      <c r="E727" s="26" t="s">
        <v>18</v>
      </c>
      <c r="F727" s="26"/>
      <c r="G727" s="29">
        <v>11.1</v>
      </c>
      <c r="H727" s="26">
        <v>92</v>
      </c>
      <c r="I727" s="26">
        <v>85</v>
      </c>
      <c r="J727" s="33">
        <f t="shared" si="33"/>
        <v>88</v>
      </c>
      <c r="K727" s="26"/>
      <c r="L727" s="33"/>
      <c r="M727" s="38">
        <f t="shared" si="34"/>
        <v>11.1</v>
      </c>
      <c r="N727" s="39">
        <f t="shared" si="35"/>
        <v>6.7511727359999991</v>
      </c>
      <c r="O727" s="26"/>
      <c r="P727" s="31" t="s">
        <v>19</v>
      </c>
    </row>
    <row r="728" spans="1:16" x14ac:dyDescent="0.25">
      <c r="A728" s="26">
        <v>727</v>
      </c>
      <c r="B728" s="26" t="s">
        <v>1330</v>
      </c>
      <c r="C728" s="26" t="s">
        <v>1331</v>
      </c>
      <c r="D728" s="28" t="s">
        <v>1332</v>
      </c>
      <c r="E728" s="26" t="s">
        <v>18</v>
      </c>
      <c r="F728" s="26"/>
      <c r="G728" s="29">
        <v>5</v>
      </c>
      <c r="H728" s="26">
        <v>86</v>
      </c>
      <c r="I728" s="26">
        <v>86</v>
      </c>
      <c r="J728" s="33">
        <f t="shared" si="33"/>
        <v>86</v>
      </c>
      <c r="K728" s="26"/>
      <c r="L728" s="33"/>
      <c r="M728" s="38">
        <f t="shared" si="34"/>
        <v>5</v>
      </c>
      <c r="N728" s="39">
        <f t="shared" si="35"/>
        <v>2.9044091999999999</v>
      </c>
      <c r="O728" s="26"/>
      <c r="P728" s="31" t="s">
        <v>30</v>
      </c>
    </row>
    <row r="729" spans="1:16" x14ac:dyDescent="0.25">
      <c r="A729" s="26">
        <v>728</v>
      </c>
      <c r="B729" s="26" t="s">
        <v>1333</v>
      </c>
      <c r="C729" s="26" t="s">
        <v>1334</v>
      </c>
      <c r="D729" s="28" t="s">
        <v>1335</v>
      </c>
      <c r="E729" s="26" t="s">
        <v>18</v>
      </c>
      <c r="F729" s="26"/>
      <c r="G729" s="29">
        <v>10.199999999999999</v>
      </c>
      <c r="H729" s="26">
        <v>82</v>
      </c>
      <c r="I729" s="26">
        <v>70</v>
      </c>
      <c r="J729" s="33">
        <f t="shared" si="33"/>
        <v>76</v>
      </c>
      <c r="K729" s="26"/>
      <c r="L729" s="33"/>
      <c r="M729" s="38">
        <f t="shared" si="34"/>
        <v>10.199999999999999</v>
      </c>
      <c r="N729" s="39">
        <f t="shared" si="35"/>
        <v>4.6271998079999994</v>
      </c>
      <c r="O729" s="26"/>
      <c r="P729" s="31" t="s">
        <v>19</v>
      </c>
    </row>
    <row r="730" spans="1:16" x14ac:dyDescent="0.25">
      <c r="A730" s="26">
        <v>729</v>
      </c>
      <c r="B730" s="26" t="s">
        <v>1336</v>
      </c>
      <c r="C730" s="26" t="s">
        <v>1337</v>
      </c>
      <c r="D730" s="28">
        <v>1590</v>
      </c>
      <c r="E730" s="26" t="s">
        <v>18</v>
      </c>
      <c r="F730" s="26"/>
      <c r="G730" s="29">
        <v>6.3</v>
      </c>
      <c r="H730" s="26">
        <v>72</v>
      </c>
      <c r="I730" s="26">
        <v>70</v>
      </c>
      <c r="J730" s="33">
        <f t="shared" si="33"/>
        <v>71</v>
      </c>
      <c r="K730" s="26"/>
      <c r="L730" s="33"/>
      <c r="M730" s="38">
        <f t="shared" si="34"/>
        <v>6.3</v>
      </c>
      <c r="N730" s="39">
        <f t="shared" si="35"/>
        <v>2.494296882</v>
      </c>
      <c r="O730" s="26"/>
      <c r="P730" s="31" t="s">
        <v>19</v>
      </c>
    </row>
    <row r="731" spans="1:16" x14ac:dyDescent="0.25">
      <c r="A731" s="26">
        <v>730</v>
      </c>
      <c r="B731" s="26" t="s">
        <v>1338</v>
      </c>
      <c r="C731" s="26" t="s">
        <v>1339</v>
      </c>
      <c r="D731" s="28" t="s">
        <v>1340</v>
      </c>
      <c r="E731" s="26" t="s">
        <v>18</v>
      </c>
      <c r="F731" s="26"/>
      <c r="G731" s="29">
        <v>12.5</v>
      </c>
      <c r="H731" s="26">
        <v>87</v>
      </c>
      <c r="I731" s="26">
        <v>77</v>
      </c>
      <c r="J731" s="33">
        <f t="shared" si="33"/>
        <v>82</v>
      </c>
      <c r="K731" s="26"/>
      <c r="L731" s="33"/>
      <c r="M731" s="38">
        <f t="shared" si="34"/>
        <v>12.5</v>
      </c>
      <c r="N731" s="39">
        <f t="shared" si="35"/>
        <v>6.6012869999999992</v>
      </c>
      <c r="O731" s="26"/>
      <c r="P731" s="31" t="s">
        <v>30</v>
      </c>
    </row>
    <row r="732" spans="1:16" x14ac:dyDescent="0.25">
      <c r="A732" s="26">
        <v>731</v>
      </c>
      <c r="B732" s="26" t="s">
        <v>1341</v>
      </c>
      <c r="C732" s="26" t="s">
        <v>1342</v>
      </c>
      <c r="D732" s="28" t="s">
        <v>1343</v>
      </c>
      <c r="E732" s="26" t="s">
        <v>18</v>
      </c>
      <c r="F732" s="26"/>
      <c r="G732" s="29">
        <v>12</v>
      </c>
      <c r="H732" s="26">
        <v>96</v>
      </c>
      <c r="I732" s="26">
        <v>77</v>
      </c>
      <c r="J732" s="33">
        <f t="shared" si="33"/>
        <v>86</v>
      </c>
      <c r="K732" s="26"/>
      <c r="L732" s="33"/>
      <c r="M732" s="38">
        <f t="shared" si="34"/>
        <v>12</v>
      </c>
      <c r="N732" s="39">
        <f t="shared" si="35"/>
        <v>6.9705820799999998</v>
      </c>
      <c r="O732" s="26"/>
      <c r="P732" s="31" t="s">
        <v>19</v>
      </c>
    </row>
    <row r="733" spans="1:16" x14ac:dyDescent="0.25">
      <c r="A733" s="26">
        <v>732</v>
      </c>
      <c r="B733" s="26" t="s">
        <v>1344</v>
      </c>
      <c r="C733" s="26" t="s">
        <v>1345</v>
      </c>
      <c r="D733" s="28" t="s">
        <v>1346</v>
      </c>
      <c r="E733" s="26" t="s">
        <v>18</v>
      </c>
      <c r="F733" s="26"/>
      <c r="G733" s="29">
        <v>7.6</v>
      </c>
      <c r="H733" s="26">
        <v>77</v>
      </c>
      <c r="I733" s="26">
        <v>67</v>
      </c>
      <c r="J733" s="33">
        <f t="shared" si="33"/>
        <v>72</v>
      </c>
      <c r="K733" s="26">
        <v>0.3</v>
      </c>
      <c r="L733" s="33"/>
      <c r="M733" s="38">
        <f t="shared" si="34"/>
        <v>7.3</v>
      </c>
      <c r="N733" s="39">
        <f t="shared" si="35"/>
        <v>2.9722049279999996</v>
      </c>
      <c r="O733" s="26" t="s">
        <v>21</v>
      </c>
      <c r="P733" s="31" t="s">
        <v>19</v>
      </c>
    </row>
    <row r="734" spans="1:16" x14ac:dyDescent="0.25">
      <c r="A734" s="26">
        <v>733</v>
      </c>
      <c r="B734" s="26" t="s">
        <v>1347</v>
      </c>
      <c r="C734" s="40" t="s">
        <v>1348</v>
      </c>
      <c r="D734" s="28">
        <v>5194</v>
      </c>
      <c r="E734" s="26" t="s">
        <v>18</v>
      </c>
      <c r="F734" s="26"/>
      <c r="G734" s="29">
        <v>12.1</v>
      </c>
      <c r="H734" s="26">
        <v>95</v>
      </c>
      <c r="I734" s="26">
        <v>91</v>
      </c>
      <c r="J734" s="33">
        <f t="shared" si="33"/>
        <v>93</v>
      </c>
      <c r="K734" s="26"/>
      <c r="L734" s="33"/>
      <c r="M734" s="38">
        <f t="shared" si="34"/>
        <v>12.1</v>
      </c>
      <c r="N734" s="39">
        <f t="shared" si="35"/>
        <v>8.2194387659999997</v>
      </c>
      <c r="O734" s="26"/>
      <c r="P734" s="31" t="s">
        <v>30</v>
      </c>
    </row>
    <row r="735" spans="1:16" x14ac:dyDescent="0.25">
      <c r="A735" s="26">
        <v>734</v>
      </c>
      <c r="B735" s="26" t="s">
        <v>1349</v>
      </c>
      <c r="C735" s="26" t="s">
        <v>1350</v>
      </c>
      <c r="D735" s="28" t="s">
        <v>1351</v>
      </c>
      <c r="E735" s="26" t="s">
        <v>18</v>
      </c>
      <c r="F735" s="26"/>
      <c r="G735" s="29">
        <v>9.4</v>
      </c>
      <c r="H735" s="26">
        <v>91</v>
      </c>
      <c r="I735" s="26">
        <v>83</v>
      </c>
      <c r="J735" s="33">
        <f t="shared" ref="J735:J798" si="36">ROUNDDOWN((H735+I735)/2,0)</f>
        <v>87</v>
      </c>
      <c r="K735" s="26"/>
      <c r="L735" s="33"/>
      <c r="M735" s="38">
        <f t="shared" si="34"/>
        <v>9.4</v>
      </c>
      <c r="N735" s="39">
        <f t="shared" si="35"/>
        <v>5.5880110440000008</v>
      </c>
      <c r="O735" s="26"/>
      <c r="P735" s="31" t="s">
        <v>19</v>
      </c>
    </row>
    <row r="736" spans="1:16" x14ac:dyDescent="0.25">
      <c r="A736" s="26">
        <v>735</v>
      </c>
      <c r="B736" s="26" t="s">
        <v>1352</v>
      </c>
      <c r="C736" s="26" t="s">
        <v>1353</v>
      </c>
      <c r="D736" s="28" t="s">
        <v>1354</v>
      </c>
      <c r="E736" s="26" t="s">
        <v>18</v>
      </c>
      <c r="F736" s="26"/>
      <c r="G736" s="29">
        <v>11.2</v>
      </c>
      <c r="H736" s="26">
        <v>87</v>
      </c>
      <c r="I736" s="26">
        <v>86</v>
      </c>
      <c r="J736" s="33">
        <f t="shared" si="36"/>
        <v>86</v>
      </c>
      <c r="K736" s="26"/>
      <c r="L736" s="33"/>
      <c r="M736" s="38">
        <f t="shared" si="34"/>
        <v>11.2</v>
      </c>
      <c r="N736" s="39">
        <f t="shared" si="35"/>
        <v>6.5058766079999995</v>
      </c>
      <c r="O736" s="26"/>
      <c r="P736" s="31" t="s">
        <v>19</v>
      </c>
    </row>
    <row r="737" spans="1:16" x14ac:dyDescent="0.25">
      <c r="A737" s="26">
        <v>736</v>
      </c>
      <c r="B737" s="26" t="s">
        <v>1355</v>
      </c>
      <c r="C737" s="26" t="s">
        <v>1356</v>
      </c>
      <c r="D737" s="28">
        <v>4965</v>
      </c>
      <c r="E737" s="26" t="s">
        <v>18</v>
      </c>
      <c r="F737" s="26"/>
      <c r="G737" s="29">
        <v>6.3</v>
      </c>
      <c r="H737" s="26">
        <v>79</v>
      </c>
      <c r="I737" s="26">
        <v>73</v>
      </c>
      <c r="J737" s="33">
        <f t="shared" si="36"/>
        <v>76</v>
      </c>
      <c r="K737" s="26"/>
      <c r="L737" s="33"/>
      <c r="M737" s="38">
        <f t="shared" si="34"/>
        <v>6.3</v>
      </c>
      <c r="N737" s="39">
        <f t="shared" si="35"/>
        <v>2.8579763519999997</v>
      </c>
      <c r="O737" s="26"/>
      <c r="P737" s="31" t="s">
        <v>19</v>
      </c>
    </row>
    <row r="738" spans="1:16" x14ac:dyDescent="0.25">
      <c r="A738" s="26">
        <v>737</v>
      </c>
      <c r="B738" s="26" t="s">
        <v>1357</v>
      </c>
      <c r="C738" s="26" t="s">
        <v>1358</v>
      </c>
      <c r="D738" s="28" t="s">
        <v>1359</v>
      </c>
      <c r="E738" s="26" t="s">
        <v>18</v>
      </c>
      <c r="F738" s="26"/>
      <c r="G738" s="29">
        <v>11.4</v>
      </c>
      <c r="H738" s="26">
        <v>157</v>
      </c>
      <c r="I738" s="26">
        <v>144</v>
      </c>
      <c r="J738" s="33">
        <f t="shared" si="36"/>
        <v>150</v>
      </c>
      <c r="K738" s="26">
        <v>0.8</v>
      </c>
      <c r="L738" s="33"/>
      <c r="M738" s="38">
        <f t="shared" si="34"/>
        <v>10.6</v>
      </c>
      <c r="N738" s="39">
        <f t="shared" si="35"/>
        <v>18.73179</v>
      </c>
      <c r="O738" s="26" t="s">
        <v>53</v>
      </c>
      <c r="P738" s="31" t="s">
        <v>19</v>
      </c>
    </row>
    <row r="739" spans="1:16" x14ac:dyDescent="0.25">
      <c r="A739" s="26">
        <v>738</v>
      </c>
      <c r="B739" s="26" t="s">
        <v>1360</v>
      </c>
      <c r="C739" s="26" t="s">
        <v>1361</v>
      </c>
      <c r="D739" s="28">
        <v>4966</v>
      </c>
      <c r="E739" s="26" t="s">
        <v>18</v>
      </c>
      <c r="F739" s="26"/>
      <c r="G739" s="29">
        <v>11.3</v>
      </c>
      <c r="H739" s="26">
        <v>129</v>
      </c>
      <c r="I739" s="26">
        <v>118</v>
      </c>
      <c r="J739" s="33">
        <f t="shared" si="36"/>
        <v>123</v>
      </c>
      <c r="K739" s="26"/>
      <c r="L739" s="33"/>
      <c r="M739" s="38">
        <f t="shared" si="34"/>
        <v>11.3</v>
      </c>
      <c r="N739" s="39">
        <f t="shared" si="35"/>
        <v>13.427017758000002</v>
      </c>
      <c r="O739" s="26"/>
      <c r="P739" s="31" t="s">
        <v>19</v>
      </c>
    </row>
    <row r="740" spans="1:16" x14ac:dyDescent="0.25">
      <c r="A740" s="26">
        <v>739</v>
      </c>
      <c r="B740" s="26" t="s">
        <v>1362</v>
      </c>
      <c r="C740" s="26" t="s">
        <v>1363</v>
      </c>
      <c r="D740" s="28" t="s">
        <v>1364</v>
      </c>
      <c r="E740" s="26" t="s">
        <v>18</v>
      </c>
      <c r="F740" s="26"/>
      <c r="G740" s="29">
        <v>10.7</v>
      </c>
      <c r="H740" s="26">
        <v>118</v>
      </c>
      <c r="I740" s="26">
        <v>99</v>
      </c>
      <c r="J740" s="33">
        <f t="shared" si="36"/>
        <v>108</v>
      </c>
      <c r="K740" s="26"/>
      <c r="L740" s="33"/>
      <c r="M740" s="38">
        <f t="shared" si="34"/>
        <v>10.7</v>
      </c>
      <c r="N740" s="39">
        <f t="shared" si="35"/>
        <v>9.8021689919999986</v>
      </c>
      <c r="O740" s="26"/>
      <c r="P740" s="31" t="s">
        <v>19</v>
      </c>
    </row>
    <row r="741" spans="1:16" x14ac:dyDescent="0.25">
      <c r="A741" s="26">
        <v>740</v>
      </c>
      <c r="B741" s="26" t="s">
        <v>1365</v>
      </c>
      <c r="C741" s="26" t="s">
        <v>1366</v>
      </c>
      <c r="D741" s="28" t="s">
        <v>1367</v>
      </c>
      <c r="E741" s="26" t="s">
        <v>18</v>
      </c>
      <c r="F741" s="26"/>
      <c r="G741" s="29">
        <v>12.6</v>
      </c>
      <c r="H741" s="26">
        <v>113</v>
      </c>
      <c r="I741" s="26">
        <v>98</v>
      </c>
      <c r="J741" s="33">
        <f t="shared" si="36"/>
        <v>105</v>
      </c>
      <c r="K741" s="26"/>
      <c r="L741" s="33"/>
      <c r="M741" s="38">
        <f t="shared" si="34"/>
        <v>12.6</v>
      </c>
      <c r="N741" s="39">
        <f t="shared" si="35"/>
        <v>10.9103841</v>
      </c>
      <c r="O741" s="26"/>
      <c r="P741" s="31" t="s">
        <v>19</v>
      </c>
    </row>
    <row r="742" spans="1:16" x14ac:dyDescent="0.25">
      <c r="A742" s="26">
        <v>741</v>
      </c>
      <c r="B742" s="26" t="s">
        <v>1368</v>
      </c>
      <c r="C742" s="26" t="s">
        <v>1369</v>
      </c>
      <c r="D742" s="28">
        <v>4968</v>
      </c>
      <c r="E742" s="26" t="s">
        <v>18</v>
      </c>
      <c r="F742" s="26"/>
      <c r="G742" s="29">
        <v>13.9</v>
      </c>
      <c r="H742" s="26">
        <v>83</v>
      </c>
      <c r="I742" s="26">
        <v>69</v>
      </c>
      <c r="J742" s="33">
        <f t="shared" si="36"/>
        <v>76</v>
      </c>
      <c r="K742" s="26"/>
      <c r="L742" s="33"/>
      <c r="M742" s="38">
        <f t="shared" si="34"/>
        <v>13.9</v>
      </c>
      <c r="N742" s="39">
        <f t="shared" si="35"/>
        <v>6.3056938560000004</v>
      </c>
      <c r="O742" s="26"/>
      <c r="P742" s="31" t="s">
        <v>19</v>
      </c>
    </row>
    <row r="743" spans="1:16" x14ac:dyDescent="0.25">
      <c r="A743" s="26">
        <v>742</v>
      </c>
      <c r="B743" s="26" t="s">
        <v>1370</v>
      </c>
      <c r="C743" s="26" t="s">
        <v>1371</v>
      </c>
      <c r="D743" s="28" t="s">
        <v>1372</v>
      </c>
      <c r="E743" s="26" t="s">
        <v>18</v>
      </c>
      <c r="F743" s="26"/>
      <c r="G743" s="29">
        <v>11</v>
      </c>
      <c r="H743" s="26">
        <v>110</v>
      </c>
      <c r="I743" s="26">
        <v>89</v>
      </c>
      <c r="J743" s="33">
        <f t="shared" si="36"/>
        <v>99</v>
      </c>
      <c r="K743" s="26"/>
      <c r="L743" s="33"/>
      <c r="M743" s="38">
        <f t="shared" si="34"/>
        <v>11</v>
      </c>
      <c r="N743" s="39">
        <f t="shared" si="35"/>
        <v>8.4674759399999999</v>
      </c>
      <c r="O743" s="26"/>
      <c r="P743" s="31" t="s">
        <v>30</v>
      </c>
    </row>
    <row r="744" spans="1:16" x14ac:dyDescent="0.25">
      <c r="A744" s="26">
        <v>743</v>
      </c>
      <c r="B744" s="26" t="s">
        <v>1373</v>
      </c>
      <c r="C744" s="26" t="s">
        <v>1374</v>
      </c>
      <c r="D744" s="28" t="s">
        <v>1375</v>
      </c>
      <c r="E744" s="26" t="s">
        <v>18</v>
      </c>
      <c r="F744" s="26"/>
      <c r="G744" s="29">
        <v>6.2</v>
      </c>
      <c r="H744" s="26">
        <v>90</v>
      </c>
      <c r="I744" s="26">
        <v>76</v>
      </c>
      <c r="J744" s="33">
        <f t="shared" si="36"/>
        <v>83</v>
      </c>
      <c r="K744" s="26">
        <v>0.3</v>
      </c>
      <c r="L744" s="33"/>
      <c r="M744" s="38">
        <f t="shared" si="34"/>
        <v>5.9</v>
      </c>
      <c r="N744" s="39">
        <f t="shared" si="35"/>
        <v>3.1922661540000004</v>
      </c>
      <c r="O744" s="26" t="s">
        <v>1007</v>
      </c>
      <c r="P744" s="31" t="s">
        <v>19</v>
      </c>
    </row>
    <row r="745" spans="1:16" x14ac:dyDescent="0.25">
      <c r="A745" s="26">
        <v>744</v>
      </c>
      <c r="B745" s="26" t="s">
        <v>1376</v>
      </c>
      <c r="C745" s="26" t="s">
        <v>1377</v>
      </c>
      <c r="D745" s="28" t="s">
        <v>1378</v>
      </c>
      <c r="E745" s="26" t="s">
        <v>18</v>
      </c>
      <c r="F745" s="26"/>
      <c r="G745" s="29">
        <v>9.3000000000000007</v>
      </c>
      <c r="H745" s="26">
        <v>142</v>
      </c>
      <c r="I745" s="26">
        <v>135</v>
      </c>
      <c r="J745" s="33">
        <f t="shared" si="36"/>
        <v>138</v>
      </c>
      <c r="K745" s="26">
        <v>0.5</v>
      </c>
      <c r="L745" s="33"/>
      <c r="M745" s="38">
        <f t="shared" si="34"/>
        <v>8.8000000000000007</v>
      </c>
      <c r="N745" s="39">
        <f t="shared" si="35"/>
        <v>13.162298688000002</v>
      </c>
      <c r="O745" s="26" t="s">
        <v>21</v>
      </c>
      <c r="P745" s="31" t="s">
        <v>19</v>
      </c>
    </row>
    <row r="746" spans="1:16" x14ac:dyDescent="0.25">
      <c r="A746" s="26">
        <v>745</v>
      </c>
      <c r="B746" s="26" t="s">
        <v>1379</v>
      </c>
      <c r="C746" s="26" t="s">
        <v>1380</v>
      </c>
      <c r="D746" s="28" t="s">
        <v>1381</v>
      </c>
      <c r="E746" s="26" t="s">
        <v>18</v>
      </c>
      <c r="F746" s="26"/>
      <c r="G746" s="29">
        <v>11.9</v>
      </c>
      <c r="H746" s="26">
        <v>103</v>
      </c>
      <c r="I746" s="26">
        <v>91</v>
      </c>
      <c r="J746" s="33">
        <f t="shared" si="36"/>
        <v>97</v>
      </c>
      <c r="K746" s="26"/>
      <c r="L746" s="33"/>
      <c r="M746" s="38">
        <f t="shared" si="34"/>
        <v>11.9</v>
      </c>
      <c r="N746" s="39">
        <f t="shared" si="35"/>
        <v>8.7938960340000012</v>
      </c>
      <c r="O746" s="26"/>
      <c r="P746" s="31" t="s">
        <v>30</v>
      </c>
    </row>
    <row r="747" spans="1:16" x14ac:dyDescent="0.25">
      <c r="A747" s="26">
        <v>746</v>
      </c>
      <c r="B747" s="26" t="s">
        <v>1382</v>
      </c>
      <c r="C747" s="26" t="s">
        <v>1383</v>
      </c>
      <c r="D747" s="28">
        <v>5199</v>
      </c>
      <c r="E747" s="26" t="s">
        <v>18</v>
      </c>
      <c r="F747" s="26"/>
      <c r="G747" s="29">
        <v>5.3</v>
      </c>
      <c r="H747" s="26">
        <v>98</v>
      </c>
      <c r="I747" s="26">
        <v>84</v>
      </c>
      <c r="J747" s="33">
        <f t="shared" si="36"/>
        <v>91</v>
      </c>
      <c r="K747" s="26">
        <v>1</v>
      </c>
      <c r="L747" s="33"/>
      <c r="M747" s="38">
        <f t="shared" si="34"/>
        <v>4.3</v>
      </c>
      <c r="N747" s="39">
        <f t="shared" si="35"/>
        <v>2.7966758819999997</v>
      </c>
      <c r="O747" s="26" t="s">
        <v>53</v>
      </c>
      <c r="P747" s="31" t="s">
        <v>19</v>
      </c>
    </row>
    <row r="748" spans="1:16" x14ac:dyDescent="0.25">
      <c r="A748" s="26">
        <v>747</v>
      </c>
      <c r="B748" s="26" t="s">
        <v>1384</v>
      </c>
      <c r="C748" s="26" t="s">
        <v>1385</v>
      </c>
      <c r="D748" s="28" t="s">
        <v>1386</v>
      </c>
      <c r="E748" s="26" t="s">
        <v>18</v>
      </c>
      <c r="F748" s="26"/>
      <c r="G748" s="29">
        <v>6.1</v>
      </c>
      <c r="H748" s="26">
        <v>108</v>
      </c>
      <c r="I748" s="26">
        <v>106</v>
      </c>
      <c r="J748" s="33">
        <f t="shared" si="36"/>
        <v>107</v>
      </c>
      <c r="K748" s="26">
        <v>0.3</v>
      </c>
      <c r="L748" s="33"/>
      <c r="M748" s="38">
        <f t="shared" si="34"/>
        <v>5.8</v>
      </c>
      <c r="N748" s="39">
        <f t="shared" si="35"/>
        <v>5.2153858679999994</v>
      </c>
      <c r="O748" s="26" t="s">
        <v>21</v>
      </c>
      <c r="P748" s="31" t="s">
        <v>19</v>
      </c>
    </row>
    <row r="749" spans="1:16" x14ac:dyDescent="0.25">
      <c r="A749" s="26">
        <v>748</v>
      </c>
      <c r="B749" s="26" t="s">
        <v>1387</v>
      </c>
      <c r="C749" s="40" t="s">
        <v>1388</v>
      </c>
      <c r="D749" s="28">
        <v>5200</v>
      </c>
      <c r="E749" s="26" t="s">
        <v>18</v>
      </c>
      <c r="F749" s="26"/>
      <c r="G749" s="29">
        <v>12.6</v>
      </c>
      <c r="H749" s="26">
        <v>78</v>
      </c>
      <c r="I749" s="26">
        <v>61</v>
      </c>
      <c r="J749" s="33">
        <f t="shared" si="36"/>
        <v>69</v>
      </c>
      <c r="K749" s="26"/>
      <c r="L749" s="33">
        <v>10</v>
      </c>
      <c r="M749" s="38">
        <f t="shared" si="34"/>
        <v>12.6</v>
      </c>
      <c r="N749" s="39">
        <f t="shared" si="35"/>
        <v>4.7115046439999997</v>
      </c>
      <c r="O749" s="26" t="s">
        <v>157</v>
      </c>
      <c r="P749" s="31" t="s">
        <v>30</v>
      </c>
    </row>
    <row r="750" spans="1:16" x14ac:dyDescent="0.25">
      <c r="A750" s="26">
        <v>749</v>
      </c>
      <c r="B750" s="26" t="s">
        <v>1389</v>
      </c>
      <c r="C750" s="26" t="s">
        <v>1390</v>
      </c>
      <c r="D750" s="28" t="s">
        <v>1391</v>
      </c>
      <c r="E750" s="26" t="s">
        <v>18</v>
      </c>
      <c r="F750" s="26"/>
      <c r="G750" s="29">
        <v>10.199999999999999</v>
      </c>
      <c r="H750" s="26">
        <v>125</v>
      </c>
      <c r="I750" s="26">
        <v>110</v>
      </c>
      <c r="J750" s="33">
        <f t="shared" si="36"/>
        <v>117</v>
      </c>
      <c r="K750" s="26">
        <v>0.5</v>
      </c>
      <c r="L750" s="33"/>
      <c r="M750" s="38">
        <f t="shared" si="34"/>
        <v>9.6999999999999993</v>
      </c>
      <c r="N750" s="39">
        <f t="shared" si="35"/>
        <v>10.428800381999999</v>
      </c>
      <c r="O750" s="26" t="s">
        <v>1007</v>
      </c>
      <c r="P750" s="31" t="s">
        <v>19</v>
      </c>
    </row>
    <row r="751" spans="1:16" x14ac:dyDescent="0.25">
      <c r="A751" s="26">
        <v>750</v>
      </c>
      <c r="B751" s="26" t="s">
        <v>1392</v>
      </c>
      <c r="C751" s="40" t="s">
        <v>1393</v>
      </c>
      <c r="D751" s="28">
        <v>4973</v>
      </c>
      <c r="E751" s="26" t="s">
        <v>18</v>
      </c>
      <c r="F751" s="26"/>
      <c r="G751" s="29">
        <v>10.1</v>
      </c>
      <c r="H751" s="26">
        <v>110</v>
      </c>
      <c r="I751" s="26">
        <v>102</v>
      </c>
      <c r="J751" s="33">
        <f t="shared" si="36"/>
        <v>106</v>
      </c>
      <c r="K751" s="26">
        <v>0.8</v>
      </c>
      <c r="L751" s="33"/>
      <c r="M751" s="38">
        <f t="shared" si="34"/>
        <v>9.2999999999999989</v>
      </c>
      <c r="N751" s="39">
        <f t="shared" si="35"/>
        <v>8.2070215919999985</v>
      </c>
      <c r="O751" s="26" t="s">
        <v>21</v>
      </c>
      <c r="P751" s="31" t="s">
        <v>19</v>
      </c>
    </row>
    <row r="752" spans="1:16" x14ac:dyDescent="0.25">
      <c r="A752" s="26">
        <v>751</v>
      </c>
      <c r="B752" s="26" t="s">
        <v>1394</v>
      </c>
      <c r="C752" s="26" t="s">
        <v>1395</v>
      </c>
      <c r="D752" s="28" t="s">
        <v>1396</v>
      </c>
      <c r="E752" s="26" t="s">
        <v>18</v>
      </c>
      <c r="F752" s="26"/>
      <c r="G752" s="29">
        <v>11</v>
      </c>
      <c r="H752" s="26">
        <v>114</v>
      </c>
      <c r="I752" s="26">
        <v>107</v>
      </c>
      <c r="J752" s="33">
        <f t="shared" si="36"/>
        <v>110</v>
      </c>
      <c r="K752" s="26"/>
      <c r="L752" s="33"/>
      <c r="M752" s="38">
        <f t="shared" si="34"/>
        <v>11</v>
      </c>
      <c r="N752" s="39">
        <f t="shared" si="35"/>
        <v>10.453674000000001</v>
      </c>
      <c r="O752" s="26"/>
      <c r="P752" s="31" t="s">
        <v>19</v>
      </c>
    </row>
    <row r="753" spans="1:16" x14ac:dyDescent="0.25">
      <c r="A753" s="26">
        <v>752</v>
      </c>
      <c r="B753" s="26" t="s">
        <v>1397</v>
      </c>
      <c r="C753" s="26" t="s">
        <v>1398</v>
      </c>
      <c r="D753" s="28">
        <v>5203</v>
      </c>
      <c r="E753" s="26" t="s">
        <v>18</v>
      </c>
      <c r="F753" s="26"/>
      <c r="G753" s="29">
        <v>9.5</v>
      </c>
      <c r="H753" s="26">
        <v>96</v>
      </c>
      <c r="I753" s="26">
        <v>94</v>
      </c>
      <c r="J753" s="33">
        <f t="shared" si="36"/>
        <v>95</v>
      </c>
      <c r="K753" s="26"/>
      <c r="L753" s="33"/>
      <c r="M753" s="38">
        <f t="shared" si="34"/>
        <v>9.5</v>
      </c>
      <c r="N753" s="39">
        <f t="shared" si="35"/>
        <v>6.7338232499999995</v>
      </c>
      <c r="O753" s="26"/>
      <c r="P753" s="31" t="s">
        <v>19</v>
      </c>
    </row>
    <row r="754" spans="1:16" x14ac:dyDescent="0.25">
      <c r="A754" s="26">
        <v>753</v>
      </c>
      <c r="B754" s="26" t="s">
        <v>1399</v>
      </c>
      <c r="C754" s="26" t="s">
        <v>1400</v>
      </c>
      <c r="D754" s="28" t="s">
        <v>1401</v>
      </c>
      <c r="E754" s="26" t="s">
        <v>18</v>
      </c>
      <c r="F754" s="26"/>
      <c r="G754" s="29">
        <v>6.7</v>
      </c>
      <c r="H754" s="26">
        <v>95</v>
      </c>
      <c r="I754" s="26">
        <v>93</v>
      </c>
      <c r="J754" s="33">
        <f t="shared" si="36"/>
        <v>94</v>
      </c>
      <c r="K754" s="26"/>
      <c r="L754" s="33"/>
      <c r="M754" s="38">
        <f t="shared" si="34"/>
        <v>6.7</v>
      </c>
      <c r="N754" s="39">
        <f t="shared" si="35"/>
        <v>4.6496622480000003</v>
      </c>
      <c r="O754" s="26"/>
      <c r="P754" s="31" t="s">
        <v>19</v>
      </c>
    </row>
    <row r="755" spans="1:16" x14ac:dyDescent="0.25">
      <c r="A755" s="26">
        <v>754</v>
      </c>
      <c r="B755" s="26" t="s">
        <v>1402</v>
      </c>
      <c r="C755" s="26" t="s">
        <v>1403</v>
      </c>
      <c r="D755" s="28" t="s">
        <v>1404</v>
      </c>
      <c r="E755" s="26" t="s">
        <v>18</v>
      </c>
      <c r="F755" s="26"/>
      <c r="G755" s="29">
        <v>13.1</v>
      </c>
      <c r="H755" s="26">
        <v>97</v>
      </c>
      <c r="I755" s="26">
        <v>85</v>
      </c>
      <c r="J755" s="33">
        <f t="shared" si="36"/>
        <v>91</v>
      </c>
      <c r="K755" s="26"/>
      <c r="L755" s="33"/>
      <c r="M755" s="38">
        <f t="shared" si="34"/>
        <v>13.1</v>
      </c>
      <c r="N755" s="39">
        <f t="shared" si="35"/>
        <v>8.5201055939999986</v>
      </c>
      <c r="O755" s="26"/>
      <c r="P755" s="31" t="s">
        <v>19</v>
      </c>
    </row>
    <row r="756" spans="1:16" x14ac:dyDescent="0.25">
      <c r="A756" s="26">
        <v>755</v>
      </c>
      <c r="B756" s="26" t="s">
        <v>1405</v>
      </c>
      <c r="C756" s="26" t="s">
        <v>1406</v>
      </c>
      <c r="D756" s="28" t="s">
        <v>1407</v>
      </c>
      <c r="E756" s="26" t="s">
        <v>18</v>
      </c>
      <c r="F756" s="26"/>
      <c r="G756" s="29">
        <v>12.7</v>
      </c>
      <c r="H756" s="26">
        <v>84</v>
      </c>
      <c r="I756" s="26">
        <v>70</v>
      </c>
      <c r="J756" s="33">
        <f t="shared" si="36"/>
        <v>77</v>
      </c>
      <c r="K756" s="26">
        <v>0.5</v>
      </c>
      <c r="L756" s="33"/>
      <c r="M756" s="38">
        <f t="shared" si="34"/>
        <v>12.2</v>
      </c>
      <c r="N756" s="39">
        <f t="shared" si="35"/>
        <v>5.6810966519999999</v>
      </c>
      <c r="O756" s="26" t="s">
        <v>1007</v>
      </c>
      <c r="P756" s="31" t="s">
        <v>19</v>
      </c>
    </row>
    <row r="757" spans="1:16" x14ac:dyDescent="0.25">
      <c r="A757" s="26">
        <v>756</v>
      </c>
      <c r="B757" s="26" t="s">
        <v>1408</v>
      </c>
      <c r="C757" s="26" t="s">
        <v>1409</v>
      </c>
      <c r="D757" s="28" t="s">
        <v>1410</v>
      </c>
      <c r="E757" s="26" t="s">
        <v>18</v>
      </c>
      <c r="F757" s="26"/>
      <c r="G757" s="29">
        <v>10.1</v>
      </c>
      <c r="H757" s="26">
        <v>87</v>
      </c>
      <c r="I757" s="26">
        <v>85</v>
      </c>
      <c r="J757" s="33">
        <f t="shared" si="36"/>
        <v>86</v>
      </c>
      <c r="K757" s="26">
        <v>0.3</v>
      </c>
      <c r="L757" s="33"/>
      <c r="M757" s="38">
        <f t="shared" si="34"/>
        <v>9.7999999999999989</v>
      </c>
      <c r="N757" s="39">
        <f t="shared" si="35"/>
        <v>5.6926420319999993</v>
      </c>
      <c r="O757" s="26" t="s">
        <v>21</v>
      </c>
      <c r="P757" s="31" t="s">
        <v>19</v>
      </c>
    </row>
    <row r="758" spans="1:16" x14ac:dyDescent="0.25">
      <c r="A758" s="26">
        <v>757</v>
      </c>
      <c r="B758" s="26" t="s">
        <v>1411</v>
      </c>
      <c r="C758" s="26" t="s">
        <v>1412</v>
      </c>
      <c r="D758" s="28" t="s">
        <v>1413</v>
      </c>
      <c r="E758" s="26" t="s">
        <v>18</v>
      </c>
      <c r="F758" s="26"/>
      <c r="G758" s="29">
        <v>5.8</v>
      </c>
      <c r="H758" s="26">
        <v>96</v>
      </c>
      <c r="I758" s="26">
        <v>80</v>
      </c>
      <c r="J758" s="33">
        <f t="shared" si="36"/>
        <v>88</v>
      </c>
      <c r="K758" s="26">
        <v>0.8</v>
      </c>
      <c r="L758" s="33"/>
      <c r="M758" s="38">
        <f t="shared" si="34"/>
        <v>5</v>
      </c>
      <c r="N758" s="39">
        <f t="shared" si="35"/>
        <v>3.0410687999999997</v>
      </c>
      <c r="O758" s="26" t="s">
        <v>53</v>
      </c>
      <c r="P758" s="31" t="s">
        <v>30</v>
      </c>
    </row>
    <row r="759" spans="1:16" x14ac:dyDescent="0.25">
      <c r="A759" s="26">
        <v>758</v>
      </c>
      <c r="B759" s="26" t="s">
        <v>1414</v>
      </c>
      <c r="C759" s="26" t="s">
        <v>1415</v>
      </c>
      <c r="D759" s="28" t="s">
        <v>1416</v>
      </c>
      <c r="E759" s="26" t="s">
        <v>18</v>
      </c>
      <c r="F759" s="26"/>
      <c r="G759" s="29">
        <v>7.1</v>
      </c>
      <c r="H759" s="26">
        <v>84</v>
      </c>
      <c r="I759" s="26">
        <v>78</v>
      </c>
      <c r="J759" s="33">
        <f t="shared" si="36"/>
        <v>81</v>
      </c>
      <c r="K759" s="26"/>
      <c r="L759" s="33"/>
      <c r="M759" s="38">
        <f t="shared" si="34"/>
        <v>7.1</v>
      </c>
      <c r="N759" s="39">
        <f t="shared" si="35"/>
        <v>3.6586366739999998</v>
      </c>
      <c r="O759" s="26"/>
      <c r="P759" s="31" t="s">
        <v>19</v>
      </c>
    </row>
    <row r="760" spans="1:16" x14ac:dyDescent="0.25">
      <c r="A760" s="26">
        <v>759</v>
      </c>
      <c r="B760" s="26" t="s">
        <v>1417</v>
      </c>
      <c r="C760" s="26" t="s">
        <v>1418</v>
      </c>
      <c r="D760" s="28" t="s">
        <v>1419</v>
      </c>
      <c r="E760" s="26" t="s">
        <v>18</v>
      </c>
      <c r="F760" s="26"/>
      <c r="G760" s="29">
        <v>9.1</v>
      </c>
      <c r="H760" s="26">
        <v>101</v>
      </c>
      <c r="I760" s="26">
        <v>95</v>
      </c>
      <c r="J760" s="33">
        <f t="shared" si="36"/>
        <v>98</v>
      </c>
      <c r="K760" s="26"/>
      <c r="L760" s="33"/>
      <c r="M760" s="38">
        <f t="shared" si="34"/>
        <v>9.1</v>
      </c>
      <c r="N760" s="39">
        <f t="shared" si="35"/>
        <v>6.8641132559999996</v>
      </c>
      <c r="O760" s="26"/>
      <c r="P760" s="31" t="s">
        <v>19</v>
      </c>
    </row>
    <row r="761" spans="1:16" x14ac:dyDescent="0.25">
      <c r="A761" s="26">
        <v>760</v>
      </c>
      <c r="B761" s="26" t="s">
        <v>1420</v>
      </c>
      <c r="C761" s="26" t="s">
        <v>1421</v>
      </c>
      <c r="D761" s="28" t="s">
        <v>1422</v>
      </c>
      <c r="E761" s="26" t="s">
        <v>18</v>
      </c>
      <c r="F761" s="26"/>
      <c r="G761" s="29">
        <v>11.7</v>
      </c>
      <c r="H761" s="26">
        <v>90</v>
      </c>
      <c r="I761" s="26">
        <v>75</v>
      </c>
      <c r="J761" s="33">
        <f t="shared" si="36"/>
        <v>82</v>
      </c>
      <c r="K761" s="26"/>
      <c r="L761" s="33"/>
      <c r="M761" s="38">
        <f t="shared" si="34"/>
        <v>11.7</v>
      </c>
      <c r="N761" s="39">
        <f t="shared" si="35"/>
        <v>6.1788046319999985</v>
      </c>
      <c r="O761" s="26"/>
      <c r="P761" s="31" t="s">
        <v>30</v>
      </c>
    </row>
    <row r="762" spans="1:16" x14ac:dyDescent="0.25">
      <c r="A762" s="26">
        <v>761</v>
      </c>
      <c r="B762" s="26" t="s">
        <v>1423</v>
      </c>
      <c r="C762" s="26" t="s">
        <v>1424</v>
      </c>
      <c r="D762" s="28" t="s">
        <v>1425</v>
      </c>
      <c r="E762" s="26" t="s">
        <v>18</v>
      </c>
      <c r="F762" s="26"/>
      <c r="G762" s="29">
        <v>6.2</v>
      </c>
      <c r="H762" s="26">
        <v>75</v>
      </c>
      <c r="I762" s="26">
        <v>71</v>
      </c>
      <c r="J762" s="33">
        <f t="shared" si="36"/>
        <v>73</v>
      </c>
      <c r="K762" s="26"/>
      <c r="L762" s="33"/>
      <c r="M762" s="38">
        <f t="shared" si="34"/>
        <v>6.2</v>
      </c>
      <c r="N762" s="39">
        <f t="shared" si="35"/>
        <v>2.5949458920000001</v>
      </c>
      <c r="O762" s="26"/>
      <c r="P762" s="31" t="s">
        <v>19</v>
      </c>
    </row>
    <row r="763" spans="1:16" x14ac:dyDescent="0.25">
      <c r="A763" s="26">
        <v>762</v>
      </c>
      <c r="B763" s="26" t="s">
        <v>1426</v>
      </c>
      <c r="C763" s="26" t="s">
        <v>1427</v>
      </c>
      <c r="D763" s="28">
        <v>4978</v>
      </c>
      <c r="E763" s="26" t="s">
        <v>18</v>
      </c>
      <c r="F763" s="26"/>
      <c r="G763" s="29">
        <v>11.2</v>
      </c>
      <c r="H763" s="26">
        <v>126</v>
      </c>
      <c r="I763" s="26">
        <v>115</v>
      </c>
      <c r="J763" s="33">
        <f t="shared" si="36"/>
        <v>120</v>
      </c>
      <c r="K763" s="26"/>
      <c r="L763" s="33"/>
      <c r="M763" s="38">
        <f t="shared" si="34"/>
        <v>11.2</v>
      </c>
      <c r="N763" s="39">
        <f t="shared" si="35"/>
        <v>12.666931199999999</v>
      </c>
      <c r="O763" s="26"/>
      <c r="P763" s="31" t="s">
        <v>19</v>
      </c>
    </row>
    <row r="764" spans="1:16" x14ac:dyDescent="0.25">
      <c r="A764" s="26">
        <v>763</v>
      </c>
      <c r="B764" s="26" t="s">
        <v>1428</v>
      </c>
      <c r="C764" s="26" t="s">
        <v>1429</v>
      </c>
      <c r="D764" s="28" t="s">
        <v>1430</v>
      </c>
      <c r="E764" s="26" t="s">
        <v>18</v>
      </c>
      <c r="F764" s="26"/>
      <c r="G764" s="29">
        <v>11.1</v>
      </c>
      <c r="H764" s="26">
        <v>115</v>
      </c>
      <c r="I764" s="26">
        <v>95</v>
      </c>
      <c r="J764" s="33">
        <f t="shared" si="36"/>
        <v>105</v>
      </c>
      <c r="K764" s="26"/>
      <c r="L764" s="33"/>
      <c r="M764" s="38">
        <f t="shared" si="34"/>
        <v>11.1</v>
      </c>
      <c r="N764" s="39">
        <f t="shared" si="35"/>
        <v>9.6115288499999991</v>
      </c>
      <c r="O764" s="26"/>
      <c r="P764" s="31" t="s">
        <v>30</v>
      </c>
    </row>
    <row r="765" spans="1:16" x14ac:dyDescent="0.25">
      <c r="A765" s="26">
        <v>764</v>
      </c>
      <c r="B765" s="26" t="s">
        <v>1431</v>
      </c>
      <c r="C765" s="26" t="s">
        <v>1432</v>
      </c>
      <c r="D765" s="28" t="s">
        <v>1433</v>
      </c>
      <c r="E765" s="26" t="s">
        <v>18</v>
      </c>
      <c r="F765" s="26"/>
      <c r="G765" s="29">
        <v>12.5</v>
      </c>
      <c r="H765" s="26">
        <v>93</v>
      </c>
      <c r="I765" s="26">
        <v>81</v>
      </c>
      <c r="J765" s="33">
        <f t="shared" si="36"/>
        <v>87</v>
      </c>
      <c r="K765" s="26"/>
      <c r="L765" s="33"/>
      <c r="M765" s="38">
        <f t="shared" si="34"/>
        <v>12.5</v>
      </c>
      <c r="N765" s="39">
        <f t="shared" si="35"/>
        <v>7.4308657499999997</v>
      </c>
      <c r="O765" s="26"/>
      <c r="P765" s="31" t="s">
        <v>19</v>
      </c>
    </row>
    <row r="766" spans="1:16" x14ac:dyDescent="0.25">
      <c r="A766" s="26">
        <v>765</v>
      </c>
      <c r="B766" s="26" t="s">
        <v>1434</v>
      </c>
      <c r="C766" s="26" t="s">
        <v>1435</v>
      </c>
      <c r="D766" s="28" t="s">
        <v>1436</v>
      </c>
      <c r="E766" s="26" t="s">
        <v>18</v>
      </c>
      <c r="F766" s="26"/>
      <c r="G766" s="29">
        <v>12</v>
      </c>
      <c r="H766" s="26">
        <v>102</v>
      </c>
      <c r="I766" s="26">
        <v>95</v>
      </c>
      <c r="J766" s="33">
        <f t="shared" si="36"/>
        <v>98</v>
      </c>
      <c r="K766" s="26"/>
      <c r="L766" s="33"/>
      <c r="M766" s="38">
        <f t="shared" si="34"/>
        <v>12</v>
      </c>
      <c r="N766" s="39">
        <f t="shared" si="35"/>
        <v>9.0515779199999997</v>
      </c>
      <c r="O766" s="26"/>
      <c r="P766" s="31" t="s">
        <v>19</v>
      </c>
    </row>
    <row r="767" spans="1:16" x14ac:dyDescent="0.25">
      <c r="A767" s="26">
        <v>766</v>
      </c>
      <c r="B767" s="26" t="s">
        <v>1437</v>
      </c>
      <c r="C767" s="26" t="s">
        <v>1438</v>
      </c>
      <c r="D767" s="28" t="s">
        <v>1439</v>
      </c>
      <c r="E767" s="26" t="s">
        <v>18</v>
      </c>
      <c r="F767" s="26"/>
      <c r="G767" s="29">
        <v>6.2</v>
      </c>
      <c r="H767" s="26">
        <v>77</v>
      </c>
      <c r="I767" s="26">
        <v>77</v>
      </c>
      <c r="J767" s="33">
        <f t="shared" si="36"/>
        <v>77</v>
      </c>
      <c r="K767" s="26"/>
      <c r="L767" s="33"/>
      <c r="M767" s="38">
        <f t="shared" si="34"/>
        <v>6.2</v>
      </c>
      <c r="N767" s="39">
        <f t="shared" si="35"/>
        <v>2.8871146920000004</v>
      </c>
      <c r="O767" s="26"/>
      <c r="P767" s="31" t="s">
        <v>19</v>
      </c>
    </row>
    <row r="768" spans="1:16" x14ac:dyDescent="0.25">
      <c r="A768" s="26">
        <v>767</v>
      </c>
      <c r="B768" s="26" t="s">
        <v>1440</v>
      </c>
      <c r="C768" s="26" t="s">
        <v>1441</v>
      </c>
      <c r="D768" s="28" t="s">
        <v>1442</v>
      </c>
      <c r="E768" s="26" t="s">
        <v>18</v>
      </c>
      <c r="F768" s="26"/>
      <c r="G768" s="29">
        <v>12.3</v>
      </c>
      <c r="H768" s="26">
        <v>92</v>
      </c>
      <c r="I768" s="26">
        <v>79</v>
      </c>
      <c r="J768" s="33">
        <f t="shared" si="36"/>
        <v>85</v>
      </c>
      <c r="K768" s="26"/>
      <c r="L768" s="33"/>
      <c r="M768" s="38">
        <f t="shared" si="34"/>
        <v>12.3</v>
      </c>
      <c r="N768" s="39">
        <f t="shared" si="35"/>
        <v>6.9796534499999998</v>
      </c>
      <c r="O768" s="26"/>
      <c r="P768" s="31" t="s">
        <v>19</v>
      </c>
    </row>
    <row r="769" spans="1:16" x14ac:dyDescent="0.25">
      <c r="A769" s="26">
        <v>768</v>
      </c>
      <c r="B769" s="26" t="s">
        <v>1443</v>
      </c>
      <c r="C769" s="26" t="s">
        <v>1444</v>
      </c>
      <c r="D769" s="28" t="s">
        <v>1445</v>
      </c>
      <c r="E769" s="26" t="s">
        <v>18</v>
      </c>
      <c r="F769" s="26"/>
      <c r="G769" s="29">
        <v>8</v>
      </c>
      <c r="H769" s="26">
        <v>78</v>
      </c>
      <c r="I769" s="26">
        <v>75</v>
      </c>
      <c r="J769" s="33">
        <f t="shared" si="36"/>
        <v>76</v>
      </c>
      <c r="K769" s="26"/>
      <c r="L769" s="33"/>
      <c r="M769" s="38">
        <f t="shared" si="34"/>
        <v>8</v>
      </c>
      <c r="N769" s="39">
        <f t="shared" si="35"/>
        <v>3.62917632</v>
      </c>
      <c r="O769" s="26"/>
      <c r="P769" s="31" t="s">
        <v>19</v>
      </c>
    </row>
    <row r="770" spans="1:16" x14ac:dyDescent="0.25">
      <c r="A770" s="26">
        <v>769</v>
      </c>
      <c r="B770" s="26" t="s">
        <v>1446</v>
      </c>
      <c r="C770" s="26" t="s">
        <v>1447</v>
      </c>
      <c r="D770" s="28" t="s">
        <v>1448</v>
      </c>
      <c r="E770" s="26" t="s">
        <v>18</v>
      </c>
      <c r="F770" s="26"/>
      <c r="G770" s="29">
        <v>12.3</v>
      </c>
      <c r="H770" s="26">
        <v>92</v>
      </c>
      <c r="I770" s="26">
        <v>74</v>
      </c>
      <c r="J770" s="33">
        <f t="shared" si="36"/>
        <v>83</v>
      </c>
      <c r="K770" s="26">
        <v>0.5</v>
      </c>
      <c r="L770" s="33"/>
      <c r="M770" s="38">
        <f t="shared" ref="M770:M833" si="37">G770-K770</f>
        <v>11.8</v>
      </c>
      <c r="N770" s="39">
        <f t="shared" ref="N770:N833" si="38">J770*J770*M770*0.7854/10000</f>
        <v>6.3845323080000007</v>
      </c>
      <c r="O770" s="26" t="s">
        <v>1007</v>
      </c>
      <c r="P770" s="31" t="s">
        <v>19</v>
      </c>
    </row>
    <row r="771" spans="1:16" x14ac:dyDescent="0.25">
      <c r="A771" s="26">
        <v>770</v>
      </c>
      <c r="B771" s="26" t="s">
        <v>1449</v>
      </c>
      <c r="C771" s="26" t="s">
        <v>1450</v>
      </c>
      <c r="D771" s="28" t="s">
        <v>1451</v>
      </c>
      <c r="E771" s="26" t="s">
        <v>18</v>
      </c>
      <c r="F771" s="26"/>
      <c r="G771" s="29">
        <v>12.2</v>
      </c>
      <c r="H771" s="26">
        <v>83</v>
      </c>
      <c r="I771" s="26">
        <v>66</v>
      </c>
      <c r="J771" s="33">
        <f t="shared" si="36"/>
        <v>74</v>
      </c>
      <c r="K771" s="26"/>
      <c r="L771" s="33"/>
      <c r="M771" s="38">
        <f t="shared" si="37"/>
        <v>12.2</v>
      </c>
      <c r="N771" s="39">
        <f t="shared" si="38"/>
        <v>5.2470374879999993</v>
      </c>
      <c r="O771" s="26"/>
      <c r="P771" s="31" t="s">
        <v>19</v>
      </c>
    </row>
    <row r="772" spans="1:16" x14ac:dyDescent="0.25">
      <c r="A772" s="26">
        <v>771</v>
      </c>
      <c r="B772" s="26" t="s">
        <v>1452</v>
      </c>
      <c r="C772" s="26" t="s">
        <v>1453</v>
      </c>
      <c r="D772" s="28" t="s">
        <v>1454</v>
      </c>
      <c r="E772" s="26" t="s">
        <v>18</v>
      </c>
      <c r="F772" s="26"/>
      <c r="G772" s="29">
        <v>12</v>
      </c>
      <c r="H772" s="26">
        <v>114</v>
      </c>
      <c r="I772" s="26">
        <v>104</v>
      </c>
      <c r="J772" s="33">
        <f t="shared" si="36"/>
        <v>109</v>
      </c>
      <c r="K772" s="26"/>
      <c r="L772" s="33"/>
      <c r="M772" s="38">
        <f t="shared" si="37"/>
        <v>12</v>
      </c>
      <c r="N772" s="39">
        <f t="shared" si="38"/>
        <v>11.19760488</v>
      </c>
      <c r="O772" s="26"/>
      <c r="P772" s="31" t="s">
        <v>19</v>
      </c>
    </row>
    <row r="773" spans="1:16" x14ac:dyDescent="0.25">
      <c r="A773" s="26">
        <v>772</v>
      </c>
      <c r="B773" s="26" t="s">
        <v>1455</v>
      </c>
      <c r="C773" s="26" t="s">
        <v>1456</v>
      </c>
      <c r="D773" s="28" t="s">
        <v>1457</v>
      </c>
      <c r="E773" s="26" t="s">
        <v>18</v>
      </c>
      <c r="F773" s="26"/>
      <c r="G773" s="29">
        <v>7.3</v>
      </c>
      <c r="H773" s="26">
        <v>104</v>
      </c>
      <c r="I773" s="26">
        <v>94</v>
      </c>
      <c r="J773" s="33">
        <f t="shared" si="36"/>
        <v>99</v>
      </c>
      <c r="K773" s="26"/>
      <c r="L773" s="33"/>
      <c r="M773" s="38">
        <f t="shared" si="37"/>
        <v>7.3</v>
      </c>
      <c r="N773" s="39">
        <f t="shared" si="38"/>
        <v>5.6193249420000004</v>
      </c>
      <c r="O773" s="26"/>
      <c r="P773" s="31" t="s">
        <v>30</v>
      </c>
    </row>
    <row r="774" spans="1:16" x14ac:dyDescent="0.25">
      <c r="A774" s="26">
        <v>773</v>
      </c>
      <c r="B774" s="26" t="s">
        <v>1458</v>
      </c>
      <c r="C774" s="26" t="s">
        <v>1459</v>
      </c>
      <c r="D774" s="28" t="s">
        <v>1460</v>
      </c>
      <c r="E774" s="26" t="s">
        <v>18</v>
      </c>
      <c r="F774" s="26"/>
      <c r="G774" s="29">
        <v>13.3</v>
      </c>
      <c r="H774" s="26">
        <v>97</v>
      </c>
      <c r="I774" s="26">
        <v>85</v>
      </c>
      <c r="J774" s="33">
        <f t="shared" si="36"/>
        <v>91</v>
      </c>
      <c r="K774" s="26"/>
      <c r="L774" s="33"/>
      <c r="M774" s="38">
        <f t="shared" si="37"/>
        <v>13.3</v>
      </c>
      <c r="N774" s="39">
        <f t="shared" si="38"/>
        <v>8.6501835420000006</v>
      </c>
      <c r="O774" s="26"/>
      <c r="P774" s="31" t="s">
        <v>19</v>
      </c>
    </row>
    <row r="775" spans="1:16" x14ac:dyDescent="0.25">
      <c r="A775" s="26">
        <v>774</v>
      </c>
      <c r="B775" s="26" t="s">
        <v>1461</v>
      </c>
      <c r="C775" s="26" t="s">
        <v>1462</v>
      </c>
      <c r="D775" s="28" t="s">
        <v>1463</v>
      </c>
      <c r="E775" s="26" t="s">
        <v>18</v>
      </c>
      <c r="F775" s="26"/>
      <c r="G775" s="29">
        <v>12.2</v>
      </c>
      <c r="H775" s="26">
        <v>85</v>
      </c>
      <c r="I775" s="26">
        <v>78</v>
      </c>
      <c r="J775" s="33">
        <f t="shared" si="36"/>
        <v>81</v>
      </c>
      <c r="K775" s="26"/>
      <c r="L775" s="33"/>
      <c r="M775" s="38">
        <f t="shared" si="37"/>
        <v>12.2</v>
      </c>
      <c r="N775" s="39">
        <f t="shared" si="38"/>
        <v>6.2866714679999998</v>
      </c>
      <c r="O775" s="26"/>
      <c r="P775" s="31" t="s">
        <v>19</v>
      </c>
    </row>
    <row r="776" spans="1:16" x14ac:dyDescent="0.25">
      <c r="A776" s="26">
        <v>775</v>
      </c>
      <c r="B776" s="26" t="s">
        <v>1464</v>
      </c>
      <c r="C776" s="26" t="s">
        <v>1465</v>
      </c>
      <c r="D776" s="28" t="s">
        <v>1466</v>
      </c>
      <c r="E776" s="26" t="s">
        <v>18</v>
      </c>
      <c r="F776" s="26"/>
      <c r="G776" s="29">
        <v>12</v>
      </c>
      <c r="H776" s="26">
        <v>74</v>
      </c>
      <c r="I776" s="26">
        <v>66</v>
      </c>
      <c r="J776" s="33">
        <f t="shared" si="36"/>
        <v>70</v>
      </c>
      <c r="K776" s="26">
        <v>0.3</v>
      </c>
      <c r="L776" s="33"/>
      <c r="M776" s="38">
        <f t="shared" si="37"/>
        <v>11.7</v>
      </c>
      <c r="N776" s="39">
        <f t="shared" si="38"/>
        <v>4.5026981999999993</v>
      </c>
      <c r="O776" s="26" t="s">
        <v>21</v>
      </c>
      <c r="P776" s="31" t="s">
        <v>30</v>
      </c>
    </row>
    <row r="777" spans="1:16" x14ac:dyDescent="0.25">
      <c r="A777" s="26">
        <v>776</v>
      </c>
      <c r="B777" s="26" t="s">
        <v>1467</v>
      </c>
      <c r="C777" s="26" t="s">
        <v>1468</v>
      </c>
      <c r="D777" s="28" t="s">
        <v>1469</v>
      </c>
      <c r="E777" s="26" t="s">
        <v>18</v>
      </c>
      <c r="F777" s="26"/>
      <c r="G777" s="29">
        <v>11.3</v>
      </c>
      <c r="H777" s="26">
        <v>98</v>
      </c>
      <c r="I777" s="26">
        <v>79</v>
      </c>
      <c r="J777" s="33">
        <f t="shared" si="36"/>
        <v>88</v>
      </c>
      <c r="K777" s="26"/>
      <c r="L777" s="33"/>
      <c r="M777" s="38">
        <f t="shared" si="37"/>
        <v>11.3</v>
      </c>
      <c r="N777" s="39">
        <f t="shared" si="38"/>
        <v>6.8728154880000005</v>
      </c>
      <c r="O777" s="26"/>
      <c r="P777" s="31" t="s">
        <v>19</v>
      </c>
    </row>
    <row r="778" spans="1:16" x14ac:dyDescent="0.25">
      <c r="A778" s="26">
        <v>777</v>
      </c>
      <c r="B778" s="26" t="s">
        <v>1470</v>
      </c>
      <c r="C778" s="26" t="s">
        <v>1471</v>
      </c>
      <c r="D778" s="28" t="s">
        <v>1472</v>
      </c>
      <c r="E778" s="26" t="s">
        <v>18</v>
      </c>
      <c r="F778" s="26"/>
      <c r="G778" s="29">
        <v>5.7</v>
      </c>
      <c r="H778" s="26">
        <v>91</v>
      </c>
      <c r="I778" s="26">
        <v>91</v>
      </c>
      <c r="J778" s="33">
        <f t="shared" si="36"/>
        <v>91</v>
      </c>
      <c r="K778" s="26"/>
      <c r="L778" s="33"/>
      <c r="M778" s="38">
        <f t="shared" si="37"/>
        <v>5.7</v>
      </c>
      <c r="N778" s="39">
        <f t="shared" si="38"/>
        <v>3.7072215179999999</v>
      </c>
      <c r="O778" s="26"/>
      <c r="P778" s="31" t="s">
        <v>19</v>
      </c>
    </row>
    <row r="779" spans="1:16" x14ac:dyDescent="0.25">
      <c r="A779" s="26">
        <v>778</v>
      </c>
      <c r="B779" s="26" t="s">
        <v>1473</v>
      </c>
      <c r="C779" s="26" t="s">
        <v>1474</v>
      </c>
      <c r="D779" s="28" t="s">
        <v>1475</v>
      </c>
      <c r="E779" s="26" t="s">
        <v>18</v>
      </c>
      <c r="F779" s="26"/>
      <c r="G779" s="29">
        <v>10.3</v>
      </c>
      <c r="H779" s="26">
        <v>92</v>
      </c>
      <c r="I779" s="26">
        <v>78</v>
      </c>
      <c r="J779" s="33">
        <f t="shared" si="36"/>
        <v>85</v>
      </c>
      <c r="K779" s="26"/>
      <c r="L779" s="33"/>
      <c r="M779" s="38">
        <f t="shared" si="37"/>
        <v>10.3</v>
      </c>
      <c r="N779" s="39">
        <f t="shared" si="38"/>
        <v>5.8447504499999994</v>
      </c>
      <c r="O779" s="26"/>
      <c r="P779" s="31" t="s">
        <v>30</v>
      </c>
    </row>
    <row r="780" spans="1:16" x14ac:dyDescent="0.25">
      <c r="A780" s="26">
        <v>779</v>
      </c>
      <c r="B780" s="26" t="s">
        <v>1476</v>
      </c>
      <c r="C780" s="26" t="s">
        <v>1477</v>
      </c>
      <c r="D780" s="28" t="s">
        <v>1478</v>
      </c>
      <c r="E780" s="26" t="s">
        <v>18</v>
      </c>
      <c r="F780" s="26"/>
      <c r="G780" s="29">
        <v>5.5</v>
      </c>
      <c r="H780" s="26">
        <v>78</v>
      </c>
      <c r="I780" s="26">
        <v>76</v>
      </c>
      <c r="J780" s="33">
        <f t="shared" si="36"/>
        <v>77</v>
      </c>
      <c r="K780" s="26"/>
      <c r="L780" s="33"/>
      <c r="M780" s="38">
        <f t="shared" si="37"/>
        <v>5.5</v>
      </c>
      <c r="N780" s="39">
        <f t="shared" si="38"/>
        <v>2.5611501300000001</v>
      </c>
      <c r="O780" s="26"/>
      <c r="P780" s="31" t="s">
        <v>19</v>
      </c>
    </row>
    <row r="781" spans="1:16" x14ac:dyDescent="0.25">
      <c r="A781" s="26">
        <v>780</v>
      </c>
      <c r="B781" s="26" t="s">
        <v>1479</v>
      </c>
      <c r="C781" s="26" t="s">
        <v>1480</v>
      </c>
      <c r="D781" s="28">
        <v>4952</v>
      </c>
      <c r="E781" s="26" t="s">
        <v>18</v>
      </c>
      <c r="F781" s="26"/>
      <c r="G781" s="29">
        <v>14</v>
      </c>
      <c r="H781" s="26">
        <v>94</v>
      </c>
      <c r="I781" s="26">
        <v>73</v>
      </c>
      <c r="J781" s="33">
        <f t="shared" si="36"/>
        <v>83</v>
      </c>
      <c r="K781" s="26"/>
      <c r="L781" s="33"/>
      <c r="M781" s="38">
        <f t="shared" si="37"/>
        <v>14</v>
      </c>
      <c r="N781" s="39">
        <f t="shared" si="38"/>
        <v>7.5748688399999997</v>
      </c>
      <c r="O781" s="26"/>
      <c r="P781" s="31" t="s">
        <v>19</v>
      </c>
    </row>
    <row r="782" spans="1:16" x14ac:dyDescent="0.25">
      <c r="A782" s="26">
        <v>781</v>
      </c>
      <c r="B782" s="26" t="s">
        <v>1481</v>
      </c>
      <c r="C782" s="26" t="s">
        <v>1482</v>
      </c>
      <c r="D782" s="28" t="s">
        <v>1483</v>
      </c>
      <c r="E782" s="26" t="s">
        <v>18</v>
      </c>
      <c r="F782" s="26"/>
      <c r="G782" s="29">
        <v>6.3</v>
      </c>
      <c r="H782" s="26">
        <v>80</v>
      </c>
      <c r="I782" s="26">
        <v>80</v>
      </c>
      <c r="J782" s="33">
        <f t="shared" si="36"/>
        <v>80</v>
      </c>
      <c r="K782" s="32"/>
      <c r="L782" s="42"/>
      <c r="M782" s="38">
        <f t="shared" si="37"/>
        <v>6.3</v>
      </c>
      <c r="N782" s="39">
        <f t="shared" si="38"/>
        <v>3.1667327999999997</v>
      </c>
      <c r="O782" s="26"/>
      <c r="P782" s="31" t="s">
        <v>19</v>
      </c>
    </row>
    <row r="783" spans="1:16" x14ac:dyDescent="0.25">
      <c r="A783" s="26">
        <v>782</v>
      </c>
      <c r="B783" s="26" t="s">
        <v>1484</v>
      </c>
      <c r="C783" s="26" t="s">
        <v>1485</v>
      </c>
      <c r="D783" s="28" t="s">
        <v>1486</v>
      </c>
      <c r="E783" s="26" t="s">
        <v>18</v>
      </c>
      <c r="F783" s="26"/>
      <c r="G783" s="29">
        <v>11.8</v>
      </c>
      <c r="H783" s="26">
        <v>75</v>
      </c>
      <c r="I783" s="26">
        <v>67</v>
      </c>
      <c r="J783" s="33">
        <f t="shared" si="36"/>
        <v>71</v>
      </c>
      <c r="K783" s="32"/>
      <c r="L783" s="42"/>
      <c r="M783" s="38">
        <f t="shared" si="37"/>
        <v>11.8</v>
      </c>
      <c r="N783" s="39">
        <f t="shared" si="38"/>
        <v>4.6718576519999999</v>
      </c>
      <c r="O783" s="26"/>
      <c r="P783" s="31" t="s">
        <v>19</v>
      </c>
    </row>
    <row r="784" spans="1:16" x14ac:dyDescent="0.25">
      <c r="A784" s="26">
        <v>783</v>
      </c>
      <c r="B784" s="26" t="s">
        <v>1487</v>
      </c>
      <c r="C784" s="26" t="s">
        <v>1488</v>
      </c>
      <c r="D784" s="28" t="s">
        <v>1489</v>
      </c>
      <c r="E784" s="26" t="s">
        <v>18</v>
      </c>
      <c r="F784" s="26"/>
      <c r="G784" s="29">
        <v>11</v>
      </c>
      <c r="H784" s="26">
        <v>88</v>
      </c>
      <c r="I784" s="26">
        <v>72</v>
      </c>
      <c r="J784" s="33">
        <f t="shared" si="36"/>
        <v>80</v>
      </c>
      <c r="K784" s="32"/>
      <c r="L784" s="42"/>
      <c r="M784" s="38">
        <f t="shared" si="37"/>
        <v>11</v>
      </c>
      <c r="N784" s="39">
        <f t="shared" si="38"/>
        <v>5.5292159999999999</v>
      </c>
      <c r="O784" s="26"/>
      <c r="P784" s="31" t="s">
        <v>19</v>
      </c>
    </row>
    <row r="785" spans="1:16" x14ac:dyDescent="0.25">
      <c r="A785" s="26">
        <v>784</v>
      </c>
      <c r="B785" s="26" t="s">
        <v>1490</v>
      </c>
      <c r="C785" s="26" t="s">
        <v>1491</v>
      </c>
      <c r="D785" s="28">
        <v>5152</v>
      </c>
      <c r="E785" s="26" t="s">
        <v>18</v>
      </c>
      <c r="F785" s="26"/>
      <c r="G785" s="29">
        <v>11.2</v>
      </c>
      <c r="H785" s="26">
        <v>114</v>
      </c>
      <c r="I785" s="26">
        <v>100</v>
      </c>
      <c r="J785" s="33">
        <f t="shared" si="36"/>
        <v>107</v>
      </c>
      <c r="K785" s="32"/>
      <c r="L785" s="42"/>
      <c r="M785" s="38">
        <f t="shared" si="37"/>
        <v>11.2</v>
      </c>
      <c r="N785" s="39">
        <f t="shared" si="38"/>
        <v>10.071089951999999</v>
      </c>
      <c r="O785" s="26"/>
      <c r="P785" s="31" t="s">
        <v>19</v>
      </c>
    </row>
    <row r="786" spans="1:16" x14ac:dyDescent="0.25">
      <c r="A786" s="26">
        <v>785</v>
      </c>
      <c r="B786" s="26" t="s">
        <v>1492</v>
      </c>
      <c r="C786" s="26" t="s">
        <v>1493</v>
      </c>
      <c r="D786" s="28" t="s">
        <v>1494</v>
      </c>
      <c r="E786" s="26" t="s">
        <v>18</v>
      </c>
      <c r="F786" s="26"/>
      <c r="G786" s="29">
        <v>6.1</v>
      </c>
      <c r="H786" s="26">
        <v>68</v>
      </c>
      <c r="I786" s="26">
        <v>68</v>
      </c>
      <c r="J786" s="33">
        <f t="shared" si="36"/>
        <v>68</v>
      </c>
      <c r="K786" s="32"/>
      <c r="L786" s="42"/>
      <c r="M786" s="38">
        <f t="shared" si="37"/>
        <v>6.1</v>
      </c>
      <c r="N786" s="39">
        <f t="shared" si="38"/>
        <v>2.2153306559999999</v>
      </c>
      <c r="O786" s="26"/>
      <c r="P786" s="31" t="s">
        <v>19</v>
      </c>
    </row>
    <row r="787" spans="1:16" x14ac:dyDescent="0.25">
      <c r="A787" s="26">
        <v>786</v>
      </c>
      <c r="B787" s="26" t="s">
        <v>1495</v>
      </c>
      <c r="C787" s="26" t="s">
        <v>1496</v>
      </c>
      <c r="D787" s="28" t="s">
        <v>1497</v>
      </c>
      <c r="E787" s="26" t="s">
        <v>18</v>
      </c>
      <c r="F787" s="26"/>
      <c r="G787" s="29">
        <v>9.8000000000000007</v>
      </c>
      <c r="H787" s="26">
        <v>83</v>
      </c>
      <c r="I787" s="26">
        <v>76</v>
      </c>
      <c r="J787" s="33">
        <f t="shared" si="36"/>
        <v>79</v>
      </c>
      <c r="K787" s="32"/>
      <c r="L787" s="42"/>
      <c r="M787" s="38">
        <f t="shared" si="37"/>
        <v>9.8000000000000007</v>
      </c>
      <c r="N787" s="39">
        <f t="shared" si="38"/>
        <v>4.8036477720000006</v>
      </c>
      <c r="O787" s="26"/>
      <c r="P787" s="31" t="s">
        <v>19</v>
      </c>
    </row>
    <row r="788" spans="1:16" x14ac:dyDescent="0.25">
      <c r="A788" s="26">
        <v>787</v>
      </c>
      <c r="B788" s="26" t="s">
        <v>1498</v>
      </c>
      <c r="C788" s="26" t="s">
        <v>1499</v>
      </c>
      <c r="D788" s="28">
        <v>5153</v>
      </c>
      <c r="E788" s="26" t="s">
        <v>18</v>
      </c>
      <c r="F788" s="26"/>
      <c r="G788" s="29">
        <v>13.9</v>
      </c>
      <c r="H788" s="26">
        <v>83</v>
      </c>
      <c r="I788" s="26">
        <v>62</v>
      </c>
      <c r="J788" s="33">
        <f t="shared" si="36"/>
        <v>72</v>
      </c>
      <c r="K788" s="32">
        <v>1.5</v>
      </c>
      <c r="L788" s="42"/>
      <c r="M788" s="38">
        <f t="shared" si="37"/>
        <v>12.4</v>
      </c>
      <c r="N788" s="39">
        <f t="shared" si="38"/>
        <v>5.048676863999999</v>
      </c>
      <c r="O788" s="26" t="s">
        <v>53</v>
      </c>
      <c r="P788" s="31" t="s">
        <v>30</v>
      </c>
    </row>
    <row r="789" spans="1:16" x14ac:dyDescent="0.25">
      <c r="A789" s="26">
        <v>788</v>
      </c>
      <c r="B789" s="26" t="s">
        <v>1500</v>
      </c>
      <c r="C789" s="26" t="s">
        <v>1501</v>
      </c>
      <c r="D789" s="28" t="s">
        <v>1502</v>
      </c>
      <c r="E789" s="26" t="s">
        <v>18</v>
      </c>
      <c r="F789" s="26"/>
      <c r="G789" s="29">
        <v>11.5</v>
      </c>
      <c r="H789" s="26">
        <v>95</v>
      </c>
      <c r="I789" s="26">
        <v>88</v>
      </c>
      <c r="J789" s="33">
        <f t="shared" si="36"/>
        <v>91</v>
      </c>
      <c r="K789" s="32"/>
      <c r="L789" s="42"/>
      <c r="M789" s="38">
        <f t="shared" si="37"/>
        <v>11.5</v>
      </c>
      <c r="N789" s="39">
        <f t="shared" si="38"/>
        <v>7.4794820099999999</v>
      </c>
      <c r="O789" s="26"/>
      <c r="P789" s="31" t="s">
        <v>19</v>
      </c>
    </row>
    <row r="790" spans="1:16" x14ac:dyDescent="0.25">
      <c r="A790" s="26">
        <v>789</v>
      </c>
      <c r="B790" s="26" t="s">
        <v>1503</v>
      </c>
      <c r="C790" s="26" t="s">
        <v>1504</v>
      </c>
      <c r="D790" s="28" t="s">
        <v>1505</v>
      </c>
      <c r="E790" s="26" t="s">
        <v>18</v>
      </c>
      <c r="F790" s="26"/>
      <c r="G790" s="29">
        <v>9.9</v>
      </c>
      <c r="H790" s="26">
        <v>79</v>
      </c>
      <c r="I790" s="26">
        <v>70</v>
      </c>
      <c r="J790" s="33">
        <f t="shared" si="36"/>
        <v>74</v>
      </c>
      <c r="K790" s="32">
        <v>0.3</v>
      </c>
      <c r="L790" s="42"/>
      <c r="M790" s="38">
        <f t="shared" si="37"/>
        <v>9.6</v>
      </c>
      <c r="N790" s="39">
        <f t="shared" si="38"/>
        <v>4.1288163840000003</v>
      </c>
      <c r="O790" s="26" t="s">
        <v>1007</v>
      </c>
      <c r="P790" s="31" t="s">
        <v>19</v>
      </c>
    </row>
    <row r="791" spans="1:16" x14ac:dyDescent="0.25">
      <c r="A791" s="26">
        <v>790</v>
      </c>
      <c r="B791" s="26" t="s">
        <v>1506</v>
      </c>
      <c r="C791" s="26" t="s">
        <v>1507</v>
      </c>
      <c r="D791" s="28">
        <v>980</v>
      </c>
      <c r="E791" s="26" t="s">
        <v>18</v>
      </c>
      <c r="F791" s="26"/>
      <c r="G791" s="29">
        <v>6.2</v>
      </c>
      <c r="H791" s="26">
        <v>74</v>
      </c>
      <c r="I791" s="26">
        <v>66</v>
      </c>
      <c r="J791" s="33">
        <f t="shared" si="36"/>
        <v>70</v>
      </c>
      <c r="K791" s="32">
        <v>1.5</v>
      </c>
      <c r="L791" s="42"/>
      <c r="M791" s="38">
        <f t="shared" si="37"/>
        <v>4.7</v>
      </c>
      <c r="N791" s="39">
        <f t="shared" si="38"/>
        <v>1.8087761999999998</v>
      </c>
      <c r="O791" s="26" t="s">
        <v>53</v>
      </c>
      <c r="P791" s="31" t="s">
        <v>30</v>
      </c>
    </row>
    <row r="792" spans="1:16" x14ac:dyDescent="0.25">
      <c r="A792" s="26">
        <v>791</v>
      </c>
      <c r="B792" s="26" t="s">
        <v>1508</v>
      </c>
      <c r="C792" s="26" t="s">
        <v>1509</v>
      </c>
      <c r="D792" s="28" t="s">
        <v>1510</v>
      </c>
      <c r="E792" s="26" t="s">
        <v>18</v>
      </c>
      <c r="F792" s="26"/>
      <c r="G792" s="29">
        <v>11.2</v>
      </c>
      <c r="H792" s="26">
        <v>82</v>
      </c>
      <c r="I792" s="26">
        <v>72</v>
      </c>
      <c r="J792" s="33">
        <f t="shared" si="36"/>
        <v>77</v>
      </c>
      <c r="K792" s="32"/>
      <c r="L792" s="42"/>
      <c r="M792" s="38">
        <f t="shared" si="37"/>
        <v>11.2</v>
      </c>
      <c r="N792" s="39">
        <f t="shared" si="38"/>
        <v>5.2154329920000002</v>
      </c>
      <c r="O792" s="26"/>
      <c r="P792" s="31" t="s">
        <v>19</v>
      </c>
    </row>
    <row r="793" spans="1:16" x14ac:dyDescent="0.25">
      <c r="A793" s="26">
        <v>792</v>
      </c>
      <c r="B793" s="26" t="s">
        <v>1511</v>
      </c>
      <c r="C793" s="26" t="s">
        <v>1512</v>
      </c>
      <c r="D793" s="28">
        <v>981</v>
      </c>
      <c r="E793" s="26" t="s">
        <v>18</v>
      </c>
      <c r="F793" s="26"/>
      <c r="G793" s="29">
        <v>11.9</v>
      </c>
      <c r="H793" s="26">
        <v>84</v>
      </c>
      <c r="I793" s="26">
        <v>70</v>
      </c>
      <c r="J793" s="33">
        <f t="shared" si="36"/>
        <v>77</v>
      </c>
      <c r="K793" s="32"/>
      <c r="L793" s="42"/>
      <c r="M793" s="38">
        <f t="shared" si="37"/>
        <v>11.9</v>
      </c>
      <c r="N793" s="39">
        <f t="shared" si="38"/>
        <v>5.5413975540000004</v>
      </c>
      <c r="O793" s="26"/>
      <c r="P793" s="31" t="s">
        <v>19</v>
      </c>
    </row>
    <row r="794" spans="1:16" x14ac:dyDescent="0.25">
      <c r="A794" s="26">
        <v>793</v>
      </c>
      <c r="B794" s="26" t="s">
        <v>1513</v>
      </c>
      <c r="C794" s="26" t="s">
        <v>1514</v>
      </c>
      <c r="D794" s="28" t="s">
        <v>1515</v>
      </c>
      <c r="E794" s="26" t="s">
        <v>18</v>
      </c>
      <c r="F794" s="26"/>
      <c r="G794" s="29">
        <v>10.9</v>
      </c>
      <c r="H794" s="26">
        <v>86</v>
      </c>
      <c r="I794" s="26">
        <v>79</v>
      </c>
      <c r="J794" s="33">
        <f t="shared" si="36"/>
        <v>82</v>
      </c>
      <c r="K794" s="32"/>
      <c r="L794" s="42"/>
      <c r="M794" s="38">
        <f t="shared" si="37"/>
        <v>10.9</v>
      </c>
      <c r="N794" s="39">
        <f t="shared" si="38"/>
        <v>5.7563222640000005</v>
      </c>
      <c r="O794" s="26"/>
      <c r="P794" s="31" t="s">
        <v>30</v>
      </c>
    </row>
    <row r="795" spans="1:16" x14ac:dyDescent="0.25">
      <c r="A795" s="26">
        <v>794</v>
      </c>
      <c r="B795" s="26" t="s">
        <v>1516</v>
      </c>
      <c r="C795" s="26" t="s">
        <v>1517</v>
      </c>
      <c r="D795" s="28" t="s">
        <v>1518</v>
      </c>
      <c r="E795" s="26" t="s">
        <v>18</v>
      </c>
      <c r="F795" s="26"/>
      <c r="G795" s="29">
        <v>6.6</v>
      </c>
      <c r="H795" s="26">
        <v>92</v>
      </c>
      <c r="I795" s="26">
        <v>85</v>
      </c>
      <c r="J795" s="33">
        <f t="shared" si="36"/>
        <v>88</v>
      </c>
      <c r="K795" s="32"/>
      <c r="L795" s="42"/>
      <c r="M795" s="38">
        <f t="shared" si="37"/>
        <v>6.6</v>
      </c>
      <c r="N795" s="39">
        <f t="shared" si="38"/>
        <v>4.0142108159999994</v>
      </c>
      <c r="O795" s="26"/>
      <c r="P795" s="31" t="s">
        <v>19</v>
      </c>
    </row>
    <row r="796" spans="1:16" x14ac:dyDescent="0.25">
      <c r="A796" s="26">
        <v>795</v>
      </c>
      <c r="B796" s="26" t="s">
        <v>1519</v>
      </c>
      <c r="C796" s="26" t="s">
        <v>1520</v>
      </c>
      <c r="D796" s="28" t="s">
        <v>1521</v>
      </c>
      <c r="E796" s="26" t="s">
        <v>18</v>
      </c>
      <c r="F796" s="26"/>
      <c r="G796" s="29">
        <v>10</v>
      </c>
      <c r="H796" s="26">
        <v>90</v>
      </c>
      <c r="I796" s="26">
        <v>86</v>
      </c>
      <c r="J796" s="33">
        <f t="shared" si="36"/>
        <v>88</v>
      </c>
      <c r="K796" s="32"/>
      <c r="L796" s="42"/>
      <c r="M796" s="38">
        <f t="shared" si="37"/>
        <v>10</v>
      </c>
      <c r="N796" s="39">
        <f t="shared" si="38"/>
        <v>6.0821375999999994</v>
      </c>
      <c r="O796" s="26"/>
      <c r="P796" s="31" t="s">
        <v>19</v>
      </c>
    </row>
    <row r="797" spans="1:16" x14ac:dyDescent="0.25">
      <c r="A797" s="26">
        <v>796</v>
      </c>
      <c r="B797" s="26" t="s">
        <v>1522</v>
      </c>
      <c r="C797" s="26" t="s">
        <v>1523</v>
      </c>
      <c r="D797" s="28" t="s">
        <v>1524</v>
      </c>
      <c r="E797" s="26" t="s">
        <v>18</v>
      </c>
      <c r="F797" s="26"/>
      <c r="G797" s="29">
        <v>13</v>
      </c>
      <c r="H797" s="26">
        <v>90</v>
      </c>
      <c r="I797" s="26">
        <v>88</v>
      </c>
      <c r="J797" s="33">
        <f t="shared" si="36"/>
        <v>89</v>
      </c>
      <c r="K797" s="32"/>
      <c r="L797" s="42"/>
      <c r="M797" s="38">
        <f t="shared" si="37"/>
        <v>13</v>
      </c>
      <c r="N797" s="39">
        <f t="shared" si="38"/>
        <v>8.0874994200000003</v>
      </c>
      <c r="O797" s="26"/>
      <c r="P797" s="31" t="s">
        <v>19</v>
      </c>
    </row>
    <row r="798" spans="1:16" x14ac:dyDescent="0.25">
      <c r="A798" s="26">
        <v>797</v>
      </c>
      <c r="B798" s="26" t="s">
        <v>1525</v>
      </c>
      <c r="C798" s="26" t="s">
        <v>1526</v>
      </c>
      <c r="D798" s="28" t="s">
        <v>1527</v>
      </c>
      <c r="E798" s="26" t="s">
        <v>18</v>
      </c>
      <c r="F798" s="26"/>
      <c r="G798" s="29">
        <v>7.7</v>
      </c>
      <c r="H798" s="26">
        <v>83</v>
      </c>
      <c r="I798" s="26">
        <v>70</v>
      </c>
      <c r="J798" s="33">
        <f t="shared" si="36"/>
        <v>76</v>
      </c>
      <c r="K798" s="32"/>
      <c r="L798" s="42"/>
      <c r="M798" s="38">
        <f t="shared" si="37"/>
        <v>7.7</v>
      </c>
      <c r="N798" s="39">
        <f t="shared" si="38"/>
        <v>3.4930822080000006</v>
      </c>
      <c r="O798" s="26"/>
      <c r="P798" s="31" t="s">
        <v>19</v>
      </c>
    </row>
    <row r="799" spans="1:16" x14ac:dyDescent="0.25">
      <c r="A799" s="26">
        <v>798</v>
      </c>
      <c r="B799" s="26" t="s">
        <v>1528</v>
      </c>
      <c r="C799" s="26" t="s">
        <v>1529</v>
      </c>
      <c r="D799" s="28" t="s">
        <v>1530</v>
      </c>
      <c r="E799" s="26" t="s">
        <v>18</v>
      </c>
      <c r="F799" s="26"/>
      <c r="G799" s="29">
        <v>12.6</v>
      </c>
      <c r="H799" s="26">
        <v>130</v>
      </c>
      <c r="I799" s="26">
        <v>125</v>
      </c>
      <c r="J799" s="33">
        <f t="shared" ref="J799:J862" si="39">ROUNDDOWN((H799+I799)/2,0)</f>
        <v>127</v>
      </c>
      <c r="K799" s="32"/>
      <c r="L799" s="42"/>
      <c r="M799" s="38">
        <f t="shared" si="37"/>
        <v>12.6</v>
      </c>
      <c r="N799" s="39">
        <f t="shared" si="38"/>
        <v>15.961322915999999</v>
      </c>
      <c r="O799" s="26"/>
      <c r="P799" s="31" t="s">
        <v>19</v>
      </c>
    </row>
    <row r="800" spans="1:16" x14ac:dyDescent="0.25">
      <c r="A800" s="26">
        <v>799</v>
      </c>
      <c r="B800" s="26" t="s">
        <v>1531</v>
      </c>
      <c r="C800" s="26" t="s">
        <v>1532</v>
      </c>
      <c r="D800" s="28" t="s">
        <v>1533</v>
      </c>
      <c r="E800" s="26" t="s">
        <v>18</v>
      </c>
      <c r="F800" s="26"/>
      <c r="G800" s="29">
        <v>10.199999999999999</v>
      </c>
      <c r="H800" s="26">
        <v>83</v>
      </c>
      <c r="I800" s="26">
        <v>75</v>
      </c>
      <c r="J800" s="33">
        <f t="shared" si="39"/>
        <v>79</v>
      </c>
      <c r="K800" s="32"/>
      <c r="L800" s="42"/>
      <c r="M800" s="38">
        <f t="shared" si="37"/>
        <v>10.199999999999999</v>
      </c>
      <c r="N800" s="39">
        <f t="shared" si="38"/>
        <v>4.9997150279999998</v>
      </c>
      <c r="O800" s="26"/>
      <c r="P800" s="31" t="s">
        <v>19</v>
      </c>
    </row>
    <row r="801" spans="1:16" x14ac:dyDescent="0.25">
      <c r="A801" s="26">
        <v>800</v>
      </c>
      <c r="B801" s="26" t="s">
        <v>1534</v>
      </c>
      <c r="C801" s="26" t="s">
        <v>1535</v>
      </c>
      <c r="D801" s="28" t="s">
        <v>1536</v>
      </c>
      <c r="E801" s="26" t="s">
        <v>18</v>
      </c>
      <c r="F801" s="26"/>
      <c r="G801" s="29">
        <v>11.3</v>
      </c>
      <c r="H801" s="26">
        <v>94</v>
      </c>
      <c r="I801" s="26">
        <v>90</v>
      </c>
      <c r="J801" s="33">
        <f t="shared" si="39"/>
        <v>92</v>
      </c>
      <c r="K801" s="32">
        <v>0.5</v>
      </c>
      <c r="L801" s="42"/>
      <c r="M801" s="38">
        <f t="shared" si="37"/>
        <v>10.8</v>
      </c>
      <c r="N801" s="39">
        <f t="shared" si="38"/>
        <v>7.1794356480000001</v>
      </c>
      <c r="O801" s="26" t="s">
        <v>21</v>
      </c>
      <c r="P801" s="31" t="s">
        <v>19</v>
      </c>
    </row>
    <row r="802" spans="1:16" x14ac:dyDescent="0.25">
      <c r="A802" s="26">
        <v>801</v>
      </c>
      <c r="B802" s="26" t="s">
        <v>1537</v>
      </c>
      <c r="C802" s="26" t="s">
        <v>1538</v>
      </c>
      <c r="D802" s="28" t="s">
        <v>1539</v>
      </c>
      <c r="E802" s="26" t="s">
        <v>18</v>
      </c>
      <c r="F802" s="26"/>
      <c r="G802" s="29">
        <v>9.1</v>
      </c>
      <c r="H802" s="26">
        <v>103</v>
      </c>
      <c r="I802" s="26">
        <v>77</v>
      </c>
      <c r="J802" s="33">
        <f t="shared" si="39"/>
        <v>90</v>
      </c>
      <c r="K802" s="32">
        <v>0.3</v>
      </c>
      <c r="L802" s="42"/>
      <c r="M802" s="38">
        <f t="shared" si="37"/>
        <v>8.7999999999999989</v>
      </c>
      <c r="N802" s="39">
        <f t="shared" si="38"/>
        <v>5.5983311999999987</v>
      </c>
      <c r="O802" s="26" t="s">
        <v>1007</v>
      </c>
      <c r="P802" s="31" t="s">
        <v>19</v>
      </c>
    </row>
    <row r="803" spans="1:16" x14ac:dyDescent="0.25">
      <c r="A803" s="26">
        <v>802</v>
      </c>
      <c r="B803" s="26" t="s">
        <v>1540</v>
      </c>
      <c r="C803" s="26" t="s">
        <v>1541</v>
      </c>
      <c r="D803" s="28">
        <v>4957</v>
      </c>
      <c r="E803" s="26" t="s">
        <v>18</v>
      </c>
      <c r="F803" s="26"/>
      <c r="G803" s="29">
        <v>13.7</v>
      </c>
      <c r="H803" s="26">
        <v>96</v>
      </c>
      <c r="I803" s="26">
        <v>87</v>
      </c>
      <c r="J803" s="33">
        <f t="shared" si="39"/>
        <v>91</v>
      </c>
      <c r="K803" s="32">
        <v>0.5</v>
      </c>
      <c r="L803" s="42"/>
      <c r="M803" s="38">
        <f t="shared" si="37"/>
        <v>13.2</v>
      </c>
      <c r="N803" s="39">
        <f t="shared" si="38"/>
        <v>8.5851445679999987</v>
      </c>
      <c r="O803" s="26" t="s">
        <v>1007</v>
      </c>
      <c r="P803" s="31" t="s">
        <v>30</v>
      </c>
    </row>
    <row r="804" spans="1:16" x14ac:dyDescent="0.25">
      <c r="A804" s="26">
        <v>803</v>
      </c>
      <c r="B804" s="26" t="s">
        <v>1542</v>
      </c>
      <c r="C804" s="26" t="s">
        <v>1543</v>
      </c>
      <c r="D804" s="28">
        <v>984</v>
      </c>
      <c r="E804" s="26" t="s">
        <v>18</v>
      </c>
      <c r="F804" s="26"/>
      <c r="G804" s="29">
        <v>6.6</v>
      </c>
      <c r="H804" s="26">
        <v>89</v>
      </c>
      <c r="I804" s="26">
        <v>81</v>
      </c>
      <c r="J804" s="33">
        <f t="shared" si="39"/>
        <v>85</v>
      </c>
      <c r="K804" s="32"/>
      <c r="L804" s="42"/>
      <c r="M804" s="38">
        <f t="shared" si="37"/>
        <v>6.6</v>
      </c>
      <c r="N804" s="39">
        <f t="shared" si="38"/>
        <v>3.7451799000000001</v>
      </c>
      <c r="O804" s="26"/>
      <c r="P804" s="31" t="s">
        <v>19</v>
      </c>
    </row>
    <row r="805" spans="1:16" x14ac:dyDescent="0.25">
      <c r="A805" s="26">
        <v>804</v>
      </c>
      <c r="B805" s="26" t="s">
        <v>1544</v>
      </c>
      <c r="C805" s="26" t="s">
        <v>1545</v>
      </c>
      <c r="D805" s="28" t="s">
        <v>1546</v>
      </c>
      <c r="E805" s="26" t="s">
        <v>18</v>
      </c>
      <c r="F805" s="26"/>
      <c r="G805" s="29">
        <v>6.5</v>
      </c>
      <c r="H805" s="26">
        <v>81</v>
      </c>
      <c r="I805" s="26">
        <v>75</v>
      </c>
      <c r="J805" s="33">
        <f t="shared" si="39"/>
        <v>78</v>
      </c>
      <c r="K805" s="32"/>
      <c r="L805" s="42"/>
      <c r="M805" s="38">
        <f t="shared" si="37"/>
        <v>6.5</v>
      </c>
      <c r="N805" s="39">
        <f t="shared" si="38"/>
        <v>3.10594284</v>
      </c>
      <c r="O805" s="26"/>
      <c r="P805" s="31" t="s">
        <v>19</v>
      </c>
    </row>
    <row r="806" spans="1:16" x14ac:dyDescent="0.25">
      <c r="A806" s="26">
        <v>805</v>
      </c>
      <c r="B806" s="26" t="s">
        <v>1547</v>
      </c>
      <c r="C806" s="26" t="s">
        <v>1548</v>
      </c>
      <c r="D806" s="28" t="s">
        <v>1549</v>
      </c>
      <c r="E806" s="26" t="s">
        <v>18</v>
      </c>
      <c r="F806" s="26"/>
      <c r="G806" s="29">
        <v>12.7</v>
      </c>
      <c r="H806" s="26">
        <v>82</v>
      </c>
      <c r="I806" s="26">
        <v>72</v>
      </c>
      <c r="J806" s="33">
        <f t="shared" si="39"/>
        <v>77</v>
      </c>
      <c r="K806" s="32"/>
      <c r="L806" s="42"/>
      <c r="M806" s="38">
        <f t="shared" si="37"/>
        <v>12.7</v>
      </c>
      <c r="N806" s="39">
        <f t="shared" si="38"/>
        <v>5.9139284820000002</v>
      </c>
      <c r="O806" s="26"/>
      <c r="P806" s="31" t="s">
        <v>30</v>
      </c>
    </row>
    <row r="807" spans="1:16" x14ac:dyDescent="0.25">
      <c r="A807" s="26">
        <v>806</v>
      </c>
      <c r="B807" s="26" t="s">
        <v>1550</v>
      </c>
      <c r="C807" s="26" t="s">
        <v>1551</v>
      </c>
      <c r="D807" s="28" t="s">
        <v>1552</v>
      </c>
      <c r="E807" s="26" t="s">
        <v>18</v>
      </c>
      <c r="F807" s="26"/>
      <c r="G807" s="29">
        <v>12.4</v>
      </c>
      <c r="H807" s="26">
        <v>88</v>
      </c>
      <c r="I807" s="26">
        <v>82</v>
      </c>
      <c r="J807" s="33">
        <f t="shared" si="39"/>
        <v>85</v>
      </c>
      <c r="K807" s="32"/>
      <c r="L807" s="42"/>
      <c r="M807" s="38">
        <f t="shared" si="37"/>
        <v>12.4</v>
      </c>
      <c r="N807" s="39">
        <f t="shared" si="38"/>
        <v>7.0363986000000001</v>
      </c>
      <c r="O807" s="26"/>
      <c r="P807" s="31" t="s">
        <v>19</v>
      </c>
    </row>
    <row r="808" spans="1:16" x14ac:dyDescent="0.25">
      <c r="A808" s="26">
        <v>807</v>
      </c>
      <c r="B808" s="26" t="s">
        <v>1553</v>
      </c>
      <c r="C808" s="26" t="s">
        <v>1554</v>
      </c>
      <c r="D808" s="28" t="s">
        <v>1555</v>
      </c>
      <c r="E808" s="26" t="s">
        <v>18</v>
      </c>
      <c r="F808" s="26"/>
      <c r="G808" s="29">
        <v>12.2</v>
      </c>
      <c r="H808" s="26">
        <v>102</v>
      </c>
      <c r="I808" s="26">
        <v>97</v>
      </c>
      <c r="J808" s="33">
        <f t="shared" si="39"/>
        <v>99</v>
      </c>
      <c r="K808" s="32"/>
      <c r="L808" s="42"/>
      <c r="M808" s="38">
        <f t="shared" si="37"/>
        <v>12.2</v>
      </c>
      <c r="N808" s="39">
        <f t="shared" si="38"/>
        <v>9.3912005880000002</v>
      </c>
      <c r="O808" s="26"/>
      <c r="P808" s="31" t="s">
        <v>19</v>
      </c>
    </row>
    <row r="809" spans="1:16" x14ac:dyDescent="0.25">
      <c r="A809" s="26">
        <v>808</v>
      </c>
      <c r="B809" s="26" t="s">
        <v>1556</v>
      </c>
      <c r="C809" s="26" t="s">
        <v>1557</v>
      </c>
      <c r="D809" s="28" t="s">
        <v>1558</v>
      </c>
      <c r="E809" s="26" t="s">
        <v>18</v>
      </c>
      <c r="F809" s="26"/>
      <c r="G809" s="29">
        <v>8.3000000000000007</v>
      </c>
      <c r="H809" s="26">
        <v>155</v>
      </c>
      <c r="I809" s="26">
        <v>148</v>
      </c>
      <c r="J809" s="33">
        <f t="shared" si="39"/>
        <v>151</v>
      </c>
      <c r="K809" s="32">
        <v>0.5</v>
      </c>
      <c r="L809" s="42"/>
      <c r="M809" s="38">
        <f t="shared" si="37"/>
        <v>7.8000000000000007</v>
      </c>
      <c r="N809" s="39">
        <f t="shared" si="38"/>
        <v>13.968166212000002</v>
      </c>
      <c r="O809" s="26" t="s">
        <v>21</v>
      </c>
      <c r="P809" s="31" t="s">
        <v>30</v>
      </c>
    </row>
    <row r="810" spans="1:16" x14ac:dyDescent="0.25">
      <c r="A810" s="26">
        <v>809</v>
      </c>
      <c r="B810" s="26" t="s">
        <v>1559</v>
      </c>
      <c r="C810" s="26" t="s">
        <v>1560</v>
      </c>
      <c r="D810" s="28" t="s">
        <v>1561</v>
      </c>
      <c r="E810" s="26" t="s">
        <v>18</v>
      </c>
      <c r="F810" s="26"/>
      <c r="G810" s="29">
        <v>9.3000000000000007</v>
      </c>
      <c r="H810" s="26">
        <v>98</v>
      </c>
      <c r="I810" s="26">
        <v>92</v>
      </c>
      <c r="J810" s="33">
        <f t="shared" si="39"/>
        <v>95</v>
      </c>
      <c r="K810" s="32"/>
      <c r="L810" s="42"/>
      <c r="M810" s="38">
        <f t="shared" si="37"/>
        <v>9.3000000000000007</v>
      </c>
      <c r="N810" s="39">
        <f t="shared" si="38"/>
        <v>6.59205855</v>
      </c>
      <c r="O810" s="26"/>
      <c r="P810" s="31" t="s">
        <v>19</v>
      </c>
    </row>
    <row r="811" spans="1:16" x14ac:dyDescent="0.25">
      <c r="A811" s="26">
        <v>810</v>
      </c>
      <c r="B811" s="26" t="s">
        <v>1562</v>
      </c>
      <c r="C811" s="26" t="s">
        <v>1563</v>
      </c>
      <c r="D811" s="28" t="s">
        <v>1564</v>
      </c>
      <c r="E811" s="26" t="s">
        <v>18</v>
      </c>
      <c r="F811" s="26"/>
      <c r="G811" s="29">
        <v>11.5</v>
      </c>
      <c r="H811" s="26">
        <v>102</v>
      </c>
      <c r="I811" s="26">
        <v>102</v>
      </c>
      <c r="J811" s="33">
        <f t="shared" si="39"/>
        <v>102</v>
      </c>
      <c r="K811" s="32">
        <v>0.5</v>
      </c>
      <c r="L811" s="42"/>
      <c r="M811" s="38">
        <f t="shared" si="37"/>
        <v>11</v>
      </c>
      <c r="N811" s="39">
        <f t="shared" si="38"/>
        <v>8.9884317599999992</v>
      </c>
      <c r="O811" s="26" t="s">
        <v>35</v>
      </c>
      <c r="P811" s="31" t="s">
        <v>19</v>
      </c>
    </row>
    <row r="812" spans="1:16" x14ac:dyDescent="0.25">
      <c r="A812" s="26">
        <v>811</v>
      </c>
      <c r="B812" s="26" t="s">
        <v>1565</v>
      </c>
      <c r="C812" s="26" t="s">
        <v>1566</v>
      </c>
      <c r="D812" s="28" t="s">
        <v>1567</v>
      </c>
      <c r="E812" s="26" t="s">
        <v>18</v>
      </c>
      <c r="F812" s="26"/>
      <c r="G812" s="29">
        <v>10.9</v>
      </c>
      <c r="H812" s="26">
        <v>84</v>
      </c>
      <c r="I812" s="26">
        <v>77</v>
      </c>
      <c r="J812" s="33">
        <f t="shared" si="39"/>
        <v>80</v>
      </c>
      <c r="K812" s="32"/>
      <c r="L812" s="42"/>
      <c r="M812" s="38">
        <f t="shared" si="37"/>
        <v>10.9</v>
      </c>
      <c r="N812" s="39">
        <f t="shared" si="38"/>
        <v>5.4789504000000004</v>
      </c>
      <c r="O812" s="26"/>
      <c r="P812" s="31" t="s">
        <v>19</v>
      </c>
    </row>
    <row r="813" spans="1:16" x14ac:dyDescent="0.25">
      <c r="A813" s="26">
        <v>812</v>
      </c>
      <c r="B813" s="26" t="s">
        <v>1568</v>
      </c>
      <c r="C813" s="26" t="s">
        <v>1569</v>
      </c>
      <c r="D813" s="28" t="s">
        <v>1570</v>
      </c>
      <c r="E813" s="26" t="s">
        <v>18</v>
      </c>
      <c r="F813" s="26"/>
      <c r="G813" s="29">
        <v>9.6999999999999993</v>
      </c>
      <c r="H813" s="26">
        <v>120</v>
      </c>
      <c r="I813" s="26">
        <v>115</v>
      </c>
      <c r="J813" s="33">
        <f t="shared" si="39"/>
        <v>117</v>
      </c>
      <c r="K813" s="32"/>
      <c r="L813" s="42"/>
      <c r="M813" s="38">
        <f t="shared" si="37"/>
        <v>9.6999999999999993</v>
      </c>
      <c r="N813" s="39">
        <f t="shared" si="38"/>
        <v>10.428800381999999</v>
      </c>
      <c r="O813" s="26"/>
      <c r="P813" s="31" t="s">
        <v>19</v>
      </c>
    </row>
    <row r="814" spans="1:16" x14ac:dyDescent="0.25">
      <c r="A814" s="26">
        <v>813</v>
      </c>
      <c r="B814" s="26" t="s">
        <v>1571</v>
      </c>
      <c r="C814" s="26" t="s">
        <v>1572</v>
      </c>
      <c r="D814" s="28">
        <v>5159</v>
      </c>
      <c r="E814" s="26" t="s">
        <v>18</v>
      </c>
      <c r="F814" s="26"/>
      <c r="G814" s="29">
        <v>6</v>
      </c>
      <c r="H814" s="26">
        <v>97</v>
      </c>
      <c r="I814" s="26">
        <v>92</v>
      </c>
      <c r="J814" s="33">
        <f t="shared" si="39"/>
        <v>94</v>
      </c>
      <c r="K814" s="32"/>
      <c r="L814" s="42"/>
      <c r="M814" s="38">
        <f t="shared" si="37"/>
        <v>6</v>
      </c>
      <c r="N814" s="39">
        <f t="shared" si="38"/>
        <v>4.1638766399999998</v>
      </c>
      <c r="O814" s="26"/>
      <c r="P814" s="31" t="s">
        <v>19</v>
      </c>
    </row>
    <row r="815" spans="1:16" x14ac:dyDescent="0.25">
      <c r="A815" s="26">
        <v>814</v>
      </c>
      <c r="B815" s="26" t="s">
        <v>1573</v>
      </c>
      <c r="C815" s="26" t="s">
        <v>1574</v>
      </c>
      <c r="D815" s="28" t="s">
        <v>1575</v>
      </c>
      <c r="E815" s="26" t="s">
        <v>18</v>
      </c>
      <c r="F815" s="26"/>
      <c r="G815" s="29">
        <v>11</v>
      </c>
      <c r="H815" s="26">
        <v>81</v>
      </c>
      <c r="I815" s="26">
        <v>76</v>
      </c>
      <c r="J815" s="33">
        <f t="shared" si="39"/>
        <v>78</v>
      </c>
      <c r="K815" s="32"/>
      <c r="L815" s="42"/>
      <c r="M815" s="38">
        <f t="shared" si="37"/>
        <v>11</v>
      </c>
      <c r="N815" s="39">
        <f t="shared" si="38"/>
        <v>5.2562109599999998</v>
      </c>
      <c r="O815" s="26"/>
      <c r="P815" s="31" t="s">
        <v>19</v>
      </c>
    </row>
    <row r="816" spans="1:16" x14ac:dyDescent="0.25">
      <c r="A816" s="26">
        <v>815</v>
      </c>
      <c r="B816" s="26" t="s">
        <v>1576</v>
      </c>
      <c r="C816" s="26" t="s">
        <v>1577</v>
      </c>
      <c r="D816" s="28" t="s">
        <v>1578</v>
      </c>
      <c r="E816" s="26" t="s">
        <v>18</v>
      </c>
      <c r="F816" s="26"/>
      <c r="G816" s="29">
        <v>6</v>
      </c>
      <c r="H816" s="26">
        <v>94</v>
      </c>
      <c r="I816" s="26">
        <v>91</v>
      </c>
      <c r="J816" s="33">
        <f t="shared" si="39"/>
        <v>92</v>
      </c>
      <c r="K816" s="32"/>
      <c r="L816" s="42"/>
      <c r="M816" s="38">
        <f t="shared" si="37"/>
        <v>6</v>
      </c>
      <c r="N816" s="39">
        <f t="shared" si="38"/>
        <v>3.9885753599999996</v>
      </c>
      <c r="O816" s="26"/>
      <c r="P816" s="31" t="s">
        <v>19</v>
      </c>
    </row>
    <row r="817" spans="1:16" x14ac:dyDescent="0.25">
      <c r="A817" s="26">
        <v>816</v>
      </c>
      <c r="B817" s="26" t="s">
        <v>1579</v>
      </c>
      <c r="C817" s="26" t="s">
        <v>1580</v>
      </c>
      <c r="D817" s="28" t="s">
        <v>1581</v>
      </c>
      <c r="E817" s="26" t="s">
        <v>18</v>
      </c>
      <c r="F817" s="26"/>
      <c r="G817" s="29">
        <v>6.8</v>
      </c>
      <c r="H817" s="26">
        <v>81</v>
      </c>
      <c r="I817" s="26">
        <v>77</v>
      </c>
      <c r="J817" s="33">
        <f t="shared" si="39"/>
        <v>79</v>
      </c>
      <c r="K817" s="32"/>
      <c r="L817" s="42"/>
      <c r="M817" s="38">
        <f t="shared" si="37"/>
        <v>6.8</v>
      </c>
      <c r="N817" s="39">
        <f t="shared" si="38"/>
        <v>3.333143352</v>
      </c>
      <c r="O817" s="26"/>
      <c r="P817" s="31" t="s">
        <v>19</v>
      </c>
    </row>
    <row r="818" spans="1:16" x14ac:dyDescent="0.25">
      <c r="A818" s="26">
        <v>817</v>
      </c>
      <c r="B818" s="26" t="s">
        <v>1582</v>
      </c>
      <c r="C818" s="26" t="s">
        <v>1583</v>
      </c>
      <c r="D818" s="28">
        <v>988</v>
      </c>
      <c r="E818" s="26" t="s">
        <v>18</v>
      </c>
      <c r="F818" s="26"/>
      <c r="G818" s="29">
        <v>11</v>
      </c>
      <c r="H818" s="26">
        <v>100</v>
      </c>
      <c r="I818" s="26">
        <v>81</v>
      </c>
      <c r="J818" s="33">
        <f t="shared" si="39"/>
        <v>90</v>
      </c>
      <c r="K818" s="32">
        <v>0.5</v>
      </c>
      <c r="L818" s="42"/>
      <c r="M818" s="38">
        <f t="shared" si="37"/>
        <v>10.5</v>
      </c>
      <c r="N818" s="39">
        <f t="shared" si="38"/>
        <v>6.6798270000000004</v>
      </c>
      <c r="O818" s="26" t="s">
        <v>21</v>
      </c>
      <c r="P818" s="31" t="s">
        <v>30</v>
      </c>
    </row>
    <row r="819" spans="1:16" x14ac:dyDescent="0.25">
      <c r="A819" s="26">
        <v>818</v>
      </c>
      <c r="B819" s="26" t="s">
        <v>1584</v>
      </c>
      <c r="C819" s="26" t="s">
        <v>1585</v>
      </c>
      <c r="D819" s="28">
        <v>5161</v>
      </c>
      <c r="E819" s="26" t="s">
        <v>18</v>
      </c>
      <c r="F819" s="26"/>
      <c r="G819" s="29">
        <v>11.5</v>
      </c>
      <c r="H819" s="26">
        <v>87</v>
      </c>
      <c r="I819" s="26">
        <v>72</v>
      </c>
      <c r="J819" s="33">
        <f t="shared" si="39"/>
        <v>79</v>
      </c>
      <c r="K819" s="32">
        <v>0.5</v>
      </c>
      <c r="L819" s="42"/>
      <c r="M819" s="38">
        <f t="shared" si="37"/>
        <v>11</v>
      </c>
      <c r="N819" s="39">
        <f t="shared" si="38"/>
        <v>5.3918495399999999</v>
      </c>
      <c r="O819" s="26" t="s">
        <v>21</v>
      </c>
      <c r="P819" s="31" t="s">
        <v>19</v>
      </c>
    </row>
    <row r="820" spans="1:16" x14ac:dyDescent="0.25">
      <c r="A820" s="26">
        <v>819</v>
      </c>
      <c r="B820" s="26" t="s">
        <v>1586</v>
      </c>
      <c r="C820" s="26" t="s">
        <v>1587</v>
      </c>
      <c r="D820" s="28" t="s">
        <v>1588</v>
      </c>
      <c r="E820" s="26" t="s">
        <v>18</v>
      </c>
      <c r="F820" s="26"/>
      <c r="G820" s="29">
        <v>12.8</v>
      </c>
      <c r="H820" s="26">
        <v>93</v>
      </c>
      <c r="I820" s="26">
        <v>89</v>
      </c>
      <c r="J820" s="33">
        <f t="shared" si="39"/>
        <v>91</v>
      </c>
      <c r="K820" s="32"/>
      <c r="L820" s="42"/>
      <c r="M820" s="38">
        <f t="shared" si="37"/>
        <v>12.8</v>
      </c>
      <c r="N820" s="39">
        <f t="shared" si="38"/>
        <v>8.3249886719999999</v>
      </c>
      <c r="O820" s="26"/>
      <c r="P820" s="31" t="s">
        <v>19</v>
      </c>
    </row>
    <row r="821" spans="1:16" x14ac:dyDescent="0.25">
      <c r="A821" s="26">
        <v>820</v>
      </c>
      <c r="B821" s="26" t="s">
        <v>1589</v>
      </c>
      <c r="C821" s="26" t="s">
        <v>1590</v>
      </c>
      <c r="D821" s="28">
        <v>5162</v>
      </c>
      <c r="E821" s="26" t="s">
        <v>18</v>
      </c>
      <c r="F821" s="26"/>
      <c r="G821" s="29">
        <v>12.8</v>
      </c>
      <c r="H821" s="26">
        <v>97</v>
      </c>
      <c r="I821" s="26">
        <v>79</v>
      </c>
      <c r="J821" s="33">
        <f t="shared" si="39"/>
        <v>88</v>
      </c>
      <c r="K821" s="32"/>
      <c r="L821" s="42"/>
      <c r="M821" s="38">
        <f t="shared" si="37"/>
        <v>12.8</v>
      </c>
      <c r="N821" s="39">
        <f t="shared" si="38"/>
        <v>7.7851361280000013</v>
      </c>
      <c r="O821" s="26"/>
      <c r="P821" s="31" t="s">
        <v>30</v>
      </c>
    </row>
    <row r="822" spans="1:16" x14ac:dyDescent="0.25">
      <c r="A822" s="26">
        <v>821</v>
      </c>
      <c r="B822" s="26" t="s">
        <v>1591</v>
      </c>
      <c r="C822" s="26" t="s">
        <v>1592</v>
      </c>
      <c r="D822" s="28" t="s">
        <v>1593</v>
      </c>
      <c r="E822" s="26" t="s">
        <v>18</v>
      </c>
      <c r="F822" s="26"/>
      <c r="G822" s="29">
        <v>11</v>
      </c>
      <c r="H822" s="26">
        <v>108</v>
      </c>
      <c r="I822" s="26">
        <v>78</v>
      </c>
      <c r="J822" s="33">
        <f t="shared" si="39"/>
        <v>93</v>
      </c>
      <c r="K822" s="32"/>
      <c r="L822" s="42"/>
      <c r="M822" s="38">
        <f t="shared" si="37"/>
        <v>11</v>
      </c>
      <c r="N822" s="39">
        <f t="shared" si="38"/>
        <v>7.4722170600000002</v>
      </c>
      <c r="O822" s="26"/>
      <c r="P822" s="31" t="s">
        <v>19</v>
      </c>
    </row>
    <row r="823" spans="1:16" x14ac:dyDescent="0.25">
      <c r="A823" s="26">
        <v>822</v>
      </c>
      <c r="B823" s="26" t="s">
        <v>1594</v>
      </c>
      <c r="C823" s="26" t="s">
        <v>1595</v>
      </c>
      <c r="D823" s="28" t="s">
        <v>1596</v>
      </c>
      <c r="E823" s="26" t="s">
        <v>18</v>
      </c>
      <c r="F823" s="26"/>
      <c r="G823" s="29">
        <v>11</v>
      </c>
      <c r="H823" s="26">
        <v>108</v>
      </c>
      <c r="I823" s="26">
        <v>89</v>
      </c>
      <c r="J823" s="33">
        <f t="shared" si="39"/>
        <v>98</v>
      </c>
      <c r="K823" s="32"/>
      <c r="L823" s="42"/>
      <c r="M823" s="38">
        <f t="shared" si="37"/>
        <v>11</v>
      </c>
      <c r="N823" s="39">
        <f t="shared" si="38"/>
        <v>8.2972797600000003</v>
      </c>
      <c r="O823" s="26"/>
      <c r="P823" s="31" t="s">
        <v>19</v>
      </c>
    </row>
    <row r="824" spans="1:16" x14ac:dyDescent="0.25">
      <c r="A824" s="26">
        <v>823</v>
      </c>
      <c r="B824" s="26" t="s">
        <v>1597</v>
      </c>
      <c r="C824" s="26" t="s">
        <v>1598</v>
      </c>
      <c r="D824" s="28">
        <v>4936</v>
      </c>
      <c r="E824" s="26" t="s">
        <v>18</v>
      </c>
      <c r="F824" s="26"/>
      <c r="G824" s="29">
        <v>10.3</v>
      </c>
      <c r="H824" s="26">
        <v>87</v>
      </c>
      <c r="I824" s="26">
        <v>86</v>
      </c>
      <c r="J824" s="33">
        <f t="shared" si="39"/>
        <v>86</v>
      </c>
      <c r="K824" s="32"/>
      <c r="L824" s="42">
        <v>10</v>
      </c>
      <c r="M824" s="38">
        <f t="shared" si="37"/>
        <v>10.3</v>
      </c>
      <c r="N824" s="39">
        <f t="shared" si="38"/>
        <v>5.9830829520000002</v>
      </c>
      <c r="O824" s="26" t="s">
        <v>157</v>
      </c>
      <c r="P824" s="31" t="s">
        <v>30</v>
      </c>
    </row>
    <row r="825" spans="1:16" x14ac:dyDescent="0.25">
      <c r="A825" s="26">
        <v>824</v>
      </c>
      <c r="B825" s="26" t="s">
        <v>1599</v>
      </c>
      <c r="C825" s="26" t="s">
        <v>1600</v>
      </c>
      <c r="D825" s="28" t="s">
        <v>1601</v>
      </c>
      <c r="E825" s="26" t="s">
        <v>18</v>
      </c>
      <c r="F825" s="26"/>
      <c r="G825" s="29">
        <v>12</v>
      </c>
      <c r="H825" s="26">
        <v>118</v>
      </c>
      <c r="I825" s="26">
        <v>95</v>
      </c>
      <c r="J825" s="33">
        <f t="shared" si="39"/>
        <v>106</v>
      </c>
      <c r="K825" s="32"/>
      <c r="L825" s="42"/>
      <c r="M825" s="38">
        <f t="shared" si="37"/>
        <v>12</v>
      </c>
      <c r="N825" s="39">
        <f t="shared" si="38"/>
        <v>10.58970528</v>
      </c>
      <c r="O825" s="26"/>
      <c r="P825" s="31" t="s">
        <v>19</v>
      </c>
    </row>
    <row r="826" spans="1:16" x14ac:dyDescent="0.25">
      <c r="A826" s="26">
        <v>825</v>
      </c>
      <c r="B826" s="26" t="s">
        <v>1602</v>
      </c>
      <c r="C826" s="26" t="s">
        <v>1603</v>
      </c>
      <c r="D826" s="28" t="s">
        <v>1604</v>
      </c>
      <c r="E826" s="26" t="s">
        <v>18</v>
      </c>
      <c r="F826" s="26"/>
      <c r="G826" s="29">
        <v>8.5</v>
      </c>
      <c r="H826" s="26">
        <v>110</v>
      </c>
      <c r="I826" s="26">
        <v>95</v>
      </c>
      <c r="J826" s="33">
        <f t="shared" si="39"/>
        <v>102</v>
      </c>
      <c r="K826" s="32"/>
      <c r="L826" s="42"/>
      <c r="M826" s="38">
        <f t="shared" si="37"/>
        <v>8.5</v>
      </c>
      <c r="N826" s="39">
        <f t="shared" si="38"/>
        <v>6.9456063599999993</v>
      </c>
      <c r="O826" s="26"/>
      <c r="P826" s="31" t="s">
        <v>19</v>
      </c>
    </row>
    <row r="827" spans="1:16" x14ac:dyDescent="0.25">
      <c r="A827" s="26">
        <v>826</v>
      </c>
      <c r="B827" s="26" t="s">
        <v>1605</v>
      </c>
      <c r="C827" s="26" t="s">
        <v>1606</v>
      </c>
      <c r="D827" s="28">
        <v>4937</v>
      </c>
      <c r="E827" s="26" t="s">
        <v>18</v>
      </c>
      <c r="F827" s="26"/>
      <c r="G827" s="29">
        <v>11.1</v>
      </c>
      <c r="H827" s="26">
        <v>94</v>
      </c>
      <c r="I827" s="26">
        <v>83</v>
      </c>
      <c r="J827" s="33">
        <f t="shared" si="39"/>
        <v>88</v>
      </c>
      <c r="K827" s="32">
        <v>0.3</v>
      </c>
      <c r="L827" s="42"/>
      <c r="M827" s="38">
        <f t="shared" si="37"/>
        <v>10.799999999999999</v>
      </c>
      <c r="N827" s="39">
        <f t="shared" si="38"/>
        <v>6.5687086079999997</v>
      </c>
      <c r="O827" s="26" t="s">
        <v>1007</v>
      </c>
      <c r="P827" s="31" t="s">
        <v>19</v>
      </c>
    </row>
    <row r="828" spans="1:16" x14ac:dyDescent="0.25">
      <c r="A828" s="26">
        <v>827</v>
      </c>
      <c r="B828" s="26" t="s">
        <v>1607</v>
      </c>
      <c r="C828" s="26" t="s">
        <v>1608</v>
      </c>
      <c r="D828" s="28" t="s">
        <v>1609</v>
      </c>
      <c r="E828" s="26" t="s">
        <v>18</v>
      </c>
      <c r="F828" s="26"/>
      <c r="G828" s="29">
        <v>6.1</v>
      </c>
      <c r="H828" s="26">
        <v>98</v>
      </c>
      <c r="I828" s="26">
        <v>98</v>
      </c>
      <c r="J828" s="33">
        <f t="shared" si="39"/>
        <v>98</v>
      </c>
      <c r="K828" s="32"/>
      <c r="L828" s="42"/>
      <c r="M828" s="38">
        <f t="shared" si="37"/>
        <v>6.1</v>
      </c>
      <c r="N828" s="39">
        <f t="shared" si="38"/>
        <v>4.6012187759999996</v>
      </c>
      <c r="O828" s="26"/>
      <c r="P828" s="31" t="s">
        <v>19</v>
      </c>
    </row>
    <row r="829" spans="1:16" x14ac:dyDescent="0.25">
      <c r="A829" s="26">
        <v>828</v>
      </c>
      <c r="B829" s="26" t="s">
        <v>1610</v>
      </c>
      <c r="C829" s="26" t="s">
        <v>1611</v>
      </c>
      <c r="D829" s="28" t="s">
        <v>1612</v>
      </c>
      <c r="E829" s="26" t="s">
        <v>18</v>
      </c>
      <c r="F829" s="26"/>
      <c r="G829" s="29">
        <v>6.8</v>
      </c>
      <c r="H829" s="26">
        <v>85</v>
      </c>
      <c r="I829" s="26">
        <v>78</v>
      </c>
      <c r="J829" s="33">
        <f t="shared" si="39"/>
        <v>81</v>
      </c>
      <c r="K829" s="32">
        <v>0.5</v>
      </c>
      <c r="L829" s="42"/>
      <c r="M829" s="38">
        <f t="shared" si="37"/>
        <v>6.3</v>
      </c>
      <c r="N829" s="39">
        <f t="shared" si="38"/>
        <v>3.2463959219999996</v>
      </c>
      <c r="O829" s="26" t="s">
        <v>21</v>
      </c>
      <c r="P829" s="31" t="s">
        <v>19</v>
      </c>
    </row>
    <row r="830" spans="1:16" x14ac:dyDescent="0.25">
      <c r="A830" s="26">
        <v>829</v>
      </c>
      <c r="B830" s="26" t="s">
        <v>1613</v>
      </c>
      <c r="C830" s="26" t="s">
        <v>1614</v>
      </c>
      <c r="D830" s="28" t="s">
        <v>1615</v>
      </c>
      <c r="E830" s="26" t="s">
        <v>18</v>
      </c>
      <c r="F830" s="26"/>
      <c r="G830" s="29">
        <v>11.4</v>
      </c>
      <c r="H830" s="26">
        <v>92</v>
      </c>
      <c r="I830" s="26">
        <v>86</v>
      </c>
      <c r="J830" s="33">
        <f t="shared" si="39"/>
        <v>89</v>
      </c>
      <c r="K830" s="32"/>
      <c r="L830" s="42"/>
      <c r="M830" s="38">
        <f t="shared" si="37"/>
        <v>11.4</v>
      </c>
      <c r="N830" s="39">
        <f t="shared" si="38"/>
        <v>7.092114876000001</v>
      </c>
      <c r="O830" s="26"/>
      <c r="P830" s="31" t="s">
        <v>19</v>
      </c>
    </row>
    <row r="831" spans="1:16" x14ac:dyDescent="0.25">
      <c r="A831" s="26">
        <v>830</v>
      </c>
      <c r="B831" s="26" t="s">
        <v>1616</v>
      </c>
      <c r="C831" s="26" t="s">
        <v>1617</v>
      </c>
      <c r="D831" s="28" t="s">
        <v>1618</v>
      </c>
      <c r="E831" s="26" t="s">
        <v>18</v>
      </c>
      <c r="F831" s="26"/>
      <c r="G831" s="29">
        <v>11.5</v>
      </c>
      <c r="H831" s="26">
        <v>119</v>
      </c>
      <c r="I831" s="26">
        <v>94</v>
      </c>
      <c r="J831" s="33">
        <f t="shared" si="39"/>
        <v>106</v>
      </c>
      <c r="K831" s="32">
        <v>1</v>
      </c>
      <c r="L831" s="42"/>
      <c r="M831" s="38">
        <f t="shared" si="37"/>
        <v>10.5</v>
      </c>
      <c r="N831" s="39">
        <f t="shared" si="38"/>
        <v>9.2659921199999999</v>
      </c>
      <c r="O831" s="26" t="s">
        <v>53</v>
      </c>
      <c r="P831" s="31" t="s">
        <v>19</v>
      </c>
    </row>
    <row r="832" spans="1:16" x14ac:dyDescent="0.25">
      <c r="A832" s="26">
        <v>831</v>
      </c>
      <c r="B832" s="26" t="s">
        <v>1619</v>
      </c>
      <c r="C832" s="26" t="s">
        <v>1620</v>
      </c>
      <c r="D832" s="28" t="s">
        <v>1621</v>
      </c>
      <c r="E832" s="26" t="s">
        <v>18</v>
      </c>
      <c r="F832" s="26"/>
      <c r="G832" s="29">
        <v>10.4</v>
      </c>
      <c r="H832" s="26">
        <v>94</v>
      </c>
      <c r="I832" s="26">
        <v>79</v>
      </c>
      <c r="J832" s="33">
        <f t="shared" si="39"/>
        <v>86</v>
      </c>
      <c r="K832" s="32"/>
      <c r="L832" s="42"/>
      <c r="M832" s="38">
        <f t="shared" si="37"/>
        <v>10.4</v>
      </c>
      <c r="N832" s="39">
        <f t="shared" si="38"/>
        <v>6.0411711360000009</v>
      </c>
      <c r="O832" s="26"/>
      <c r="P832" s="31" t="s">
        <v>19</v>
      </c>
    </row>
    <row r="833" spans="1:16" x14ac:dyDescent="0.25">
      <c r="A833" s="26">
        <v>832</v>
      </c>
      <c r="B833" s="26" t="s">
        <v>1622</v>
      </c>
      <c r="C833" s="26" t="s">
        <v>1623</v>
      </c>
      <c r="D833" s="28">
        <v>756</v>
      </c>
      <c r="E833" s="26" t="s">
        <v>18</v>
      </c>
      <c r="F833" s="26"/>
      <c r="G833" s="29">
        <v>11.1</v>
      </c>
      <c r="H833" s="26">
        <v>92</v>
      </c>
      <c r="I833" s="26">
        <v>88</v>
      </c>
      <c r="J833" s="33">
        <f t="shared" si="39"/>
        <v>90</v>
      </c>
      <c r="K833" s="32">
        <v>0.5</v>
      </c>
      <c r="L833" s="42"/>
      <c r="M833" s="38">
        <f t="shared" si="37"/>
        <v>10.6</v>
      </c>
      <c r="N833" s="39">
        <f t="shared" si="38"/>
        <v>6.7434444000000004</v>
      </c>
      <c r="O833" s="26" t="s">
        <v>35</v>
      </c>
      <c r="P833" s="31" t="s">
        <v>30</v>
      </c>
    </row>
    <row r="834" spans="1:16" x14ac:dyDescent="0.25">
      <c r="A834" s="26">
        <v>833</v>
      </c>
      <c r="B834" s="26" t="s">
        <v>1624</v>
      </c>
      <c r="C834" s="26" t="s">
        <v>1625</v>
      </c>
      <c r="D834" s="28">
        <v>4725</v>
      </c>
      <c r="E834" s="26" t="s">
        <v>18</v>
      </c>
      <c r="F834" s="26"/>
      <c r="G834" s="29">
        <v>10.199999999999999</v>
      </c>
      <c r="H834" s="26">
        <v>94</v>
      </c>
      <c r="I834" s="26">
        <v>84</v>
      </c>
      <c r="J834" s="33">
        <f t="shared" si="39"/>
        <v>89</v>
      </c>
      <c r="K834" s="32"/>
      <c r="L834" s="42"/>
      <c r="M834" s="38">
        <f t="shared" ref="M834:M897" si="40">G834-K834</f>
        <v>10.199999999999999</v>
      </c>
      <c r="N834" s="39">
        <f t="shared" ref="N834:N897" si="41">J834*J834*M834*0.7854/10000</f>
        <v>6.345576468</v>
      </c>
      <c r="O834" s="26"/>
      <c r="P834" s="31" t="s">
        <v>19</v>
      </c>
    </row>
    <row r="835" spans="1:16" x14ac:dyDescent="0.25">
      <c r="A835" s="26">
        <v>834</v>
      </c>
      <c r="B835" s="26" t="s">
        <v>1626</v>
      </c>
      <c r="C835" s="26" t="s">
        <v>1627</v>
      </c>
      <c r="D835" s="28" t="s">
        <v>1628</v>
      </c>
      <c r="E835" s="26" t="s">
        <v>18</v>
      </c>
      <c r="F835" s="26"/>
      <c r="G835" s="29">
        <v>12</v>
      </c>
      <c r="H835" s="26">
        <v>98</v>
      </c>
      <c r="I835" s="26">
        <v>81</v>
      </c>
      <c r="J835" s="33">
        <f t="shared" si="39"/>
        <v>89</v>
      </c>
      <c r="K835" s="32"/>
      <c r="L835" s="42"/>
      <c r="M835" s="38">
        <f t="shared" si="40"/>
        <v>12</v>
      </c>
      <c r="N835" s="39">
        <f t="shared" si="41"/>
        <v>7.4653840800000006</v>
      </c>
      <c r="O835" s="26"/>
      <c r="P835" s="31" t="s">
        <v>19</v>
      </c>
    </row>
    <row r="836" spans="1:16" x14ac:dyDescent="0.25">
      <c r="A836" s="26">
        <v>835</v>
      </c>
      <c r="B836" s="26" t="s">
        <v>1629</v>
      </c>
      <c r="C836" s="26" t="s">
        <v>1630</v>
      </c>
      <c r="D836" s="28" t="s">
        <v>1631</v>
      </c>
      <c r="E836" s="26" t="s">
        <v>18</v>
      </c>
      <c r="F836" s="26"/>
      <c r="G836" s="29">
        <v>8.9</v>
      </c>
      <c r="H836" s="26">
        <v>77</v>
      </c>
      <c r="I836" s="26">
        <v>72</v>
      </c>
      <c r="J836" s="33">
        <f t="shared" si="39"/>
        <v>74</v>
      </c>
      <c r="K836" s="32"/>
      <c r="L836" s="42"/>
      <c r="M836" s="38">
        <f t="shared" si="40"/>
        <v>8.9</v>
      </c>
      <c r="N836" s="39">
        <f t="shared" si="41"/>
        <v>3.8277568560000002</v>
      </c>
      <c r="O836" s="26"/>
      <c r="P836" s="31" t="s">
        <v>30</v>
      </c>
    </row>
    <row r="837" spans="1:16" x14ac:dyDescent="0.25">
      <c r="A837" s="26">
        <v>836</v>
      </c>
      <c r="B837" s="26" t="s">
        <v>1632</v>
      </c>
      <c r="C837" s="26" t="s">
        <v>1633</v>
      </c>
      <c r="D837" s="28">
        <v>4940</v>
      </c>
      <c r="E837" s="26" t="s">
        <v>18</v>
      </c>
      <c r="F837" s="26"/>
      <c r="G837" s="29">
        <v>6.2</v>
      </c>
      <c r="H837" s="26">
        <v>81</v>
      </c>
      <c r="I837" s="26">
        <v>76</v>
      </c>
      <c r="J837" s="33">
        <f t="shared" si="39"/>
        <v>78</v>
      </c>
      <c r="K837" s="32">
        <v>0.5</v>
      </c>
      <c r="L837" s="42"/>
      <c r="M837" s="38">
        <f t="shared" si="40"/>
        <v>5.7</v>
      </c>
      <c r="N837" s="39">
        <f t="shared" si="41"/>
        <v>2.7236729520000003</v>
      </c>
      <c r="O837" s="26" t="s">
        <v>53</v>
      </c>
      <c r="P837" s="31" t="s">
        <v>19</v>
      </c>
    </row>
    <row r="838" spans="1:16" x14ac:dyDescent="0.25">
      <c r="A838" s="26">
        <v>837</v>
      </c>
      <c r="B838" s="26" t="s">
        <v>1634</v>
      </c>
      <c r="C838" s="26" t="s">
        <v>1635</v>
      </c>
      <c r="D838" s="28" t="s">
        <v>1636</v>
      </c>
      <c r="E838" s="26" t="s">
        <v>18</v>
      </c>
      <c r="F838" s="26"/>
      <c r="G838" s="29">
        <v>12</v>
      </c>
      <c r="H838" s="26">
        <v>90</v>
      </c>
      <c r="I838" s="26">
        <v>88</v>
      </c>
      <c r="J838" s="33">
        <f t="shared" si="39"/>
        <v>89</v>
      </c>
      <c r="K838" s="32"/>
      <c r="L838" s="42"/>
      <c r="M838" s="38">
        <f t="shared" si="40"/>
        <v>12</v>
      </c>
      <c r="N838" s="39">
        <f t="shared" si="41"/>
        <v>7.4653840800000006</v>
      </c>
      <c r="O838" s="26"/>
      <c r="P838" s="31" t="s">
        <v>19</v>
      </c>
    </row>
    <row r="839" spans="1:16" x14ac:dyDescent="0.25">
      <c r="A839" s="26">
        <v>838</v>
      </c>
      <c r="B839" s="26" t="s">
        <v>1637</v>
      </c>
      <c r="C839" s="26" t="s">
        <v>1638</v>
      </c>
      <c r="D839" s="28">
        <v>5167</v>
      </c>
      <c r="E839" s="26" t="s">
        <v>18</v>
      </c>
      <c r="F839" s="26"/>
      <c r="G839" s="29">
        <v>10</v>
      </c>
      <c r="H839" s="26">
        <v>88</v>
      </c>
      <c r="I839" s="26">
        <v>81</v>
      </c>
      <c r="J839" s="33">
        <f t="shared" si="39"/>
        <v>84</v>
      </c>
      <c r="K839" s="32"/>
      <c r="L839" s="42"/>
      <c r="M839" s="38">
        <f t="shared" si="40"/>
        <v>10</v>
      </c>
      <c r="N839" s="39">
        <f t="shared" si="41"/>
        <v>5.5417823999999998</v>
      </c>
      <c r="O839" s="26"/>
      <c r="P839" s="31" t="s">
        <v>30</v>
      </c>
    </row>
    <row r="840" spans="1:16" x14ac:dyDescent="0.25">
      <c r="A840" s="26">
        <v>839</v>
      </c>
      <c r="B840" s="26" t="s">
        <v>1639</v>
      </c>
      <c r="C840" s="26" t="s">
        <v>1640</v>
      </c>
      <c r="D840" s="28" t="s">
        <v>1641</v>
      </c>
      <c r="E840" s="26" t="s">
        <v>18</v>
      </c>
      <c r="F840" s="26"/>
      <c r="G840" s="29">
        <v>6.2</v>
      </c>
      <c r="H840" s="26">
        <v>95</v>
      </c>
      <c r="I840" s="26">
        <v>89</v>
      </c>
      <c r="J840" s="33">
        <f t="shared" si="39"/>
        <v>92</v>
      </c>
      <c r="K840" s="32"/>
      <c r="L840" s="42"/>
      <c r="M840" s="38">
        <f t="shared" si="40"/>
        <v>6.2</v>
      </c>
      <c r="N840" s="39">
        <f t="shared" si="41"/>
        <v>4.1215278720000006</v>
      </c>
      <c r="O840" s="26"/>
      <c r="P840" s="31" t="s">
        <v>19</v>
      </c>
    </row>
    <row r="841" spans="1:16" x14ac:dyDescent="0.25">
      <c r="A841" s="26">
        <v>840</v>
      </c>
      <c r="B841" s="26" t="s">
        <v>1642</v>
      </c>
      <c r="C841" s="26" t="s">
        <v>1643</v>
      </c>
      <c r="D841" s="28" t="s">
        <v>1644</v>
      </c>
      <c r="E841" s="26" t="s">
        <v>18</v>
      </c>
      <c r="F841" s="26"/>
      <c r="G841" s="29">
        <v>13.6</v>
      </c>
      <c r="H841" s="26">
        <v>113</v>
      </c>
      <c r="I841" s="26">
        <v>92</v>
      </c>
      <c r="J841" s="33">
        <f t="shared" si="39"/>
        <v>102</v>
      </c>
      <c r="K841" s="32"/>
      <c r="L841" s="42"/>
      <c r="M841" s="38">
        <f t="shared" si="40"/>
        <v>13.6</v>
      </c>
      <c r="N841" s="39">
        <f t="shared" si="41"/>
        <v>11.112970175999999</v>
      </c>
      <c r="O841" s="26"/>
      <c r="P841" s="31" t="s">
        <v>19</v>
      </c>
    </row>
    <row r="842" spans="1:16" x14ac:dyDescent="0.25">
      <c r="A842" s="26">
        <v>841</v>
      </c>
      <c r="B842" s="26" t="s">
        <v>1645</v>
      </c>
      <c r="C842" s="26" t="s">
        <v>1646</v>
      </c>
      <c r="D842" s="28" t="s">
        <v>1647</v>
      </c>
      <c r="E842" s="26" t="s">
        <v>18</v>
      </c>
      <c r="F842" s="26"/>
      <c r="G842" s="29">
        <v>11.1</v>
      </c>
      <c r="H842" s="26">
        <v>96</v>
      </c>
      <c r="I842" s="26">
        <v>87</v>
      </c>
      <c r="J842" s="33">
        <f t="shared" si="39"/>
        <v>91</v>
      </c>
      <c r="K842" s="32"/>
      <c r="L842" s="42"/>
      <c r="M842" s="38">
        <f t="shared" si="40"/>
        <v>11.1</v>
      </c>
      <c r="N842" s="39">
        <f t="shared" si="41"/>
        <v>7.2193261139999985</v>
      </c>
      <c r="O842" s="26"/>
      <c r="P842" s="31" t="s">
        <v>19</v>
      </c>
    </row>
    <row r="843" spans="1:16" x14ac:dyDescent="0.25">
      <c r="A843" s="26">
        <v>842</v>
      </c>
      <c r="B843" s="26" t="s">
        <v>1648</v>
      </c>
      <c r="C843" s="26" t="s">
        <v>1649</v>
      </c>
      <c r="D843" s="28" t="s">
        <v>1650</v>
      </c>
      <c r="E843" s="26" t="s">
        <v>18</v>
      </c>
      <c r="F843" s="26"/>
      <c r="G843" s="29">
        <v>11.1</v>
      </c>
      <c r="H843" s="26">
        <v>131</v>
      </c>
      <c r="I843" s="26">
        <v>119</v>
      </c>
      <c r="J843" s="33">
        <f t="shared" si="39"/>
        <v>125</v>
      </c>
      <c r="K843" s="32"/>
      <c r="L843" s="42"/>
      <c r="M843" s="38">
        <f t="shared" si="40"/>
        <v>11.1</v>
      </c>
      <c r="N843" s="39">
        <f t="shared" si="41"/>
        <v>13.62178125</v>
      </c>
      <c r="O843" s="26"/>
      <c r="P843" s="31" t="s">
        <v>19</v>
      </c>
    </row>
    <row r="844" spans="1:16" x14ac:dyDescent="0.25">
      <c r="A844" s="26">
        <v>843</v>
      </c>
      <c r="B844" s="26" t="s">
        <v>1651</v>
      </c>
      <c r="C844" s="26" t="s">
        <v>1652</v>
      </c>
      <c r="D844" s="28">
        <v>5169</v>
      </c>
      <c r="E844" s="26" t="s">
        <v>18</v>
      </c>
      <c r="F844" s="26"/>
      <c r="G844" s="29">
        <v>10.6</v>
      </c>
      <c r="H844" s="26">
        <v>117</v>
      </c>
      <c r="I844" s="26">
        <v>101</v>
      </c>
      <c r="J844" s="33">
        <f t="shared" si="39"/>
        <v>109</v>
      </c>
      <c r="K844" s="32"/>
      <c r="L844" s="42"/>
      <c r="M844" s="38">
        <f t="shared" si="40"/>
        <v>10.6</v>
      </c>
      <c r="N844" s="39">
        <f t="shared" si="41"/>
        <v>9.8912176439999993</v>
      </c>
      <c r="O844" s="26"/>
      <c r="P844" s="31" t="s">
        <v>19</v>
      </c>
    </row>
    <row r="845" spans="1:16" x14ac:dyDescent="0.25">
      <c r="A845" s="26">
        <v>844</v>
      </c>
      <c r="B845" s="26" t="s">
        <v>1653</v>
      </c>
      <c r="C845" s="26" t="s">
        <v>1654</v>
      </c>
      <c r="D845" s="28" t="s">
        <v>1655</v>
      </c>
      <c r="E845" s="26" t="s">
        <v>18</v>
      </c>
      <c r="F845" s="26"/>
      <c r="G845" s="29">
        <v>10.199999999999999</v>
      </c>
      <c r="H845" s="26">
        <v>85</v>
      </c>
      <c r="I845" s="26">
        <v>70</v>
      </c>
      <c r="J845" s="33">
        <f t="shared" si="39"/>
        <v>77</v>
      </c>
      <c r="K845" s="32"/>
      <c r="L845" s="42"/>
      <c r="M845" s="38">
        <f t="shared" si="40"/>
        <v>10.199999999999999</v>
      </c>
      <c r="N845" s="39">
        <f t="shared" si="41"/>
        <v>4.7497693319999996</v>
      </c>
      <c r="O845" s="26"/>
      <c r="P845" s="31" t="s">
        <v>19</v>
      </c>
    </row>
    <row r="846" spans="1:16" x14ac:dyDescent="0.25">
      <c r="A846" s="26">
        <v>845</v>
      </c>
      <c r="B846" s="26" t="s">
        <v>1656</v>
      </c>
      <c r="C846" s="26" t="s">
        <v>1657</v>
      </c>
      <c r="D846" s="28">
        <v>5170</v>
      </c>
      <c r="E846" s="26" t="s">
        <v>18</v>
      </c>
      <c r="F846" s="26"/>
      <c r="G846" s="29">
        <v>10.9</v>
      </c>
      <c r="H846" s="26">
        <v>73</v>
      </c>
      <c r="I846" s="26">
        <v>67</v>
      </c>
      <c r="J846" s="33">
        <f t="shared" si="39"/>
        <v>70</v>
      </c>
      <c r="K846" s="32"/>
      <c r="L846" s="42"/>
      <c r="M846" s="38">
        <f t="shared" si="40"/>
        <v>10.9</v>
      </c>
      <c r="N846" s="39">
        <f t="shared" si="41"/>
        <v>4.1948214000000004</v>
      </c>
      <c r="O846" s="26"/>
      <c r="P846" s="31" t="s">
        <v>19</v>
      </c>
    </row>
    <row r="847" spans="1:16" x14ac:dyDescent="0.25">
      <c r="A847" s="26">
        <v>846</v>
      </c>
      <c r="B847" s="26" t="s">
        <v>1658</v>
      </c>
      <c r="C847" s="26" t="s">
        <v>1659</v>
      </c>
      <c r="D847" s="28" t="s">
        <v>1660</v>
      </c>
      <c r="E847" s="26" t="s">
        <v>18</v>
      </c>
      <c r="F847" s="26"/>
      <c r="G847" s="29">
        <v>11.6</v>
      </c>
      <c r="H847" s="26">
        <v>119</v>
      </c>
      <c r="I847" s="26">
        <v>84</v>
      </c>
      <c r="J847" s="33">
        <f t="shared" si="39"/>
        <v>101</v>
      </c>
      <c r="K847" s="32"/>
      <c r="L847" s="42"/>
      <c r="M847" s="38">
        <f t="shared" si="40"/>
        <v>11.6</v>
      </c>
      <c r="N847" s="39">
        <f t="shared" si="41"/>
        <v>9.2937638639999989</v>
      </c>
      <c r="O847" s="26"/>
      <c r="P847" s="31" t="s">
        <v>19</v>
      </c>
    </row>
    <row r="848" spans="1:16" x14ac:dyDescent="0.25">
      <c r="A848" s="26">
        <v>847</v>
      </c>
      <c r="B848" s="26" t="s">
        <v>1661</v>
      </c>
      <c r="C848" s="26" t="s">
        <v>1662</v>
      </c>
      <c r="D848" s="28" t="s">
        <v>1663</v>
      </c>
      <c r="E848" s="26" t="s">
        <v>18</v>
      </c>
      <c r="F848" s="26"/>
      <c r="G848" s="29">
        <v>11.7</v>
      </c>
      <c r="H848" s="26">
        <v>123</v>
      </c>
      <c r="I848" s="26">
        <v>106</v>
      </c>
      <c r="J848" s="33">
        <f t="shared" si="39"/>
        <v>114</v>
      </c>
      <c r="K848" s="32"/>
      <c r="L848" s="42"/>
      <c r="M848" s="38">
        <f t="shared" si="40"/>
        <v>11.7</v>
      </c>
      <c r="N848" s="39">
        <f t="shared" si="41"/>
        <v>11.942258327999998</v>
      </c>
      <c r="O848" s="26"/>
      <c r="P848" s="31" t="s">
        <v>30</v>
      </c>
    </row>
    <row r="849" spans="1:16" x14ac:dyDescent="0.25">
      <c r="A849" s="26">
        <v>848</v>
      </c>
      <c r="B849" s="26" t="s">
        <v>1664</v>
      </c>
      <c r="C849" s="26" t="s">
        <v>1665</v>
      </c>
      <c r="D849" s="28">
        <v>900</v>
      </c>
      <c r="E849" s="26" t="s">
        <v>18</v>
      </c>
      <c r="F849" s="26"/>
      <c r="G849" s="29">
        <v>10.3</v>
      </c>
      <c r="H849" s="26">
        <v>127</v>
      </c>
      <c r="I849" s="26">
        <v>124</v>
      </c>
      <c r="J849" s="33">
        <f t="shared" si="39"/>
        <v>125</v>
      </c>
      <c r="K849" s="32"/>
      <c r="L849" s="42"/>
      <c r="M849" s="38">
        <f t="shared" si="40"/>
        <v>10.3</v>
      </c>
      <c r="N849" s="39">
        <f t="shared" si="41"/>
        <v>12.64003125</v>
      </c>
      <c r="O849" s="26"/>
      <c r="P849" s="31" t="s">
        <v>19</v>
      </c>
    </row>
    <row r="850" spans="1:16" x14ac:dyDescent="0.25">
      <c r="A850" s="26">
        <v>849</v>
      </c>
      <c r="B850" s="26" t="s">
        <v>1666</v>
      </c>
      <c r="C850" s="26" t="s">
        <v>1667</v>
      </c>
      <c r="D850" s="28" t="s">
        <v>1668</v>
      </c>
      <c r="E850" s="26" t="s">
        <v>18</v>
      </c>
      <c r="F850" s="26"/>
      <c r="G850" s="29">
        <v>12.5</v>
      </c>
      <c r="H850" s="26">
        <v>92</v>
      </c>
      <c r="I850" s="26">
        <v>79</v>
      </c>
      <c r="J850" s="33">
        <f t="shared" si="39"/>
        <v>85</v>
      </c>
      <c r="K850" s="32">
        <v>0.3</v>
      </c>
      <c r="L850" s="42"/>
      <c r="M850" s="38">
        <f t="shared" si="40"/>
        <v>12.2</v>
      </c>
      <c r="N850" s="39">
        <f t="shared" si="41"/>
        <v>6.9229082999999996</v>
      </c>
      <c r="O850" s="26" t="s">
        <v>21</v>
      </c>
      <c r="P850" s="31" t="s">
        <v>19</v>
      </c>
    </row>
    <row r="851" spans="1:16" x14ac:dyDescent="0.25">
      <c r="A851" s="26">
        <v>850</v>
      </c>
      <c r="B851" s="26" t="s">
        <v>1669</v>
      </c>
      <c r="C851" s="26" t="s">
        <v>1670</v>
      </c>
      <c r="D851" s="28" t="s">
        <v>1671</v>
      </c>
      <c r="E851" s="26" t="s">
        <v>18</v>
      </c>
      <c r="F851" s="26"/>
      <c r="G851" s="29">
        <v>11.3</v>
      </c>
      <c r="H851" s="26">
        <v>82</v>
      </c>
      <c r="I851" s="26">
        <v>71</v>
      </c>
      <c r="J851" s="33">
        <f t="shared" si="39"/>
        <v>76</v>
      </c>
      <c r="K851" s="32">
        <v>0.5</v>
      </c>
      <c r="L851" s="42"/>
      <c r="M851" s="38">
        <f t="shared" si="40"/>
        <v>10.8</v>
      </c>
      <c r="N851" s="39">
        <f t="shared" si="41"/>
        <v>4.8993880320000001</v>
      </c>
      <c r="O851" s="26" t="s">
        <v>53</v>
      </c>
      <c r="P851" s="31" t="s">
        <v>30</v>
      </c>
    </row>
    <row r="852" spans="1:16" x14ac:dyDescent="0.25">
      <c r="A852" s="26">
        <v>851</v>
      </c>
      <c r="B852" s="26" t="s">
        <v>1672</v>
      </c>
      <c r="C852" s="26" t="s">
        <v>1673</v>
      </c>
      <c r="D852" s="28" t="s">
        <v>1674</v>
      </c>
      <c r="E852" s="26" t="s">
        <v>18</v>
      </c>
      <c r="F852" s="26"/>
      <c r="G852" s="29">
        <v>11.2</v>
      </c>
      <c r="H852" s="26">
        <v>111</v>
      </c>
      <c r="I852" s="26">
        <v>109</v>
      </c>
      <c r="J852" s="33">
        <f t="shared" si="39"/>
        <v>110</v>
      </c>
      <c r="K852" s="32"/>
      <c r="L852" s="42"/>
      <c r="M852" s="38">
        <f t="shared" si="40"/>
        <v>11.2</v>
      </c>
      <c r="N852" s="39">
        <f t="shared" si="41"/>
        <v>10.6437408</v>
      </c>
      <c r="O852" s="26"/>
      <c r="P852" s="31" t="s">
        <v>19</v>
      </c>
    </row>
    <row r="853" spans="1:16" x14ac:dyDescent="0.25">
      <c r="A853" s="26">
        <v>852</v>
      </c>
      <c r="B853" s="26" t="s">
        <v>1675</v>
      </c>
      <c r="C853" s="26" t="s">
        <v>1676</v>
      </c>
      <c r="D853" s="28" t="s">
        <v>1677</v>
      </c>
      <c r="E853" s="26" t="s">
        <v>18</v>
      </c>
      <c r="F853" s="26"/>
      <c r="G853" s="29">
        <v>9.5</v>
      </c>
      <c r="H853" s="26">
        <v>118</v>
      </c>
      <c r="I853" s="26">
        <v>99</v>
      </c>
      <c r="J853" s="33">
        <f t="shared" si="39"/>
        <v>108</v>
      </c>
      <c r="K853" s="32"/>
      <c r="L853" s="42"/>
      <c r="M853" s="38">
        <f t="shared" si="40"/>
        <v>9.5</v>
      </c>
      <c r="N853" s="39">
        <f t="shared" si="41"/>
        <v>8.7028603199999992</v>
      </c>
      <c r="O853" s="26"/>
      <c r="P853" s="31" t="s">
        <v>19</v>
      </c>
    </row>
    <row r="854" spans="1:16" x14ac:dyDescent="0.25">
      <c r="A854" s="26">
        <v>853</v>
      </c>
      <c r="B854" s="26" t="s">
        <v>1678</v>
      </c>
      <c r="C854" s="26" t="s">
        <v>1679</v>
      </c>
      <c r="D854" s="28" t="s">
        <v>1680</v>
      </c>
      <c r="E854" s="26" t="s">
        <v>18</v>
      </c>
      <c r="F854" s="26"/>
      <c r="G854" s="29">
        <v>13.7</v>
      </c>
      <c r="H854" s="26">
        <v>86</v>
      </c>
      <c r="I854" s="26">
        <v>67</v>
      </c>
      <c r="J854" s="33">
        <f t="shared" si="39"/>
        <v>76</v>
      </c>
      <c r="K854" s="32">
        <v>0.5</v>
      </c>
      <c r="L854" s="42"/>
      <c r="M854" s="38">
        <f t="shared" si="40"/>
        <v>13.2</v>
      </c>
      <c r="N854" s="39">
        <f t="shared" si="41"/>
        <v>5.988140928</v>
      </c>
      <c r="O854" s="26" t="s">
        <v>53</v>
      </c>
      <c r="P854" s="31" t="s">
        <v>30</v>
      </c>
    </row>
    <row r="855" spans="1:16" x14ac:dyDescent="0.25">
      <c r="A855" s="26">
        <v>854</v>
      </c>
      <c r="B855" s="26" t="s">
        <v>1681</v>
      </c>
      <c r="C855" s="26" t="s">
        <v>1682</v>
      </c>
      <c r="D855" s="28">
        <v>774</v>
      </c>
      <c r="E855" s="26" t="s">
        <v>18</v>
      </c>
      <c r="F855" s="26"/>
      <c r="G855" s="29">
        <v>10.1</v>
      </c>
      <c r="H855" s="26">
        <v>91</v>
      </c>
      <c r="I855" s="26">
        <v>75</v>
      </c>
      <c r="J855" s="33">
        <f t="shared" si="39"/>
        <v>83</v>
      </c>
      <c r="K855" s="32"/>
      <c r="L855" s="42"/>
      <c r="M855" s="38">
        <f t="shared" si="40"/>
        <v>10.1</v>
      </c>
      <c r="N855" s="39">
        <f t="shared" si="41"/>
        <v>5.4647268059999998</v>
      </c>
      <c r="O855" s="26"/>
      <c r="P855" s="31" t="s">
        <v>19</v>
      </c>
    </row>
    <row r="856" spans="1:16" x14ac:dyDescent="0.25">
      <c r="A856" s="26">
        <v>855</v>
      </c>
      <c r="B856" s="26" t="s">
        <v>1683</v>
      </c>
      <c r="C856" s="26" t="s">
        <v>1684</v>
      </c>
      <c r="D856" s="28" t="s">
        <v>1685</v>
      </c>
      <c r="E856" s="26" t="s">
        <v>18</v>
      </c>
      <c r="F856" s="26"/>
      <c r="G856" s="29">
        <v>7.3</v>
      </c>
      <c r="H856" s="26">
        <v>72</v>
      </c>
      <c r="I856" s="26">
        <v>63</v>
      </c>
      <c r="J856" s="33">
        <f t="shared" si="39"/>
        <v>67</v>
      </c>
      <c r="K856" s="32"/>
      <c r="L856" s="42"/>
      <c r="M856" s="38">
        <f t="shared" si="40"/>
        <v>7.3</v>
      </c>
      <c r="N856" s="39">
        <f t="shared" si="41"/>
        <v>2.5737322379999998</v>
      </c>
      <c r="O856" s="26" t="s">
        <v>157</v>
      </c>
      <c r="P856" s="31" t="s">
        <v>19</v>
      </c>
    </row>
    <row r="857" spans="1:16" x14ac:dyDescent="0.25">
      <c r="A857" s="26">
        <v>856</v>
      </c>
      <c r="B857" s="26" t="s">
        <v>1686</v>
      </c>
      <c r="C857" s="26" t="s">
        <v>1687</v>
      </c>
      <c r="D857" s="28" t="s">
        <v>1688</v>
      </c>
      <c r="E857" s="26" t="s">
        <v>18</v>
      </c>
      <c r="F857" s="26"/>
      <c r="G857" s="29">
        <v>10.1</v>
      </c>
      <c r="H857" s="26">
        <v>73</v>
      </c>
      <c r="I857" s="26">
        <v>69</v>
      </c>
      <c r="J857" s="33">
        <f t="shared" si="39"/>
        <v>71</v>
      </c>
      <c r="K857" s="32">
        <v>0.4</v>
      </c>
      <c r="L857" s="42"/>
      <c r="M857" s="38">
        <f t="shared" si="40"/>
        <v>9.6999999999999993</v>
      </c>
      <c r="N857" s="39">
        <f t="shared" si="41"/>
        <v>3.8404253579999996</v>
      </c>
      <c r="O857" s="26" t="s">
        <v>21</v>
      </c>
      <c r="P857" s="31" t="s">
        <v>19</v>
      </c>
    </row>
    <row r="858" spans="1:16" x14ac:dyDescent="0.25">
      <c r="A858" s="26">
        <v>857</v>
      </c>
      <c r="B858" s="26" t="s">
        <v>1689</v>
      </c>
      <c r="C858" s="26" t="s">
        <v>1690</v>
      </c>
      <c r="D858" s="28" t="s">
        <v>1691</v>
      </c>
      <c r="E858" s="26" t="s">
        <v>18</v>
      </c>
      <c r="F858" s="26"/>
      <c r="G858" s="29">
        <v>9.6</v>
      </c>
      <c r="H858" s="26">
        <v>80</v>
      </c>
      <c r="I858" s="26">
        <v>68</v>
      </c>
      <c r="J858" s="33">
        <f t="shared" si="39"/>
        <v>74</v>
      </c>
      <c r="K858" s="32"/>
      <c r="L858" s="42"/>
      <c r="M858" s="38">
        <f t="shared" si="40"/>
        <v>9.6</v>
      </c>
      <c r="N858" s="39">
        <f t="shared" si="41"/>
        <v>4.1288163840000003</v>
      </c>
      <c r="O858" s="26"/>
      <c r="P858" s="31" t="s">
        <v>19</v>
      </c>
    </row>
    <row r="859" spans="1:16" x14ac:dyDescent="0.25">
      <c r="A859" s="26">
        <v>858</v>
      </c>
      <c r="B859" s="26" t="s">
        <v>1692</v>
      </c>
      <c r="C859" s="26" t="s">
        <v>1693</v>
      </c>
      <c r="D859" s="28">
        <v>776</v>
      </c>
      <c r="E859" s="26" t="s">
        <v>18</v>
      </c>
      <c r="F859" s="26"/>
      <c r="G859" s="29">
        <v>11.8</v>
      </c>
      <c r="H859" s="26">
        <v>86</v>
      </c>
      <c r="I859" s="26">
        <v>72</v>
      </c>
      <c r="J859" s="33">
        <f t="shared" si="39"/>
        <v>79</v>
      </c>
      <c r="K859" s="32">
        <v>0.3</v>
      </c>
      <c r="L859" s="42"/>
      <c r="M859" s="38">
        <f t="shared" si="40"/>
        <v>11.5</v>
      </c>
      <c r="N859" s="39">
        <f t="shared" si="41"/>
        <v>5.6369336099999998</v>
      </c>
      <c r="O859" s="26" t="s">
        <v>1007</v>
      </c>
      <c r="P859" s="31" t="s">
        <v>19</v>
      </c>
    </row>
    <row r="860" spans="1:16" x14ac:dyDescent="0.25">
      <c r="A860" s="26">
        <v>859</v>
      </c>
      <c r="B860" s="26" t="s">
        <v>1694</v>
      </c>
      <c r="C860" s="26" t="s">
        <v>1695</v>
      </c>
      <c r="D860" s="28" t="s">
        <v>1696</v>
      </c>
      <c r="E860" s="26" t="s">
        <v>18</v>
      </c>
      <c r="F860" s="26"/>
      <c r="G860" s="29">
        <v>6.9</v>
      </c>
      <c r="H860" s="26">
        <v>108</v>
      </c>
      <c r="I860" s="26">
        <v>102</v>
      </c>
      <c r="J860" s="33">
        <f t="shared" si="39"/>
        <v>105</v>
      </c>
      <c r="K860" s="32"/>
      <c r="L860" s="42"/>
      <c r="M860" s="38">
        <f t="shared" si="40"/>
        <v>6.9</v>
      </c>
      <c r="N860" s="39">
        <f t="shared" si="41"/>
        <v>5.9747341500000006</v>
      </c>
      <c r="O860" s="26"/>
      <c r="P860" s="31" t="s">
        <v>19</v>
      </c>
    </row>
    <row r="861" spans="1:16" x14ac:dyDescent="0.25">
      <c r="A861" s="26">
        <v>860</v>
      </c>
      <c r="B861" s="26" t="s">
        <v>1697</v>
      </c>
      <c r="C861" s="26" t="s">
        <v>1698</v>
      </c>
      <c r="D861" s="28" t="s">
        <v>1699</v>
      </c>
      <c r="E861" s="26" t="s">
        <v>18</v>
      </c>
      <c r="F861" s="26"/>
      <c r="G861" s="29">
        <v>10.5</v>
      </c>
      <c r="H861" s="26">
        <v>90</v>
      </c>
      <c r="I861" s="26">
        <v>72</v>
      </c>
      <c r="J861" s="33">
        <f t="shared" si="39"/>
        <v>81</v>
      </c>
      <c r="K861" s="32"/>
      <c r="L861" s="42"/>
      <c r="M861" s="38">
        <f t="shared" si="40"/>
        <v>10.5</v>
      </c>
      <c r="N861" s="39">
        <f t="shared" si="41"/>
        <v>5.4106598699999999</v>
      </c>
      <c r="O861" s="26"/>
      <c r="P861" s="31" t="s">
        <v>19</v>
      </c>
    </row>
    <row r="862" spans="1:16" x14ac:dyDescent="0.25">
      <c r="A862" s="26">
        <v>861</v>
      </c>
      <c r="B862" s="26" t="s">
        <v>1700</v>
      </c>
      <c r="C862" s="26" t="s">
        <v>1701</v>
      </c>
      <c r="D862" s="28">
        <v>783</v>
      </c>
      <c r="E862" s="26" t="s">
        <v>18</v>
      </c>
      <c r="F862" s="26"/>
      <c r="G862" s="29">
        <v>6</v>
      </c>
      <c r="H862" s="26">
        <v>124</v>
      </c>
      <c r="I862" s="26">
        <v>118</v>
      </c>
      <c r="J862" s="33">
        <f t="shared" si="39"/>
        <v>121</v>
      </c>
      <c r="K862" s="32"/>
      <c r="L862" s="42"/>
      <c r="M862" s="38">
        <f t="shared" si="40"/>
        <v>6</v>
      </c>
      <c r="N862" s="39">
        <f t="shared" si="41"/>
        <v>6.89942484</v>
      </c>
      <c r="O862" s="26"/>
      <c r="P862" s="31" t="s">
        <v>19</v>
      </c>
    </row>
    <row r="863" spans="1:16" x14ac:dyDescent="0.25">
      <c r="A863" s="26">
        <v>862</v>
      </c>
      <c r="B863" s="26" t="s">
        <v>1702</v>
      </c>
      <c r="C863" s="26" t="s">
        <v>1703</v>
      </c>
      <c r="D863" s="28">
        <v>4948</v>
      </c>
      <c r="E863" s="26" t="s">
        <v>18</v>
      </c>
      <c r="F863" s="26"/>
      <c r="G863" s="29">
        <v>9.1</v>
      </c>
      <c r="H863" s="26">
        <v>109</v>
      </c>
      <c r="I863" s="26">
        <v>95</v>
      </c>
      <c r="J863" s="33">
        <f t="shared" ref="J863:J926" si="42">ROUNDDOWN((H863+I863)/2,0)</f>
        <v>102</v>
      </c>
      <c r="K863" s="32">
        <v>0.8</v>
      </c>
      <c r="L863" s="42"/>
      <c r="M863" s="38">
        <f t="shared" si="40"/>
        <v>8.2999999999999989</v>
      </c>
      <c r="N863" s="39">
        <f t="shared" si="41"/>
        <v>6.7821803279999981</v>
      </c>
      <c r="O863" s="26" t="s">
        <v>53</v>
      </c>
      <c r="P863" s="31" t="s">
        <v>30</v>
      </c>
    </row>
    <row r="864" spans="1:16" x14ac:dyDescent="0.25">
      <c r="A864" s="26">
        <v>863</v>
      </c>
      <c r="B864" s="26" t="s">
        <v>1704</v>
      </c>
      <c r="C864" s="26" t="s">
        <v>1705</v>
      </c>
      <c r="D864" s="28" t="s">
        <v>1706</v>
      </c>
      <c r="E864" s="26" t="s">
        <v>18</v>
      </c>
      <c r="F864" s="26"/>
      <c r="G864" s="29">
        <v>11.3</v>
      </c>
      <c r="H864" s="26">
        <v>135</v>
      </c>
      <c r="I864" s="26">
        <v>129</v>
      </c>
      <c r="J864" s="33">
        <f t="shared" si="42"/>
        <v>132</v>
      </c>
      <c r="K864" s="32">
        <v>0.3</v>
      </c>
      <c r="L864" s="42"/>
      <c r="M864" s="38">
        <f t="shared" si="40"/>
        <v>11</v>
      </c>
      <c r="N864" s="39">
        <f t="shared" si="41"/>
        <v>15.053290560000001</v>
      </c>
      <c r="O864" s="26" t="s">
        <v>1007</v>
      </c>
      <c r="P864" s="31" t="s">
        <v>19</v>
      </c>
    </row>
    <row r="865" spans="1:16" x14ac:dyDescent="0.25">
      <c r="A865" s="26">
        <v>864</v>
      </c>
      <c r="B865" s="26" t="s">
        <v>1707</v>
      </c>
      <c r="C865" s="26" t="s">
        <v>1708</v>
      </c>
      <c r="D865" s="28" t="s">
        <v>1709</v>
      </c>
      <c r="E865" s="26" t="s">
        <v>18</v>
      </c>
      <c r="F865" s="26"/>
      <c r="G865" s="29">
        <v>9.1</v>
      </c>
      <c r="H865" s="26">
        <v>92</v>
      </c>
      <c r="I865" s="26">
        <v>83</v>
      </c>
      <c r="J865" s="33">
        <f t="shared" si="42"/>
        <v>87</v>
      </c>
      <c r="K865" s="32"/>
      <c r="L865" s="42"/>
      <c r="M865" s="38">
        <f t="shared" si="40"/>
        <v>9.1</v>
      </c>
      <c r="N865" s="39">
        <f t="shared" si="41"/>
        <v>5.4096702659999991</v>
      </c>
      <c r="O865" s="26"/>
      <c r="P865" s="31" t="s">
        <v>19</v>
      </c>
    </row>
    <row r="866" spans="1:16" x14ac:dyDescent="0.25">
      <c r="A866" s="26">
        <v>865</v>
      </c>
      <c r="B866" s="26" t="s">
        <v>1710</v>
      </c>
      <c r="C866" s="26" t="s">
        <v>1711</v>
      </c>
      <c r="D866" s="28" t="s">
        <v>1712</v>
      </c>
      <c r="E866" s="26" t="s">
        <v>18</v>
      </c>
      <c r="F866" s="26"/>
      <c r="G866" s="29">
        <v>6.1</v>
      </c>
      <c r="H866" s="26">
        <v>83</v>
      </c>
      <c r="I866" s="26">
        <v>79</v>
      </c>
      <c r="J866" s="33">
        <f t="shared" si="42"/>
        <v>81</v>
      </c>
      <c r="K866" s="32"/>
      <c r="L866" s="42"/>
      <c r="M866" s="38">
        <f t="shared" si="40"/>
        <v>6.1</v>
      </c>
      <c r="N866" s="39">
        <f t="shared" si="41"/>
        <v>3.1433357339999999</v>
      </c>
      <c r="O866" s="26"/>
      <c r="P866" s="31" t="s">
        <v>30</v>
      </c>
    </row>
    <row r="867" spans="1:16" x14ac:dyDescent="0.25">
      <c r="A867" s="26">
        <v>866</v>
      </c>
      <c r="B867" s="26" t="s">
        <v>1713</v>
      </c>
      <c r="C867" s="26" t="s">
        <v>1714</v>
      </c>
      <c r="D867" s="28" t="s">
        <v>1715</v>
      </c>
      <c r="E867" s="26" t="s">
        <v>18</v>
      </c>
      <c r="F867" s="26"/>
      <c r="G867" s="29">
        <v>11.8</v>
      </c>
      <c r="H867" s="26">
        <v>124</v>
      </c>
      <c r="I867" s="26">
        <v>118</v>
      </c>
      <c r="J867" s="33">
        <f t="shared" si="42"/>
        <v>121</v>
      </c>
      <c r="K867" s="32"/>
      <c r="L867" s="42"/>
      <c r="M867" s="38">
        <f t="shared" si="40"/>
        <v>11.8</v>
      </c>
      <c r="N867" s="39">
        <f t="shared" si="41"/>
        <v>13.568868852000003</v>
      </c>
      <c r="O867" s="26"/>
      <c r="P867" s="31" t="s">
        <v>19</v>
      </c>
    </row>
    <row r="868" spans="1:16" x14ac:dyDescent="0.25">
      <c r="A868" s="26">
        <v>867</v>
      </c>
      <c r="B868" s="26" t="s">
        <v>1716</v>
      </c>
      <c r="C868" s="26" t="s">
        <v>1717</v>
      </c>
      <c r="D868" s="28" t="s">
        <v>1718</v>
      </c>
      <c r="E868" s="26" t="s">
        <v>18</v>
      </c>
      <c r="F868" s="26"/>
      <c r="G868" s="29">
        <v>6.5</v>
      </c>
      <c r="H868" s="26">
        <v>118</v>
      </c>
      <c r="I868" s="26">
        <v>117</v>
      </c>
      <c r="J868" s="33">
        <f t="shared" si="42"/>
        <v>117</v>
      </c>
      <c r="K868" s="32"/>
      <c r="L868" s="42"/>
      <c r="M868" s="38">
        <f t="shared" si="40"/>
        <v>6.5</v>
      </c>
      <c r="N868" s="39">
        <f t="shared" si="41"/>
        <v>6.9883713900000002</v>
      </c>
      <c r="O868" s="26"/>
      <c r="P868" s="31" t="s">
        <v>19</v>
      </c>
    </row>
    <row r="869" spans="1:16" x14ac:dyDescent="0.25">
      <c r="A869" s="26">
        <v>868</v>
      </c>
      <c r="B869" s="26" t="s">
        <v>1719</v>
      </c>
      <c r="C869" s="26" t="s">
        <v>1720</v>
      </c>
      <c r="D869" s="28" t="s">
        <v>1721</v>
      </c>
      <c r="E869" s="26" t="s">
        <v>18</v>
      </c>
      <c r="F869" s="26"/>
      <c r="G869" s="29">
        <v>12.2</v>
      </c>
      <c r="H869" s="26">
        <v>110</v>
      </c>
      <c r="I869" s="26">
        <v>106</v>
      </c>
      <c r="J869" s="33">
        <f t="shared" si="42"/>
        <v>108</v>
      </c>
      <c r="K869" s="32"/>
      <c r="L869" s="42"/>
      <c r="M869" s="38">
        <f t="shared" si="40"/>
        <v>12.2</v>
      </c>
      <c r="N869" s="39">
        <f t="shared" si="41"/>
        <v>11.176304832</v>
      </c>
      <c r="O869" s="26"/>
      <c r="P869" s="31" t="s">
        <v>30</v>
      </c>
    </row>
    <row r="870" spans="1:16" x14ac:dyDescent="0.25">
      <c r="A870" s="26">
        <v>869</v>
      </c>
      <c r="B870" s="26" t="s">
        <v>1722</v>
      </c>
      <c r="C870" s="26" t="s">
        <v>1723</v>
      </c>
      <c r="D870" s="28" t="s">
        <v>1724</v>
      </c>
      <c r="E870" s="26" t="s">
        <v>18</v>
      </c>
      <c r="F870" s="26"/>
      <c r="G870" s="29">
        <v>13.5</v>
      </c>
      <c r="H870" s="26">
        <v>76</v>
      </c>
      <c r="I870" s="26">
        <v>62</v>
      </c>
      <c r="J870" s="33">
        <f t="shared" si="42"/>
        <v>69</v>
      </c>
      <c r="K870" s="32"/>
      <c r="L870" s="42"/>
      <c r="M870" s="38">
        <f t="shared" si="40"/>
        <v>13.5</v>
      </c>
      <c r="N870" s="39">
        <f t="shared" si="41"/>
        <v>5.0480406900000006</v>
      </c>
      <c r="O870" s="26"/>
      <c r="P870" s="31" t="s">
        <v>19</v>
      </c>
    </row>
    <row r="871" spans="1:16" x14ac:dyDescent="0.25">
      <c r="A871" s="26">
        <v>870</v>
      </c>
      <c r="B871" s="26" t="s">
        <v>1725</v>
      </c>
      <c r="C871" s="26" t="s">
        <v>1726</v>
      </c>
      <c r="D871" s="28">
        <v>5109</v>
      </c>
      <c r="E871" s="26" t="s">
        <v>18</v>
      </c>
      <c r="F871" s="26"/>
      <c r="G871" s="29">
        <v>10.3</v>
      </c>
      <c r="H871" s="26">
        <v>81</v>
      </c>
      <c r="I871" s="26">
        <v>77</v>
      </c>
      <c r="J871" s="33">
        <f t="shared" si="42"/>
        <v>79</v>
      </c>
      <c r="K871" s="32"/>
      <c r="L871" s="42"/>
      <c r="M871" s="38">
        <f t="shared" si="40"/>
        <v>10.3</v>
      </c>
      <c r="N871" s="39">
        <f t="shared" si="41"/>
        <v>5.0487318420000005</v>
      </c>
      <c r="O871" s="26"/>
      <c r="P871" s="31" t="s">
        <v>19</v>
      </c>
    </row>
    <row r="872" spans="1:16" x14ac:dyDescent="0.25">
      <c r="A872" s="26">
        <v>871</v>
      </c>
      <c r="B872" s="26" t="s">
        <v>1727</v>
      </c>
      <c r="C872" s="26" t="s">
        <v>1728</v>
      </c>
      <c r="D872" s="28" t="s">
        <v>1729</v>
      </c>
      <c r="E872" s="26" t="s">
        <v>18</v>
      </c>
      <c r="F872" s="26"/>
      <c r="G872" s="29">
        <v>11.4</v>
      </c>
      <c r="H872" s="26">
        <v>83</v>
      </c>
      <c r="I872" s="26">
        <v>71</v>
      </c>
      <c r="J872" s="33">
        <f t="shared" si="42"/>
        <v>77</v>
      </c>
      <c r="K872" s="32"/>
      <c r="L872" s="42"/>
      <c r="M872" s="38">
        <f t="shared" si="40"/>
        <v>11.4</v>
      </c>
      <c r="N872" s="39">
        <f t="shared" si="41"/>
        <v>5.3085657240000002</v>
      </c>
      <c r="O872" s="26"/>
      <c r="P872" s="31" t="s">
        <v>19</v>
      </c>
    </row>
    <row r="873" spans="1:16" x14ac:dyDescent="0.25">
      <c r="A873" s="26">
        <v>872</v>
      </c>
      <c r="B873" s="26" t="s">
        <v>1730</v>
      </c>
      <c r="C873" s="26" t="s">
        <v>1731</v>
      </c>
      <c r="D873" s="28" t="s">
        <v>1732</v>
      </c>
      <c r="E873" s="26" t="s">
        <v>18</v>
      </c>
      <c r="F873" s="26"/>
      <c r="G873" s="29">
        <v>12.2</v>
      </c>
      <c r="H873" s="26">
        <v>98</v>
      </c>
      <c r="I873" s="26">
        <v>90</v>
      </c>
      <c r="J873" s="33">
        <f t="shared" si="42"/>
        <v>94</v>
      </c>
      <c r="K873" s="32"/>
      <c r="L873" s="42"/>
      <c r="M873" s="38">
        <f t="shared" si="40"/>
        <v>12.2</v>
      </c>
      <c r="N873" s="39">
        <f t="shared" si="41"/>
        <v>8.4665491679999985</v>
      </c>
      <c r="O873" s="26"/>
      <c r="P873" s="31" t="s">
        <v>19</v>
      </c>
    </row>
    <row r="874" spans="1:16" x14ac:dyDescent="0.25">
      <c r="A874" s="26">
        <v>873</v>
      </c>
      <c r="B874" s="26" t="s">
        <v>1733</v>
      </c>
      <c r="C874" s="26" t="s">
        <v>1734</v>
      </c>
      <c r="D874" s="28">
        <v>4927</v>
      </c>
      <c r="E874" s="26" t="s">
        <v>18</v>
      </c>
      <c r="F874" s="26"/>
      <c r="G874" s="29">
        <v>6.5</v>
      </c>
      <c r="H874" s="26">
        <v>89</v>
      </c>
      <c r="I874" s="26">
        <v>84</v>
      </c>
      <c r="J874" s="33">
        <f t="shared" si="42"/>
        <v>86</v>
      </c>
      <c r="K874" s="32"/>
      <c r="L874" s="42"/>
      <c r="M874" s="38">
        <f t="shared" si="40"/>
        <v>6.5</v>
      </c>
      <c r="N874" s="39">
        <f t="shared" si="41"/>
        <v>3.7757319600000003</v>
      </c>
      <c r="O874" s="26"/>
      <c r="P874" s="31" t="s">
        <v>19</v>
      </c>
    </row>
    <row r="875" spans="1:16" x14ac:dyDescent="0.25">
      <c r="A875" s="26">
        <v>874</v>
      </c>
      <c r="B875" s="26" t="s">
        <v>1735</v>
      </c>
      <c r="C875" s="26" t="s">
        <v>1736</v>
      </c>
      <c r="D875" s="28" t="s">
        <v>1737</v>
      </c>
      <c r="E875" s="26" t="s">
        <v>18</v>
      </c>
      <c r="F875" s="26"/>
      <c r="G875" s="29">
        <v>9.1</v>
      </c>
      <c r="H875" s="26">
        <v>115</v>
      </c>
      <c r="I875" s="26">
        <v>113</v>
      </c>
      <c r="J875" s="33">
        <f t="shared" si="42"/>
        <v>114</v>
      </c>
      <c r="K875" s="32"/>
      <c r="L875" s="42"/>
      <c r="M875" s="38">
        <f t="shared" si="40"/>
        <v>9.1</v>
      </c>
      <c r="N875" s="39">
        <f t="shared" si="41"/>
        <v>9.2884231439999994</v>
      </c>
      <c r="O875" s="26"/>
      <c r="P875" s="31" t="s">
        <v>19</v>
      </c>
    </row>
    <row r="876" spans="1:16" x14ac:dyDescent="0.25">
      <c r="A876" s="26">
        <v>875</v>
      </c>
      <c r="B876" s="26" t="s">
        <v>1738</v>
      </c>
      <c r="C876" s="26" t="s">
        <v>1739</v>
      </c>
      <c r="D876" s="28" t="s">
        <v>1740</v>
      </c>
      <c r="E876" s="26" t="s">
        <v>18</v>
      </c>
      <c r="F876" s="26"/>
      <c r="G876" s="29">
        <v>7.9</v>
      </c>
      <c r="H876" s="26">
        <v>105</v>
      </c>
      <c r="I876" s="26">
        <v>105</v>
      </c>
      <c r="J876" s="33">
        <f t="shared" si="42"/>
        <v>105</v>
      </c>
      <c r="K876" s="32"/>
      <c r="L876" s="42"/>
      <c r="M876" s="38">
        <f t="shared" si="40"/>
        <v>7.9</v>
      </c>
      <c r="N876" s="39">
        <f t="shared" si="41"/>
        <v>6.8406376499999997</v>
      </c>
      <c r="O876" s="26"/>
      <c r="P876" s="31" t="s">
        <v>19</v>
      </c>
    </row>
    <row r="877" spans="1:16" x14ac:dyDescent="0.25">
      <c r="A877" s="26">
        <v>876</v>
      </c>
      <c r="B877" s="26" t="s">
        <v>1741</v>
      </c>
      <c r="C877" s="26" t="s">
        <v>1742</v>
      </c>
      <c r="D877" s="28" t="s">
        <v>1743</v>
      </c>
      <c r="E877" s="26" t="s">
        <v>18</v>
      </c>
      <c r="F877" s="26"/>
      <c r="G877" s="29">
        <v>11.2</v>
      </c>
      <c r="H877" s="26">
        <v>77</v>
      </c>
      <c r="I877" s="26">
        <v>70</v>
      </c>
      <c r="J877" s="33">
        <f t="shared" si="42"/>
        <v>73</v>
      </c>
      <c r="K877" s="32"/>
      <c r="L877" s="42"/>
      <c r="M877" s="38">
        <f t="shared" si="40"/>
        <v>11.2</v>
      </c>
      <c r="N877" s="39">
        <f t="shared" si="41"/>
        <v>4.6876441919999996</v>
      </c>
      <c r="O877" s="26"/>
      <c r="P877" s="31" t="s">
        <v>19</v>
      </c>
    </row>
    <row r="878" spans="1:16" x14ac:dyDescent="0.25">
      <c r="A878" s="26">
        <v>877</v>
      </c>
      <c r="B878" s="26" t="s">
        <v>1744</v>
      </c>
      <c r="C878" s="26" t="s">
        <v>1745</v>
      </c>
      <c r="D878" s="28" t="s">
        <v>1746</v>
      </c>
      <c r="E878" s="26" t="s">
        <v>18</v>
      </c>
      <c r="F878" s="26"/>
      <c r="G878" s="29">
        <v>10.199999999999999</v>
      </c>
      <c r="H878" s="26">
        <v>120</v>
      </c>
      <c r="I878" s="26">
        <v>100</v>
      </c>
      <c r="J878" s="33">
        <f t="shared" si="42"/>
        <v>110</v>
      </c>
      <c r="K878" s="32">
        <v>0.8</v>
      </c>
      <c r="L878" s="42"/>
      <c r="M878" s="38">
        <f t="shared" si="40"/>
        <v>9.3999999999999986</v>
      </c>
      <c r="N878" s="39">
        <f t="shared" si="41"/>
        <v>8.9331395999999987</v>
      </c>
      <c r="O878" s="26" t="s">
        <v>53</v>
      </c>
      <c r="P878" s="31" t="s">
        <v>30</v>
      </c>
    </row>
    <row r="879" spans="1:16" x14ac:dyDescent="0.25">
      <c r="A879" s="26">
        <v>878</v>
      </c>
      <c r="B879" s="26" t="s">
        <v>1747</v>
      </c>
      <c r="C879" s="26" t="s">
        <v>1748</v>
      </c>
      <c r="D879" s="28" t="s">
        <v>1749</v>
      </c>
      <c r="E879" s="26" t="s">
        <v>18</v>
      </c>
      <c r="F879" s="26"/>
      <c r="G879" s="29">
        <v>6.5</v>
      </c>
      <c r="H879" s="26">
        <v>86</v>
      </c>
      <c r="I879" s="26">
        <v>78</v>
      </c>
      <c r="J879" s="33">
        <f t="shared" si="42"/>
        <v>82</v>
      </c>
      <c r="K879" s="32">
        <v>0.3</v>
      </c>
      <c r="L879" s="42"/>
      <c r="M879" s="38">
        <f t="shared" si="40"/>
        <v>6.2</v>
      </c>
      <c r="N879" s="39">
        <f t="shared" si="41"/>
        <v>3.2742383520000002</v>
      </c>
      <c r="O879" s="26" t="s">
        <v>1007</v>
      </c>
      <c r="P879" s="31" t="s">
        <v>19</v>
      </c>
    </row>
    <row r="880" spans="1:16" x14ac:dyDescent="0.25">
      <c r="A880" s="26">
        <v>879</v>
      </c>
      <c r="B880" s="26" t="s">
        <v>1750</v>
      </c>
      <c r="C880" s="26" t="s">
        <v>1751</v>
      </c>
      <c r="D880" s="28" t="s">
        <v>1746</v>
      </c>
      <c r="E880" s="26" t="s">
        <v>18</v>
      </c>
      <c r="F880" s="26"/>
      <c r="G880" s="29">
        <v>12.1</v>
      </c>
      <c r="H880" s="26">
        <v>83</v>
      </c>
      <c r="I880" s="26">
        <v>73</v>
      </c>
      <c r="J880" s="33">
        <f t="shared" si="42"/>
        <v>78</v>
      </c>
      <c r="K880" s="32">
        <v>1</v>
      </c>
      <c r="L880" s="42"/>
      <c r="M880" s="38">
        <f t="shared" si="40"/>
        <v>11.1</v>
      </c>
      <c r="N880" s="39">
        <f t="shared" si="41"/>
        <v>5.3039946959999993</v>
      </c>
      <c r="O880" s="26" t="s">
        <v>157</v>
      </c>
      <c r="P880" s="31" t="s">
        <v>19</v>
      </c>
    </row>
    <row r="881" spans="1:16" x14ac:dyDescent="0.25">
      <c r="A881" s="26">
        <v>880</v>
      </c>
      <c r="B881" s="26" t="s">
        <v>1752</v>
      </c>
      <c r="C881" s="26" t="s">
        <v>1753</v>
      </c>
      <c r="D881" s="28" t="s">
        <v>1754</v>
      </c>
      <c r="E881" s="26" t="s">
        <v>18</v>
      </c>
      <c r="F881" s="26"/>
      <c r="G881" s="29">
        <v>7.6</v>
      </c>
      <c r="H881" s="26">
        <v>84</v>
      </c>
      <c r="I881" s="26">
        <v>75</v>
      </c>
      <c r="J881" s="33">
        <f t="shared" si="42"/>
        <v>79</v>
      </c>
      <c r="K881" s="32">
        <v>0.4</v>
      </c>
      <c r="L881" s="42"/>
      <c r="M881" s="38">
        <f t="shared" si="40"/>
        <v>7.1999999999999993</v>
      </c>
      <c r="N881" s="39">
        <f t="shared" si="41"/>
        <v>3.5292106079999996</v>
      </c>
      <c r="O881" s="26" t="s">
        <v>1007</v>
      </c>
      <c r="P881" s="31" t="s">
        <v>30</v>
      </c>
    </row>
    <row r="882" spans="1:16" x14ac:dyDescent="0.25">
      <c r="A882" s="26">
        <v>881</v>
      </c>
      <c r="B882" s="26" t="s">
        <v>1755</v>
      </c>
      <c r="C882" s="26" t="s">
        <v>1756</v>
      </c>
      <c r="D882" s="28" t="s">
        <v>1757</v>
      </c>
      <c r="E882" s="26" t="s">
        <v>18</v>
      </c>
      <c r="F882" s="26"/>
      <c r="G882" s="29">
        <v>11.2</v>
      </c>
      <c r="H882" s="26">
        <v>101</v>
      </c>
      <c r="I882" s="26">
        <v>99</v>
      </c>
      <c r="J882" s="33">
        <f t="shared" si="42"/>
        <v>100</v>
      </c>
      <c r="K882" s="32"/>
      <c r="L882" s="42"/>
      <c r="M882" s="38">
        <f t="shared" si="40"/>
        <v>11.2</v>
      </c>
      <c r="N882" s="39">
        <f t="shared" si="41"/>
        <v>8.7964800000000007</v>
      </c>
      <c r="O882" s="26"/>
      <c r="P882" s="31" t="s">
        <v>19</v>
      </c>
    </row>
    <row r="883" spans="1:16" x14ac:dyDescent="0.25">
      <c r="A883" s="26">
        <v>882</v>
      </c>
      <c r="B883" s="26" t="s">
        <v>1758</v>
      </c>
      <c r="C883" s="26" t="s">
        <v>1759</v>
      </c>
      <c r="D883" s="28" t="s">
        <v>1760</v>
      </c>
      <c r="E883" s="26" t="s">
        <v>18</v>
      </c>
      <c r="F883" s="26"/>
      <c r="G883" s="29">
        <v>11.8</v>
      </c>
      <c r="H883" s="26">
        <v>100</v>
      </c>
      <c r="I883" s="26">
        <v>86</v>
      </c>
      <c r="J883" s="33">
        <f t="shared" si="42"/>
        <v>93</v>
      </c>
      <c r="K883" s="32"/>
      <c r="L883" s="42"/>
      <c r="M883" s="38">
        <f t="shared" si="40"/>
        <v>11.8</v>
      </c>
      <c r="N883" s="39">
        <f t="shared" si="41"/>
        <v>8.0156510280000006</v>
      </c>
      <c r="O883" s="26"/>
      <c r="P883" s="31" t="s">
        <v>19</v>
      </c>
    </row>
    <row r="884" spans="1:16" x14ac:dyDescent="0.25">
      <c r="A884" s="26">
        <v>883</v>
      </c>
      <c r="B884" s="26" t="s">
        <v>1761</v>
      </c>
      <c r="C884" s="26" t="s">
        <v>1762</v>
      </c>
      <c r="D884" s="28" t="s">
        <v>1763</v>
      </c>
      <c r="E884" s="26" t="s">
        <v>18</v>
      </c>
      <c r="F884" s="26"/>
      <c r="G884" s="29">
        <v>12.2</v>
      </c>
      <c r="H884" s="26">
        <v>110</v>
      </c>
      <c r="I884" s="26">
        <v>107</v>
      </c>
      <c r="J884" s="33">
        <f t="shared" si="42"/>
        <v>108</v>
      </c>
      <c r="K884" s="32"/>
      <c r="L884" s="42"/>
      <c r="M884" s="38">
        <f t="shared" si="40"/>
        <v>12.2</v>
      </c>
      <c r="N884" s="39">
        <f t="shared" si="41"/>
        <v>11.176304832</v>
      </c>
      <c r="O884" s="26"/>
      <c r="P884" s="31" t="s">
        <v>30</v>
      </c>
    </row>
    <row r="885" spans="1:16" x14ac:dyDescent="0.25">
      <c r="A885" s="26">
        <v>884</v>
      </c>
      <c r="B885" s="26" t="s">
        <v>1764</v>
      </c>
      <c r="C885" s="26" t="s">
        <v>1765</v>
      </c>
      <c r="D885" s="28">
        <v>1532</v>
      </c>
      <c r="E885" s="26" t="s">
        <v>18</v>
      </c>
      <c r="F885" s="26"/>
      <c r="G885" s="29">
        <v>11.8</v>
      </c>
      <c r="H885" s="26">
        <v>107</v>
      </c>
      <c r="I885" s="26">
        <v>95</v>
      </c>
      <c r="J885" s="33">
        <f t="shared" si="42"/>
        <v>101</v>
      </c>
      <c r="K885" s="32">
        <v>1.5</v>
      </c>
      <c r="L885" s="42"/>
      <c r="M885" s="38">
        <f t="shared" si="40"/>
        <v>10.3</v>
      </c>
      <c r="N885" s="39">
        <f t="shared" si="41"/>
        <v>8.2522213620000002</v>
      </c>
      <c r="O885" s="26" t="s">
        <v>53</v>
      </c>
      <c r="P885" s="31" t="s">
        <v>19</v>
      </c>
    </row>
    <row r="886" spans="1:16" x14ac:dyDescent="0.25">
      <c r="A886" s="26">
        <v>885</v>
      </c>
      <c r="B886" s="26" t="s">
        <v>1766</v>
      </c>
      <c r="C886" s="26" t="s">
        <v>1767</v>
      </c>
      <c r="D886" s="28" t="s">
        <v>1768</v>
      </c>
      <c r="E886" s="26" t="s">
        <v>18</v>
      </c>
      <c r="F886" s="26"/>
      <c r="G886" s="29">
        <v>11.2</v>
      </c>
      <c r="H886" s="26">
        <v>96</v>
      </c>
      <c r="I886" s="26">
        <v>87</v>
      </c>
      <c r="J886" s="33">
        <f t="shared" si="42"/>
        <v>91</v>
      </c>
      <c r="K886" s="32">
        <v>0.3</v>
      </c>
      <c r="L886" s="42"/>
      <c r="M886" s="38">
        <f t="shared" si="40"/>
        <v>10.899999999999999</v>
      </c>
      <c r="N886" s="39">
        <f t="shared" si="41"/>
        <v>7.0892481659999991</v>
      </c>
      <c r="O886" s="26" t="s">
        <v>35</v>
      </c>
      <c r="P886" s="31" t="s">
        <v>19</v>
      </c>
    </row>
    <row r="887" spans="1:16" x14ac:dyDescent="0.25">
      <c r="A887" s="26">
        <v>886</v>
      </c>
      <c r="B887" s="26" t="s">
        <v>1769</v>
      </c>
      <c r="C887" s="26" t="s">
        <v>1770</v>
      </c>
      <c r="D887" s="28" t="s">
        <v>1771</v>
      </c>
      <c r="E887" s="26" t="s">
        <v>18</v>
      </c>
      <c r="F887" s="26"/>
      <c r="G887" s="29">
        <v>6.1</v>
      </c>
      <c r="H887" s="26">
        <v>87</v>
      </c>
      <c r="I887" s="26">
        <v>81</v>
      </c>
      <c r="J887" s="33">
        <f t="shared" si="42"/>
        <v>84</v>
      </c>
      <c r="K887" s="32"/>
      <c r="L887" s="42"/>
      <c r="M887" s="38">
        <f t="shared" si="40"/>
        <v>6.1</v>
      </c>
      <c r="N887" s="39">
        <f t="shared" si="41"/>
        <v>3.3804872640000001</v>
      </c>
      <c r="O887" s="26"/>
      <c r="P887" s="31" t="s">
        <v>19</v>
      </c>
    </row>
    <row r="888" spans="1:16" x14ac:dyDescent="0.25">
      <c r="A888" s="26">
        <v>887</v>
      </c>
      <c r="B888" s="26" t="s">
        <v>1772</v>
      </c>
      <c r="C888" s="26" t="s">
        <v>1773</v>
      </c>
      <c r="D888" s="28" t="s">
        <v>1774</v>
      </c>
      <c r="E888" s="26" t="s">
        <v>18</v>
      </c>
      <c r="F888" s="26"/>
      <c r="G888" s="29">
        <v>12.6</v>
      </c>
      <c r="H888" s="26">
        <v>89</v>
      </c>
      <c r="I888" s="26">
        <v>78</v>
      </c>
      <c r="J888" s="33">
        <f t="shared" si="42"/>
        <v>83</v>
      </c>
      <c r="K888" s="32"/>
      <c r="L888" s="42"/>
      <c r="M888" s="38">
        <f t="shared" si="40"/>
        <v>12.6</v>
      </c>
      <c r="N888" s="39">
        <f t="shared" si="41"/>
        <v>6.8173819559999993</v>
      </c>
      <c r="O888" s="26"/>
      <c r="P888" s="31" t="s">
        <v>19</v>
      </c>
    </row>
    <row r="889" spans="1:16" x14ac:dyDescent="0.25">
      <c r="A889" s="26">
        <v>888</v>
      </c>
      <c r="B889" s="26" t="s">
        <v>1775</v>
      </c>
      <c r="C889" s="26" t="s">
        <v>1776</v>
      </c>
      <c r="D889" s="28" t="s">
        <v>1777</v>
      </c>
      <c r="E889" s="26" t="s">
        <v>18</v>
      </c>
      <c r="F889" s="26"/>
      <c r="G889" s="29">
        <v>13.3</v>
      </c>
      <c r="H889" s="26">
        <v>77</v>
      </c>
      <c r="I889" s="26">
        <v>65</v>
      </c>
      <c r="J889" s="33">
        <f t="shared" si="42"/>
        <v>71</v>
      </c>
      <c r="K889" s="32">
        <v>0.5</v>
      </c>
      <c r="L889" s="42"/>
      <c r="M889" s="38">
        <f t="shared" si="40"/>
        <v>12.8</v>
      </c>
      <c r="N889" s="39">
        <f t="shared" si="41"/>
        <v>5.0677777920000002</v>
      </c>
      <c r="O889" s="26" t="s">
        <v>1007</v>
      </c>
      <c r="P889" s="31" t="s">
        <v>19</v>
      </c>
    </row>
    <row r="890" spans="1:16" x14ac:dyDescent="0.25">
      <c r="A890" s="26">
        <v>889</v>
      </c>
      <c r="B890" s="26" t="s">
        <v>1778</v>
      </c>
      <c r="C890" s="26" t="s">
        <v>1779</v>
      </c>
      <c r="D890" s="28" t="s">
        <v>1780</v>
      </c>
      <c r="E890" s="26" t="s">
        <v>18</v>
      </c>
      <c r="F890" s="26"/>
      <c r="G890" s="29">
        <v>13.3</v>
      </c>
      <c r="H890" s="26">
        <v>95</v>
      </c>
      <c r="I890" s="26">
        <v>88</v>
      </c>
      <c r="J890" s="33">
        <f t="shared" si="42"/>
        <v>91</v>
      </c>
      <c r="K890" s="32">
        <v>1.5</v>
      </c>
      <c r="L890" s="42"/>
      <c r="M890" s="38">
        <f t="shared" si="40"/>
        <v>11.8</v>
      </c>
      <c r="N890" s="39">
        <f t="shared" si="41"/>
        <v>7.6745989320000012</v>
      </c>
      <c r="O890" s="26" t="s">
        <v>53</v>
      </c>
      <c r="P890" s="31" t="s">
        <v>19</v>
      </c>
    </row>
    <row r="891" spans="1:16" x14ac:dyDescent="0.25">
      <c r="A891" s="26">
        <v>890</v>
      </c>
      <c r="B891" s="26" t="s">
        <v>1781</v>
      </c>
      <c r="C891" s="26" t="s">
        <v>1782</v>
      </c>
      <c r="D891" s="28" t="s">
        <v>1783</v>
      </c>
      <c r="E891" s="26" t="s">
        <v>18</v>
      </c>
      <c r="F891" s="26"/>
      <c r="G891" s="29">
        <v>13.4</v>
      </c>
      <c r="H891" s="26">
        <v>74</v>
      </c>
      <c r="I891" s="26">
        <v>57</v>
      </c>
      <c r="J891" s="33">
        <f t="shared" si="42"/>
        <v>65</v>
      </c>
      <c r="K891" s="32"/>
      <c r="L891" s="42"/>
      <c r="M891" s="38">
        <f t="shared" si="40"/>
        <v>13.4</v>
      </c>
      <c r="N891" s="39">
        <f t="shared" si="41"/>
        <v>4.4465421000000003</v>
      </c>
      <c r="O891" s="26"/>
      <c r="P891" s="31" t="s">
        <v>19</v>
      </c>
    </row>
    <row r="892" spans="1:16" x14ac:dyDescent="0.25">
      <c r="A892" s="26">
        <v>891</v>
      </c>
      <c r="B892" s="26" t="s">
        <v>1784</v>
      </c>
      <c r="C892" s="26" t="s">
        <v>1785</v>
      </c>
      <c r="D892" s="28">
        <v>1537</v>
      </c>
      <c r="E892" s="26" t="s">
        <v>18</v>
      </c>
      <c r="F892" s="26"/>
      <c r="G892" s="29">
        <v>13</v>
      </c>
      <c r="H892" s="26">
        <v>91</v>
      </c>
      <c r="I892" s="26">
        <v>84</v>
      </c>
      <c r="J892" s="33">
        <f t="shared" si="42"/>
        <v>87</v>
      </c>
      <c r="K892" s="32">
        <v>0.5</v>
      </c>
      <c r="L892" s="42"/>
      <c r="M892" s="38">
        <f t="shared" si="40"/>
        <v>12.5</v>
      </c>
      <c r="N892" s="39">
        <f t="shared" si="41"/>
        <v>7.4308657499999997</v>
      </c>
      <c r="O892" s="26" t="s">
        <v>53</v>
      </c>
      <c r="P892" s="31" t="s">
        <v>19</v>
      </c>
    </row>
    <row r="893" spans="1:16" x14ac:dyDescent="0.25">
      <c r="A893" s="26">
        <v>892</v>
      </c>
      <c r="B893" s="26" t="s">
        <v>1786</v>
      </c>
      <c r="C893" s="26" t="s">
        <v>1787</v>
      </c>
      <c r="D893" s="28" t="s">
        <v>1788</v>
      </c>
      <c r="E893" s="26" t="s">
        <v>18</v>
      </c>
      <c r="F893" s="26"/>
      <c r="G893" s="29">
        <v>11.5</v>
      </c>
      <c r="H893" s="26">
        <v>70</v>
      </c>
      <c r="I893" s="26">
        <v>68</v>
      </c>
      <c r="J893" s="33">
        <f t="shared" si="42"/>
        <v>69</v>
      </c>
      <c r="K893" s="32"/>
      <c r="L893" s="42"/>
      <c r="M893" s="38">
        <f t="shared" si="40"/>
        <v>11.5</v>
      </c>
      <c r="N893" s="39">
        <f t="shared" si="41"/>
        <v>4.3001828099999999</v>
      </c>
      <c r="O893" s="26"/>
      <c r="P893" s="31" t="s">
        <v>30</v>
      </c>
    </row>
    <row r="894" spans="1:16" x14ac:dyDescent="0.25">
      <c r="A894" s="26">
        <v>893</v>
      </c>
      <c r="B894" s="26" t="s">
        <v>1789</v>
      </c>
      <c r="C894" s="26" t="s">
        <v>1790</v>
      </c>
      <c r="D894" s="28" t="s">
        <v>1791</v>
      </c>
      <c r="E894" s="26" t="s">
        <v>18</v>
      </c>
      <c r="F894" s="26"/>
      <c r="G894" s="29">
        <v>8.5</v>
      </c>
      <c r="H894" s="26">
        <v>83</v>
      </c>
      <c r="I894" s="26">
        <v>73</v>
      </c>
      <c r="J894" s="33">
        <f t="shared" si="42"/>
        <v>78</v>
      </c>
      <c r="K894" s="32">
        <v>0.5</v>
      </c>
      <c r="L894" s="42"/>
      <c r="M894" s="38">
        <f t="shared" si="40"/>
        <v>8</v>
      </c>
      <c r="N894" s="39">
        <f t="shared" si="41"/>
        <v>3.8226988799999999</v>
      </c>
      <c r="O894" s="26" t="s">
        <v>53</v>
      </c>
      <c r="P894" s="31" t="s">
        <v>19</v>
      </c>
    </row>
    <row r="895" spans="1:16" x14ac:dyDescent="0.25">
      <c r="A895" s="26">
        <v>894</v>
      </c>
      <c r="B895" s="26" t="s">
        <v>1792</v>
      </c>
      <c r="C895" s="26" t="s">
        <v>1793</v>
      </c>
      <c r="D895" s="28" t="s">
        <v>1794</v>
      </c>
      <c r="E895" s="26" t="s">
        <v>18</v>
      </c>
      <c r="F895" s="26"/>
      <c r="G895" s="29">
        <v>11.2</v>
      </c>
      <c r="H895" s="26">
        <v>99</v>
      </c>
      <c r="I895" s="26">
        <v>85</v>
      </c>
      <c r="J895" s="33">
        <f t="shared" si="42"/>
        <v>92</v>
      </c>
      <c r="K895" s="32"/>
      <c r="L895" s="42"/>
      <c r="M895" s="38">
        <f t="shared" si="40"/>
        <v>11.2</v>
      </c>
      <c r="N895" s="39">
        <f t="shared" si="41"/>
        <v>7.4453406719999986</v>
      </c>
      <c r="O895" s="26"/>
      <c r="P895" s="31" t="s">
        <v>19</v>
      </c>
    </row>
    <row r="896" spans="1:16" x14ac:dyDescent="0.25">
      <c r="A896" s="26">
        <v>895</v>
      </c>
      <c r="B896" s="26" t="s">
        <v>1795</v>
      </c>
      <c r="C896" s="26" t="s">
        <v>1796</v>
      </c>
      <c r="D896" s="28" t="s">
        <v>1797</v>
      </c>
      <c r="E896" s="26" t="s">
        <v>18</v>
      </c>
      <c r="F896" s="26"/>
      <c r="G896" s="29">
        <v>10</v>
      </c>
      <c r="H896" s="26">
        <v>84</v>
      </c>
      <c r="I896" s="26">
        <v>74</v>
      </c>
      <c r="J896" s="33">
        <f t="shared" si="42"/>
        <v>79</v>
      </c>
      <c r="K896" s="32">
        <v>0.3</v>
      </c>
      <c r="L896" s="42"/>
      <c r="M896" s="38">
        <f t="shared" si="40"/>
        <v>9.6999999999999993</v>
      </c>
      <c r="N896" s="39">
        <f t="shared" si="41"/>
        <v>4.754630957999999</v>
      </c>
      <c r="O896" s="26" t="s">
        <v>21</v>
      </c>
      <c r="P896" s="31" t="s">
        <v>30</v>
      </c>
    </row>
    <row r="897" spans="1:16" x14ac:dyDescent="0.25">
      <c r="A897" s="26">
        <v>896</v>
      </c>
      <c r="B897" s="26" t="s">
        <v>1798</v>
      </c>
      <c r="C897" s="26" t="s">
        <v>1799</v>
      </c>
      <c r="D897" s="28" t="s">
        <v>1800</v>
      </c>
      <c r="E897" s="26" t="s">
        <v>18</v>
      </c>
      <c r="F897" s="26"/>
      <c r="G897" s="29">
        <v>10.8</v>
      </c>
      <c r="H897" s="26">
        <v>91</v>
      </c>
      <c r="I897" s="26">
        <v>71</v>
      </c>
      <c r="J897" s="33">
        <f t="shared" si="42"/>
        <v>81</v>
      </c>
      <c r="K897" s="32"/>
      <c r="L897" s="42"/>
      <c r="M897" s="38">
        <f t="shared" si="40"/>
        <v>10.8</v>
      </c>
      <c r="N897" s="39">
        <f t="shared" si="41"/>
        <v>5.565250152</v>
      </c>
      <c r="O897" s="26"/>
      <c r="P897" s="31" t="s">
        <v>19</v>
      </c>
    </row>
    <row r="898" spans="1:16" x14ac:dyDescent="0.25">
      <c r="A898" s="26">
        <v>897</v>
      </c>
      <c r="B898" s="26" t="s">
        <v>1801</v>
      </c>
      <c r="C898" s="26" t="s">
        <v>1802</v>
      </c>
      <c r="D898" s="28" t="s">
        <v>1803</v>
      </c>
      <c r="E898" s="26" t="s">
        <v>18</v>
      </c>
      <c r="F898" s="26"/>
      <c r="G898" s="29">
        <v>13.3</v>
      </c>
      <c r="H898" s="26">
        <v>100</v>
      </c>
      <c r="I898" s="26">
        <v>79</v>
      </c>
      <c r="J898" s="33">
        <f t="shared" si="42"/>
        <v>89</v>
      </c>
      <c r="K898" s="32"/>
      <c r="L898" s="42"/>
      <c r="M898" s="38">
        <f t="shared" ref="M898:M961" si="43">G898-K898</f>
        <v>13.3</v>
      </c>
      <c r="N898" s="39">
        <f t="shared" ref="N898:N961" si="44">J898*J898*M898*0.7854/10000</f>
        <v>8.2741340220000001</v>
      </c>
      <c r="O898" s="26"/>
      <c r="P898" s="31" t="s">
        <v>19</v>
      </c>
    </row>
    <row r="899" spans="1:16" x14ac:dyDescent="0.25">
      <c r="A899" s="26">
        <v>898</v>
      </c>
      <c r="B899" s="26" t="s">
        <v>1804</v>
      </c>
      <c r="C899" s="26" t="s">
        <v>1805</v>
      </c>
      <c r="D899" s="28" t="s">
        <v>1806</v>
      </c>
      <c r="E899" s="26" t="s">
        <v>18</v>
      </c>
      <c r="F899" s="26"/>
      <c r="G899" s="29">
        <v>14.2</v>
      </c>
      <c r="H899" s="26">
        <v>80</v>
      </c>
      <c r="I899" s="26">
        <v>71</v>
      </c>
      <c r="J899" s="33">
        <f t="shared" si="42"/>
        <v>75</v>
      </c>
      <c r="K899" s="32"/>
      <c r="L899" s="42"/>
      <c r="M899" s="38">
        <f t="shared" si="43"/>
        <v>14.2</v>
      </c>
      <c r="N899" s="39">
        <f t="shared" si="44"/>
        <v>6.2733824999999994</v>
      </c>
      <c r="O899" s="26"/>
      <c r="P899" s="31" t="s">
        <v>30</v>
      </c>
    </row>
    <row r="900" spans="1:16" x14ac:dyDescent="0.25">
      <c r="A900" s="26">
        <v>899</v>
      </c>
      <c r="B900" s="26" t="s">
        <v>1807</v>
      </c>
      <c r="C900" s="26" t="s">
        <v>1808</v>
      </c>
      <c r="D900" s="28" t="s">
        <v>1809</v>
      </c>
      <c r="E900" s="26" t="s">
        <v>18</v>
      </c>
      <c r="F900" s="26"/>
      <c r="G900" s="29">
        <v>7.6</v>
      </c>
      <c r="H900" s="26">
        <v>99</v>
      </c>
      <c r="I900" s="26">
        <v>82</v>
      </c>
      <c r="J900" s="33">
        <f t="shared" si="42"/>
        <v>90</v>
      </c>
      <c r="K900" s="32">
        <v>0.8</v>
      </c>
      <c r="L900" s="42"/>
      <c r="M900" s="38">
        <f t="shared" si="43"/>
        <v>6.8</v>
      </c>
      <c r="N900" s="39">
        <f t="shared" si="44"/>
        <v>4.3259832000000005</v>
      </c>
      <c r="O900" s="26" t="s">
        <v>53</v>
      </c>
      <c r="P900" s="31" t="s">
        <v>19</v>
      </c>
    </row>
    <row r="901" spans="1:16" x14ac:dyDescent="0.25">
      <c r="A901" s="26">
        <v>900</v>
      </c>
      <c r="B901" s="26" t="s">
        <v>1810</v>
      </c>
      <c r="C901" s="26" t="s">
        <v>1811</v>
      </c>
      <c r="D901" s="28" t="s">
        <v>1812</v>
      </c>
      <c r="E901" s="26" t="s">
        <v>18</v>
      </c>
      <c r="F901" s="26"/>
      <c r="G901" s="29">
        <v>13.6</v>
      </c>
      <c r="H901" s="26">
        <v>84</v>
      </c>
      <c r="I901" s="26">
        <v>64</v>
      </c>
      <c r="J901" s="33">
        <f t="shared" si="42"/>
        <v>74</v>
      </c>
      <c r="K901" s="32">
        <v>0.3</v>
      </c>
      <c r="L901" s="42"/>
      <c r="M901" s="38">
        <f t="shared" si="43"/>
        <v>13.299999999999999</v>
      </c>
      <c r="N901" s="39">
        <f t="shared" si="44"/>
        <v>5.7201310319999994</v>
      </c>
      <c r="O901" s="26" t="s">
        <v>1007</v>
      </c>
      <c r="P901" s="31" t="s">
        <v>19</v>
      </c>
    </row>
    <row r="902" spans="1:16" x14ac:dyDescent="0.25">
      <c r="A902" s="26">
        <v>901</v>
      </c>
      <c r="B902" s="26" t="s">
        <v>1813</v>
      </c>
      <c r="C902" s="26" t="s">
        <v>1814</v>
      </c>
      <c r="D902" s="28" t="s">
        <v>1815</v>
      </c>
      <c r="E902" s="26" t="s">
        <v>18</v>
      </c>
      <c r="F902" s="26"/>
      <c r="G902" s="29">
        <v>13.3</v>
      </c>
      <c r="H902" s="26">
        <v>104</v>
      </c>
      <c r="I902" s="26">
        <v>82</v>
      </c>
      <c r="J902" s="33">
        <f t="shared" si="42"/>
        <v>93</v>
      </c>
      <c r="K902" s="32"/>
      <c r="L902" s="42"/>
      <c r="M902" s="38">
        <f t="shared" si="43"/>
        <v>13.3</v>
      </c>
      <c r="N902" s="39">
        <f t="shared" si="44"/>
        <v>9.0345897180000012</v>
      </c>
      <c r="O902" s="26"/>
      <c r="P902" s="31" t="s">
        <v>19</v>
      </c>
    </row>
    <row r="903" spans="1:16" x14ac:dyDescent="0.25">
      <c r="A903" s="26">
        <v>902</v>
      </c>
      <c r="B903" s="26" t="s">
        <v>1816</v>
      </c>
      <c r="C903" s="26" t="s">
        <v>1817</v>
      </c>
      <c r="D903" s="28">
        <v>4806</v>
      </c>
      <c r="E903" s="26" t="s">
        <v>18</v>
      </c>
      <c r="F903" s="26"/>
      <c r="G903" s="29">
        <v>6.4</v>
      </c>
      <c r="H903" s="26">
        <v>82</v>
      </c>
      <c r="I903" s="26">
        <v>78</v>
      </c>
      <c r="J903" s="33">
        <f t="shared" si="42"/>
        <v>80</v>
      </c>
      <c r="K903" s="32"/>
      <c r="L903" s="42"/>
      <c r="M903" s="38">
        <f t="shared" si="43"/>
        <v>6.4</v>
      </c>
      <c r="N903" s="39">
        <f t="shared" si="44"/>
        <v>3.2169984</v>
      </c>
      <c r="O903" s="26"/>
      <c r="P903" s="31" t="s">
        <v>19</v>
      </c>
    </row>
    <row r="904" spans="1:16" x14ac:dyDescent="0.25">
      <c r="A904" s="26">
        <v>903</v>
      </c>
      <c r="B904" s="26" t="s">
        <v>1818</v>
      </c>
      <c r="C904" s="26" t="s">
        <v>1819</v>
      </c>
      <c r="D904" s="28" t="s">
        <v>1820</v>
      </c>
      <c r="E904" s="26" t="s">
        <v>18</v>
      </c>
      <c r="F904" s="26"/>
      <c r="G904" s="29">
        <v>9</v>
      </c>
      <c r="H904" s="26">
        <v>102</v>
      </c>
      <c r="I904" s="26">
        <v>94</v>
      </c>
      <c r="J904" s="33">
        <f t="shared" si="42"/>
        <v>98</v>
      </c>
      <c r="K904" s="32"/>
      <c r="L904" s="42"/>
      <c r="M904" s="38">
        <f t="shared" si="43"/>
        <v>9</v>
      </c>
      <c r="N904" s="39">
        <f t="shared" si="44"/>
        <v>6.7886834399999989</v>
      </c>
      <c r="O904" s="26"/>
      <c r="P904" s="31" t="s">
        <v>19</v>
      </c>
    </row>
    <row r="905" spans="1:16" x14ac:dyDescent="0.25">
      <c r="A905" s="26">
        <v>904</v>
      </c>
      <c r="B905" s="26" t="s">
        <v>1821</v>
      </c>
      <c r="C905" s="26" t="s">
        <v>1822</v>
      </c>
      <c r="D905" s="28" t="s">
        <v>1823</v>
      </c>
      <c r="E905" s="26" t="s">
        <v>18</v>
      </c>
      <c r="F905" s="26"/>
      <c r="G905" s="29">
        <v>6.4</v>
      </c>
      <c r="H905" s="26">
        <v>96</v>
      </c>
      <c r="I905" s="26">
        <v>92</v>
      </c>
      <c r="J905" s="33">
        <f t="shared" si="42"/>
        <v>94</v>
      </c>
      <c r="K905" s="32"/>
      <c r="L905" s="42"/>
      <c r="M905" s="38">
        <f t="shared" si="43"/>
        <v>6.4</v>
      </c>
      <c r="N905" s="39">
        <f t="shared" si="44"/>
        <v>4.4414684159999993</v>
      </c>
      <c r="O905" s="26"/>
      <c r="P905" s="31" t="s">
        <v>19</v>
      </c>
    </row>
    <row r="906" spans="1:16" x14ac:dyDescent="0.25">
      <c r="A906" s="26">
        <v>905</v>
      </c>
      <c r="B906" s="26" t="s">
        <v>1824</v>
      </c>
      <c r="C906" s="26" t="s">
        <v>1825</v>
      </c>
      <c r="D906" s="28" t="s">
        <v>1826</v>
      </c>
      <c r="E906" s="26" t="s">
        <v>18</v>
      </c>
      <c r="F906" s="26"/>
      <c r="G906" s="29">
        <v>10.6</v>
      </c>
      <c r="H906" s="26">
        <v>85</v>
      </c>
      <c r="I906" s="26">
        <v>80</v>
      </c>
      <c r="J906" s="33">
        <f t="shared" si="42"/>
        <v>82</v>
      </c>
      <c r="K906" s="32"/>
      <c r="L906" s="42"/>
      <c r="M906" s="38">
        <f t="shared" si="43"/>
        <v>10.6</v>
      </c>
      <c r="N906" s="39">
        <f t="shared" si="44"/>
        <v>5.5978913759999998</v>
      </c>
      <c r="O906" s="26"/>
      <c r="P906" s="31" t="s">
        <v>19</v>
      </c>
    </row>
    <row r="907" spans="1:16" x14ac:dyDescent="0.25">
      <c r="A907" s="26">
        <v>906</v>
      </c>
      <c r="B907" s="26" t="s">
        <v>1827</v>
      </c>
      <c r="C907" s="26" t="s">
        <v>1828</v>
      </c>
      <c r="D907" s="28" t="s">
        <v>1829</v>
      </c>
      <c r="E907" s="26" t="s">
        <v>18</v>
      </c>
      <c r="F907" s="26"/>
      <c r="G907" s="29">
        <v>6.5</v>
      </c>
      <c r="H907" s="26">
        <v>80</v>
      </c>
      <c r="I907" s="26">
        <v>75</v>
      </c>
      <c r="J907" s="33">
        <f t="shared" si="42"/>
        <v>77</v>
      </c>
      <c r="K907" s="32"/>
      <c r="L907" s="42"/>
      <c r="M907" s="38">
        <f t="shared" si="43"/>
        <v>6.5</v>
      </c>
      <c r="N907" s="39">
        <f t="shared" si="44"/>
        <v>3.0268137899999998</v>
      </c>
      <c r="O907" s="26"/>
      <c r="P907" s="31" t="s">
        <v>19</v>
      </c>
    </row>
    <row r="908" spans="1:16" x14ac:dyDescent="0.25">
      <c r="A908" s="26">
        <v>907</v>
      </c>
      <c r="B908" s="26" t="s">
        <v>1830</v>
      </c>
      <c r="C908" s="26" t="s">
        <v>1831</v>
      </c>
      <c r="D908" s="28" t="s">
        <v>1832</v>
      </c>
      <c r="E908" s="26" t="s">
        <v>18</v>
      </c>
      <c r="F908" s="26"/>
      <c r="G908" s="29">
        <v>13.5</v>
      </c>
      <c r="H908" s="26">
        <v>95</v>
      </c>
      <c r="I908" s="26">
        <v>83</v>
      </c>
      <c r="J908" s="33">
        <f t="shared" si="42"/>
        <v>89</v>
      </c>
      <c r="K908" s="32"/>
      <c r="L908" s="42">
        <v>10</v>
      </c>
      <c r="M908" s="38">
        <f t="shared" si="43"/>
        <v>13.5</v>
      </c>
      <c r="N908" s="39">
        <f t="shared" si="44"/>
        <v>8.3985570899999988</v>
      </c>
      <c r="O908" s="26" t="s">
        <v>157</v>
      </c>
      <c r="P908" s="31" t="s">
        <v>30</v>
      </c>
    </row>
    <row r="909" spans="1:16" x14ac:dyDescent="0.25">
      <c r="A909" s="26">
        <v>908</v>
      </c>
      <c r="B909" s="26" t="s">
        <v>1833</v>
      </c>
      <c r="C909" s="26" t="s">
        <v>1834</v>
      </c>
      <c r="D909" s="28" t="s">
        <v>1835</v>
      </c>
      <c r="E909" s="26" t="s">
        <v>18</v>
      </c>
      <c r="F909" s="26"/>
      <c r="G909" s="29">
        <v>12.5</v>
      </c>
      <c r="H909" s="26">
        <v>89</v>
      </c>
      <c r="I909" s="26">
        <v>75</v>
      </c>
      <c r="J909" s="33">
        <f t="shared" si="42"/>
        <v>82</v>
      </c>
      <c r="K909" s="32"/>
      <c r="L909" s="42"/>
      <c r="M909" s="38">
        <f t="shared" si="43"/>
        <v>12.5</v>
      </c>
      <c r="N909" s="39">
        <f t="shared" si="44"/>
        <v>6.6012869999999992</v>
      </c>
      <c r="O909" s="26"/>
      <c r="P909" s="31" t="s">
        <v>19</v>
      </c>
    </row>
    <row r="910" spans="1:16" x14ac:dyDescent="0.25">
      <c r="A910" s="26">
        <v>909</v>
      </c>
      <c r="B910" s="26" t="s">
        <v>1836</v>
      </c>
      <c r="C910" s="41" t="s">
        <v>1837</v>
      </c>
      <c r="D910" s="28" t="s">
        <v>1838</v>
      </c>
      <c r="E910" s="26" t="s">
        <v>18</v>
      </c>
      <c r="F910" s="26"/>
      <c r="G910" s="29">
        <v>13.3</v>
      </c>
      <c r="H910" s="26">
        <v>93</v>
      </c>
      <c r="I910" s="26">
        <v>83</v>
      </c>
      <c r="J910" s="33">
        <f t="shared" si="42"/>
        <v>88</v>
      </c>
      <c r="K910" s="32"/>
      <c r="L910" s="42"/>
      <c r="M910" s="38">
        <f t="shared" si="43"/>
        <v>13.3</v>
      </c>
      <c r="N910" s="39">
        <f t="shared" si="44"/>
        <v>8.0892430080000004</v>
      </c>
      <c r="O910" s="26"/>
      <c r="P910" s="31" t="s">
        <v>19</v>
      </c>
    </row>
    <row r="911" spans="1:16" x14ac:dyDescent="0.25">
      <c r="A911" s="26">
        <v>910</v>
      </c>
      <c r="B911" s="26" t="s">
        <v>1839</v>
      </c>
      <c r="C911" s="26" t="s">
        <v>1840</v>
      </c>
      <c r="D911" s="28" t="s">
        <v>1841</v>
      </c>
      <c r="E911" s="26" t="s">
        <v>18</v>
      </c>
      <c r="F911" s="26"/>
      <c r="G911" s="29">
        <v>7.2</v>
      </c>
      <c r="H911" s="26">
        <v>83</v>
      </c>
      <c r="I911" s="26">
        <v>77</v>
      </c>
      <c r="J911" s="33">
        <f t="shared" si="42"/>
        <v>80</v>
      </c>
      <c r="K911" s="32"/>
      <c r="L911" s="42"/>
      <c r="M911" s="38">
        <f t="shared" si="43"/>
        <v>7.2</v>
      </c>
      <c r="N911" s="39">
        <f t="shared" si="44"/>
        <v>3.6191231999999998</v>
      </c>
      <c r="O911" s="26"/>
      <c r="P911" s="31" t="s">
        <v>30</v>
      </c>
    </row>
    <row r="912" spans="1:16" x14ac:dyDescent="0.25">
      <c r="A912" s="26">
        <v>911</v>
      </c>
      <c r="B912" s="26" t="s">
        <v>1842</v>
      </c>
      <c r="C912" s="26" t="s">
        <v>1843</v>
      </c>
      <c r="D912" s="28" t="s">
        <v>1844</v>
      </c>
      <c r="E912" s="26" t="s">
        <v>18</v>
      </c>
      <c r="F912" s="26"/>
      <c r="G912" s="29">
        <v>13.1</v>
      </c>
      <c r="H912" s="26">
        <v>76</v>
      </c>
      <c r="I912" s="26">
        <v>72</v>
      </c>
      <c r="J912" s="33">
        <f t="shared" si="42"/>
        <v>74</v>
      </c>
      <c r="K912" s="32"/>
      <c r="L912" s="42"/>
      <c r="M912" s="38">
        <f t="shared" si="43"/>
        <v>13.1</v>
      </c>
      <c r="N912" s="39">
        <f t="shared" si="44"/>
        <v>5.6341140239999996</v>
      </c>
      <c r="O912" s="26"/>
      <c r="P912" s="31" t="s">
        <v>19</v>
      </c>
    </row>
    <row r="913" spans="1:16" x14ac:dyDescent="0.25">
      <c r="A913" s="26">
        <v>912</v>
      </c>
      <c r="B913" s="26" t="s">
        <v>1845</v>
      </c>
      <c r="C913" s="26" t="s">
        <v>1846</v>
      </c>
      <c r="D913" s="28">
        <v>5126</v>
      </c>
      <c r="E913" s="26" t="s">
        <v>18</v>
      </c>
      <c r="F913" s="26"/>
      <c r="G913" s="29">
        <v>5.7</v>
      </c>
      <c r="H913" s="26">
        <v>71</v>
      </c>
      <c r="I913" s="26">
        <v>68</v>
      </c>
      <c r="J913" s="33">
        <f t="shared" si="42"/>
        <v>69</v>
      </c>
      <c r="K913" s="32"/>
      <c r="L913" s="42"/>
      <c r="M913" s="38">
        <f t="shared" si="43"/>
        <v>5.7</v>
      </c>
      <c r="N913" s="39">
        <f t="shared" si="44"/>
        <v>2.131394958</v>
      </c>
      <c r="O913" s="26"/>
      <c r="P913" s="31" t="s">
        <v>19</v>
      </c>
    </row>
    <row r="914" spans="1:16" x14ac:dyDescent="0.25">
      <c r="A914" s="26">
        <v>913</v>
      </c>
      <c r="B914" s="26" t="s">
        <v>1847</v>
      </c>
      <c r="C914" s="26" t="s">
        <v>1848</v>
      </c>
      <c r="D914" s="28" t="s">
        <v>1849</v>
      </c>
      <c r="E914" s="26" t="s">
        <v>18</v>
      </c>
      <c r="F914" s="26"/>
      <c r="G914" s="29">
        <v>12.5</v>
      </c>
      <c r="H914" s="26">
        <v>99</v>
      </c>
      <c r="I914" s="26">
        <v>89</v>
      </c>
      <c r="J914" s="33">
        <f t="shared" si="42"/>
        <v>94</v>
      </c>
      <c r="K914" s="32"/>
      <c r="L914" s="42"/>
      <c r="M914" s="38">
        <f t="shared" si="43"/>
        <v>12.5</v>
      </c>
      <c r="N914" s="39">
        <f t="shared" si="44"/>
        <v>8.6747429999999994</v>
      </c>
      <c r="O914" s="26"/>
      <c r="P914" s="31" t="s">
        <v>30</v>
      </c>
    </row>
    <row r="915" spans="1:16" x14ac:dyDescent="0.25">
      <c r="A915" s="26">
        <v>914</v>
      </c>
      <c r="B915" s="26" t="s">
        <v>1850</v>
      </c>
      <c r="C915" s="26" t="s">
        <v>1851</v>
      </c>
      <c r="D915" s="28">
        <v>1545</v>
      </c>
      <c r="E915" s="26" t="s">
        <v>18</v>
      </c>
      <c r="F915" s="26"/>
      <c r="G915" s="29">
        <v>11.2</v>
      </c>
      <c r="H915" s="26">
        <v>97</v>
      </c>
      <c r="I915" s="26">
        <v>80</v>
      </c>
      <c r="J915" s="33">
        <f t="shared" si="42"/>
        <v>88</v>
      </c>
      <c r="K915" s="32">
        <v>0.3</v>
      </c>
      <c r="L915" s="42"/>
      <c r="M915" s="38">
        <f t="shared" si="43"/>
        <v>10.899999999999999</v>
      </c>
      <c r="N915" s="39">
        <f t="shared" si="44"/>
        <v>6.6295299839999995</v>
      </c>
      <c r="O915" s="26" t="s">
        <v>21</v>
      </c>
      <c r="P915" s="31" t="s">
        <v>19</v>
      </c>
    </row>
    <row r="916" spans="1:16" x14ac:dyDescent="0.25">
      <c r="A916" s="26">
        <v>915</v>
      </c>
      <c r="B916" s="26" t="s">
        <v>1852</v>
      </c>
      <c r="C916" s="26" t="s">
        <v>1853</v>
      </c>
      <c r="D916" s="28" t="s">
        <v>1854</v>
      </c>
      <c r="E916" s="26" t="s">
        <v>18</v>
      </c>
      <c r="F916" s="26"/>
      <c r="G916" s="29">
        <v>6</v>
      </c>
      <c r="H916" s="26">
        <v>81</v>
      </c>
      <c r="I916" s="26">
        <v>79</v>
      </c>
      <c r="J916" s="33">
        <f t="shared" si="42"/>
        <v>80</v>
      </c>
      <c r="K916" s="32"/>
      <c r="L916" s="42"/>
      <c r="M916" s="38">
        <f t="shared" si="43"/>
        <v>6</v>
      </c>
      <c r="N916" s="39">
        <f t="shared" si="44"/>
        <v>3.015936</v>
      </c>
      <c r="O916" s="26"/>
      <c r="P916" s="31" t="s">
        <v>19</v>
      </c>
    </row>
    <row r="917" spans="1:16" x14ac:dyDescent="0.25">
      <c r="A917" s="26">
        <v>916</v>
      </c>
      <c r="B917" s="26" t="s">
        <v>1855</v>
      </c>
      <c r="C917" s="26" t="s">
        <v>1856</v>
      </c>
      <c r="D917" s="28" t="s">
        <v>1857</v>
      </c>
      <c r="E917" s="26" t="s">
        <v>18</v>
      </c>
      <c r="F917" s="26"/>
      <c r="G917" s="29">
        <v>13.9</v>
      </c>
      <c r="H917" s="26">
        <v>122</v>
      </c>
      <c r="I917" s="26">
        <v>110</v>
      </c>
      <c r="J917" s="33">
        <f t="shared" si="42"/>
        <v>116</v>
      </c>
      <c r="K917" s="32"/>
      <c r="L917" s="42"/>
      <c r="M917" s="38">
        <f t="shared" si="43"/>
        <v>13.9</v>
      </c>
      <c r="N917" s="39">
        <f t="shared" si="44"/>
        <v>14.689995935999997</v>
      </c>
      <c r="O917" s="26"/>
      <c r="P917" s="31" t="s">
        <v>19</v>
      </c>
    </row>
    <row r="918" spans="1:16" x14ac:dyDescent="0.25">
      <c r="A918" s="26">
        <v>917</v>
      </c>
      <c r="B918" s="26" t="s">
        <v>1858</v>
      </c>
      <c r="C918" s="26" t="s">
        <v>1859</v>
      </c>
      <c r="D918" s="28" t="s">
        <v>1860</v>
      </c>
      <c r="E918" s="26" t="s">
        <v>18</v>
      </c>
      <c r="F918" s="26"/>
      <c r="G918" s="29">
        <v>7.7</v>
      </c>
      <c r="H918" s="26">
        <v>110</v>
      </c>
      <c r="I918" s="26">
        <v>107</v>
      </c>
      <c r="J918" s="33">
        <f t="shared" si="42"/>
        <v>108</v>
      </c>
      <c r="K918" s="32"/>
      <c r="L918" s="42"/>
      <c r="M918" s="38">
        <f t="shared" si="43"/>
        <v>7.7</v>
      </c>
      <c r="N918" s="39">
        <f t="shared" si="44"/>
        <v>7.0538973119999993</v>
      </c>
      <c r="O918" s="26"/>
      <c r="P918" s="31" t="s">
        <v>19</v>
      </c>
    </row>
    <row r="919" spans="1:16" x14ac:dyDescent="0.25">
      <c r="A919" s="26">
        <v>918</v>
      </c>
      <c r="B919" s="26" t="s">
        <v>1861</v>
      </c>
      <c r="C919" s="26" t="s">
        <v>1862</v>
      </c>
      <c r="D919" s="28" t="s">
        <v>1863</v>
      </c>
      <c r="E919" s="26" t="s">
        <v>18</v>
      </c>
      <c r="F919" s="26"/>
      <c r="G919" s="29">
        <v>11.6</v>
      </c>
      <c r="H919" s="26">
        <v>91</v>
      </c>
      <c r="I919" s="26">
        <v>76</v>
      </c>
      <c r="J919" s="33">
        <f t="shared" si="42"/>
        <v>83</v>
      </c>
      <c r="K919" s="32"/>
      <c r="L919" s="42"/>
      <c r="M919" s="38">
        <f t="shared" si="43"/>
        <v>11.6</v>
      </c>
      <c r="N919" s="39">
        <f t="shared" si="44"/>
        <v>6.2763198959999995</v>
      </c>
      <c r="O919" s="26"/>
      <c r="P919" s="31" t="s">
        <v>19</v>
      </c>
    </row>
    <row r="920" spans="1:16" x14ac:dyDescent="0.25">
      <c r="A920" s="26">
        <v>919</v>
      </c>
      <c r="B920" s="26" t="s">
        <v>1864</v>
      </c>
      <c r="C920" s="26" t="s">
        <v>1865</v>
      </c>
      <c r="D920" s="28" t="s">
        <v>1866</v>
      </c>
      <c r="E920" s="26" t="s">
        <v>18</v>
      </c>
      <c r="F920" s="26"/>
      <c r="G920" s="29">
        <v>10.9</v>
      </c>
      <c r="H920" s="26">
        <v>79</v>
      </c>
      <c r="I920" s="26">
        <v>69</v>
      </c>
      <c r="J920" s="33">
        <f t="shared" si="42"/>
        <v>74</v>
      </c>
      <c r="K920" s="32"/>
      <c r="L920" s="42"/>
      <c r="M920" s="38">
        <f t="shared" si="43"/>
        <v>10.9</v>
      </c>
      <c r="N920" s="39">
        <f t="shared" si="44"/>
        <v>4.6879269360000002</v>
      </c>
      <c r="O920" s="26"/>
      <c r="P920" s="31" t="s">
        <v>19</v>
      </c>
    </row>
    <row r="921" spans="1:16" x14ac:dyDescent="0.25">
      <c r="A921" s="26">
        <v>920</v>
      </c>
      <c r="B921" s="26" t="s">
        <v>1867</v>
      </c>
      <c r="C921" s="26" t="s">
        <v>1868</v>
      </c>
      <c r="D921" s="28" t="s">
        <v>1869</v>
      </c>
      <c r="E921" s="26" t="s">
        <v>18</v>
      </c>
      <c r="F921" s="26"/>
      <c r="G921" s="29">
        <v>11.3</v>
      </c>
      <c r="H921" s="26">
        <v>103</v>
      </c>
      <c r="I921" s="26">
        <v>87</v>
      </c>
      <c r="J921" s="33">
        <f t="shared" si="42"/>
        <v>95</v>
      </c>
      <c r="K921" s="32">
        <v>0.3</v>
      </c>
      <c r="L921" s="42"/>
      <c r="M921" s="38">
        <f t="shared" si="43"/>
        <v>11</v>
      </c>
      <c r="N921" s="39">
        <f t="shared" si="44"/>
        <v>7.7970584999999994</v>
      </c>
      <c r="O921" s="26" t="s">
        <v>21</v>
      </c>
      <c r="P921" s="31" t="s">
        <v>19</v>
      </c>
    </row>
    <row r="922" spans="1:16" x14ac:dyDescent="0.25">
      <c r="A922" s="26">
        <v>921</v>
      </c>
      <c r="B922" s="26" t="s">
        <v>1870</v>
      </c>
      <c r="C922" s="26" t="s">
        <v>1871</v>
      </c>
      <c r="D922" s="28">
        <v>1548</v>
      </c>
      <c r="E922" s="26" t="s">
        <v>18</v>
      </c>
      <c r="F922" s="26"/>
      <c r="G922" s="29">
        <v>8.3000000000000007</v>
      </c>
      <c r="H922" s="26">
        <v>87</v>
      </c>
      <c r="I922" s="26">
        <v>75</v>
      </c>
      <c r="J922" s="33">
        <f t="shared" si="42"/>
        <v>81</v>
      </c>
      <c r="K922" s="32">
        <v>0.3</v>
      </c>
      <c r="L922" s="42"/>
      <c r="M922" s="38">
        <f t="shared" si="43"/>
        <v>8</v>
      </c>
      <c r="N922" s="39">
        <f t="shared" si="44"/>
        <v>4.1224075200000003</v>
      </c>
      <c r="O922" s="26" t="s">
        <v>21</v>
      </c>
      <c r="P922" s="31" t="s">
        <v>19</v>
      </c>
    </row>
    <row r="923" spans="1:16" x14ac:dyDescent="0.25">
      <c r="A923" s="26">
        <v>922</v>
      </c>
      <c r="B923" s="26" t="s">
        <v>1872</v>
      </c>
      <c r="C923" s="26" t="s">
        <v>1873</v>
      </c>
      <c r="D923" s="28" t="s">
        <v>1874</v>
      </c>
      <c r="E923" s="26" t="s">
        <v>18</v>
      </c>
      <c r="F923" s="26"/>
      <c r="G923" s="29">
        <v>11.4</v>
      </c>
      <c r="H923" s="26">
        <v>113</v>
      </c>
      <c r="I923" s="26">
        <v>111</v>
      </c>
      <c r="J923" s="33">
        <f t="shared" si="42"/>
        <v>112</v>
      </c>
      <c r="K923" s="32">
        <v>1.5</v>
      </c>
      <c r="L923" s="42"/>
      <c r="M923" s="38">
        <f t="shared" si="43"/>
        <v>9.9</v>
      </c>
      <c r="N923" s="39">
        <f t="shared" si="44"/>
        <v>9.7535370239999999</v>
      </c>
      <c r="O923" s="26" t="s">
        <v>53</v>
      </c>
      <c r="P923" s="31" t="s">
        <v>30</v>
      </c>
    </row>
    <row r="924" spans="1:16" x14ac:dyDescent="0.25">
      <c r="A924" s="26">
        <v>923</v>
      </c>
      <c r="B924" s="26" t="s">
        <v>1875</v>
      </c>
      <c r="C924" s="26" t="s">
        <v>1876</v>
      </c>
      <c r="D924" s="28">
        <v>5131</v>
      </c>
      <c r="E924" s="26" t="s">
        <v>18</v>
      </c>
      <c r="F924" s="26"/>
      <c r="G924" s="29">
        <v>11.2</v>
      </c>
      <c r="H924" s="26">
        <v>117</v>
      </c>
      <c r="I924" s="26">
        <v>98</v>
      </c>
      <c r="J924" s="33">
        <f t="shared" si="42"/>
        <v>107</v>
      </c>
      <c r="K924" s="32">
        <v>1.5</v>
      </c>
      <c r="L924" s="42"/>
      <c r="M924" s="38">
        <f t="shared" si="43"/>
        <v>9.6999999999999993</v>
      </c>
      <c r="N924" s="39">
        <f t="shared" si="44"/>
        <v>8.7222832619999995</v>
      </c>
      <c r="O924" s="26" t="s">
        <v>53</v>
      </c>
      <c r="P924" s="31" t="s">
        <v>19</v>
      </c>
    </row>
    <row r="925" spans="1:16" x14ac:dyDescent="0.25">
      <c r="A925" s="26">
        <v>924</v>
      </c>
      <c r="B925" s="26" t="s">
        <v>1877</v>
      </c>
      <c r="C925" s="26" t="s">
        <v>1878</v>
      </c>
      <c r="D925" s="28" t="s">
        <v>1879</v>
      </c>
      <c r="E925" s="26" t="s">
        <v>18</v>
      </c>
      <c r="F925" s="26"/>
      <c r="G925" s="29">
        <v>11.3</v>
      </c>
      <c r="H925" s="26">
        <v>89</v>
      </c>
      <c r="I925" s="26">
        <v>83</v>
      </c>
      <c r="J925" s="33">
        <f t="shared" si="42"/>
        <v>86</v>
      </c>
      <c r="K925" s="32"/>
      <c r="L925" s="42"/>
      <c r="M925" s="38">
        <f t="shared" si="43"/>
        <v>11.3</v>
      </c>
      <c r="N925" s="39">
        <f t="shared" si="44"/>
        <v>6.5639647920000002</v>
      </c>
      <c r="O925" s="26"/>
      <c r="P925" s="31" t="s">
        <v>19</v>
      </c>
    </row>
    <row r="926" spans="1:16" x14ac:dyDescent="0.25">
      <c r="A926" s="26">
        <v>925</v>
      </c>
      <c r="B926" s="26" t="s">
        <v>1880</v>
      </c>
      <c r="C926" s="26" t="s">
        <v>1881</v>
      </c>
      <c r="D926" s="28" t="s">
        <v>1882</v>
      </c>
      <c r="E926" s="26" t="s">
        <v>18</v>
      </c>
      <c r="F926" s="26"/>
      <c r="G926" s="29">
        <v>10.4</v>
      </c>
      <c r="H926" s="26">
        <v>101</v>
      </c>
      <c r="I926" s="26">
        <v>84</v>
      </c>
      <c r="J926" s="33">
        <f t="shared" si="42"/>
        <v>92</v>
      </c>
      <c r="K926" s="32"/>
      <c r="L926" s="42"/>
      <c r="M926" s="38">
        <f t="shared" si="43"/>
        <v>10.4</v>
      </c>
      <c r="N926" s="39">
        <f t="shared" si="44"/>
        <v>6.9135306240000007</v>
      </c>
      <c r="O926" s="26"/>
      <c r="P926" s="31" t="s">
        <v>30</v>
      </c>
    </row>
    <row r="927" spans="1:16" x14ac:dyDescent="0.25">
      <c r="A927" s="26">
        <v>926</v>
      </c>
      <c r="B927" s="26" t="s">
        <v>1883</v>
      </c>
      <c r="C927" s="26" t="s">
        <v>1884</v>
      </c>
      <c r="D927" s="28" t="s">
        <v>1885</v>
      </c>
      <c r="E927" s="26" t="s">
        <v>18</v>
      </c>
      <c r="F927" s="26"/>
      <c r="G927" s="29">
        <v>12</v>
      </c>
      <c r="H927" s="26">
        <v>104</v>
      </c>
      <c r="I927" s="26">
        <v>84</v>
      </c>
      <c r="J927" s="33">
        <f t="shared" ref="J927:J990" si="45">ROUNDDOWN((H927+I927)/2,0)</f>
        <v>94</v>
      </c>
      <c r="K927" s="32"/>
      <c r="L927" s="42"/>
      <c r="M927" s="38">
        <f t="shared" si="43"/>
        <v>12</v>
      </c>
      <c r="N927" s="39">
        <f t="shared" si="44"/>
        <v>8.3277532799999996</v>
      </c>
      <c r="O927" s="26"/>
      <c r="P927" s="31" t="s">
        <v>19</v>
      </c>
    </row>
    <row r="928" spans="1:16" x14ac:dyDescent="0.25">
      <c r="A928" s="26">
        <v>927</v>
      </c>
      <c r="B928" s="26" t="s">
        <v>1886</v>
      </c>
      <c r="C928" s="26" t="s">
        <v>1887</v>
      </c>
      <c r="D928" s="28">
        <v>5133</v>
      </c>
      <c r="E928" s="26" t="s">
        <v>18</v>
      </c>
      <c r="F928" s="26"/>
      <c r="G928" s="29">
        <v>6.2</v>
      </c>
      <c r="H928" s="26">
        <v>87</v>
      </c>
      <c r="I928" s="26">
        <v>82</v>
      </c>
      <c r="J928" s="33">
        <f t="shared" si="45"/>
        <v>84</v>
      </c>
      <c r="K928" s="32"/>
      <c r="L928" s="42"/>
      <c r="M928" s="38">
        <f t="shared" si="43"/>
        <v>6.2</v>
      </c>
      <c r="N928" s="39">
        <f t="shared" si="44"/>
        <v>3.4359050880000002</v>
      </c>
      <c r="O928" s="26"/>
      <c r="P928" s="31" t="s">
        <v>19</v>
      </c>
    </row>
    <row r="929" spans="1:16" x14ac:dyDescent="0.25">
      <c r="A929" s="26">
        <v>928</v>
      </c>
      <c r="B929" s="26" t="s">
        <v>1888</v>
      </c>
      <c r="C929" s="26" t="s">
        <v>1889</v>
      </c>
      <c r="D929" s="28" t="s">
        <v>1890</v>
      </c>
      <c r="E929" s="26" t="s">
        <v>18</v>
      </c>
      <c r="F929" s="26"/>
      <c r="G929" s="29">
        <v>13.8</v>
      </c>
      <c r="H929" s="26">
        <v>91</v>
      </c>
      <c r="I929" s="26">
        <v>75</v>
      </c>
      <c r="J929" s="33">
        <f t="shared" si="45"/>
        <v>83</v>
      </c>
      <c r="K929" s="32">
        <v>0.5</v>
      </c>
      <c r="L929" s="42"/>
      <c r="M929" s="38">
        <f t="shared" si="43"/>
        <v>13.3</v>
      </c>
      <c r="N929" s="39">
        <f t="shared" si="44"/>
        <v>7.1961253980000013</v>
      </c>
      <c r="O929" s="26" t="s">
        <v>35</v>
      </c>
      <c r="P929" s="31" t="s">
        <v>30</v>
      </c>
    </row>
    <row r="930" spans="1:16" x14ac:dyDescent="0.25">
      <c r="A930" s="26">
        <v>929</v>
      </c>
      <c r="B930" s="26" t="s">
        <v>1891</v>
      </c>
      <c r="C930" s="26" t="s">
        <v>1892</v>
      </c>
      <c r="D930" s="28" t="s">
        <v>1893</v>
      </c>
      <c r="E930" s="26" t="s">
        <v>18</v>
      </c>
      <c r="F930" s="26"/>
      <c r="G930" s="29">
        <v>10.1</v>
      </c>
      <c r="H930" s="26">
        <v>84</v>
      </c>
      <c r="I930" s="26">
        <v>79</v>
      </c>
      <c r="J930" s="33">
        <f t="shared" si="45"/>
        <v>81</v>
      </c>
      <c r="K930" s="32"/>
      <c r="L930" s="42"/>
      <c r="M930" s="38">
        <f t="shared" si="43"/>
        <v>10.1</v>
      </c>
      <c r="N930" s="39">
        <f t="shared" si="44"/>
        <v>5.2045394939999987</v>
      </c>
      <c r="O930" s="26"/>
      <c r="P930" s="31" t="s">
        <v>19</v>
      </c>
    </row>
    <row r="931" spans="1:16" x14ac:dyDescent="0.25">
      <c r="A931" s="26">
        <v>930</v>
      </c>
      <c r="B931" s="26" t="s">
        <v>1894</v>
      </c>
      <c r="C931" s="26" t="s">
        <v>1895</v>
      </c>
      <c r="D931" s="28" t="s">
        <v>1896</v>
      </c>
      <c r="E931" s="26" t="s">
        <v>18</v>
      </c>
      <c r="F931" s="26"/>
      <c r="G931" s="29">
        <v>6.5</v>
      </c>
      <c r="H931" s="26">
        <v>80</v>
      </c>
      <c r="I931" s="26">
        <v>75</v>
      </c>
      <c r="J931" s="33">
        <f t="shared" si="45"/>
        <v>77</v>
      </c>
      <c r="K931" s="32"/>
      <c r="L931" s="42"/>
      <c r="M931" s="38">
        <f t="shared" si="43"/>
        <v>6.5</v>
      </c>
      <c r="N931" s="39">
        <f t="shared" si="44"/>
        <v>3.0268137899999998</v>
      </c>
      <c r="O931" s="26"/>
      <c r="P931" s="31" t="s">
        <v>19</v>
      </c>
    </row>
    <row r="932" spans="1:16" x14ac:dyDescent="0.25">
      <c r="A932" s="26">
        <v>931</v>
      </c>
      <c r="B932" s="26" t="s">
        <v>1897</v>
      </c>
      <c r="C932" s="26" t="s">
        <v>1898</v>
      </c>
      <c r="D932" s="28" t="s">
        <v>1899</v>
      </c>
      <c r="E932" s="26" t="s">
        <v>18</v>
      </c>
      <c r="F932" s="26"/>
      <c r="G932" s="29">
        <v>12</v>
      </c>
      <c r="H932" s="26">
        <v>95</v>
      </c>
      <c r="I932" s="26">
        <v>83</v>
      </c>
      <c r="J932" s="33">
        <f t="shared" si="45"/>
        <v>89</v>
      </c>
      <c r="K932" s="32"/>
      <c r="L932" s="42"/>
      <c r="M932" s="38">
        <f t="shared" si="43"/>
        <v>12</v>
      </c>
      <c r="N932" s="39">
        <f t="shared" si="44"/>
        <v>7.4653840800000006</v>
      </c>
      <c r="O932" s="26"/>
      <c r="P932" s="31" t="s">
        <v>19</v>
      </c>
    </row>
    <row r="933" spans="1:16" x14ac:dyDescent="0.25">
      <c r="A933" s="26">
        <v>932</v>
      </c>
      <c r="B933" s="26" t="s">
        <v>1900</v>
      </c>
      <c r="C933" s="26" t="s">
        <v>1901</v>
      </c>
      <c r="D933" s="28" t="s">
        <v>1902</v>
      </c>
      <c r="E933" s="26" t="s">
        <v>18</v>
      </c>
      <c r="F933" s="26"/>
      <c r="G933" s="29">
        <v>7.4</v>
      </c>
      <c r="H933" s="26">
        <v>84</v>
      </c>
      <c r="I933" s="26">
        <v>74</v>
      </c>
      <c r="J933" s="33">
        <f t="shared" si="45"/>
        <v>79</v>
      </c>
      <c r="K933" s="32">
        <v>0.3</v>
      </c>
      <c r="L933" s="42"/>
      <c r="M933" s="38">
        <f t="shared" si="43"/>
        <v>7.1000000000000005</v>
      </c>
      <c r="N933" s="39">
        <f t="shared" si="44"/>
        <v>3.4801937940000003</v>
      </c>
      <c r="O933" s="26" t="s">
        <v>1007</v>
      </c>
      <c r="P933" s="31" t="s">
        <v>19</v>
      </c>
    </row>
    <row r="934" spans="1:16" x14ac:dyDescent="0.25">
      <c r="A934" s="26">
        <v>933</v>
      </c>
      <c r="B934" s="26" t="s">
        <v>1903</v>
      </c>
      <c r="C934" s="26" t="s">
        <v>1904</v>
      </c>
      <c r="D934" s="28" t="s">
        <v>1905</v>
      </c>
      <c r="E934" s="26" t="s">
        <v>18</v>
      </c>
      <c r="F934" s="26"/>
      <c r="G934" s="29">
        <v>9.4</v>
      </c>
      <c r="H934" s="26">
        <v>100</v>
      </c>
      <c r="I934" s="26">
        <v>90</v>
      </c>
      <c r="J934" s="33">
        <f t="shared" si="45"/>
        <v>95</v>
      </c>
      <c r="K934" s="32"/>
      <c r="L934" s="42"/>
      <c r="M934" s="38">
        <f t="shared" si="43"/>
        <v>9.4</v>
      </c>
      <c r="N934" s="39">
        <f t="shared" si="44"/>
        <v>6.6629408999999997</v>
      </c>
      <c r="O934" s="26"/>
      <c r="P934" s="31" t="s">
        <v>19</v>
      </c>
    </row>
    <row r="935" spans="1:16" x14ac:dyDescent="0.25">
      <c r="A935" s="26">
        <v>934</v>
      </c>
      <c r="B935" s="26" t="s">
        <v>1906</v>
      </c>
      <c r="C935" s="26" t="s">
        <v>1907</v>
      </c>
      <c r="D935" s="28" t="s">
        <v>1908</v>
      </c>
      <c r="E935" s="26" t="s">
        <v>18</v>
      </c>
      <c r="F935" s="26"/>
      <c r="G935" s="29">
        <v>6</v>
      </c>
      <c r="H935" s="26">
        <v>91</v>
      </c>
      <c r="I935" s="26">
        <v>89</v>
      </c>
      <c r="J935" s="33">
        <f t="shared" si="45"/>
        <v>90</v>
      </c>
      <c r="K935" s="32">
        <v>0.3</v>
      </c>
      <c r="L935" s="42"/>
      <c r="M935" s="38">
        <f t="shared" si="43"/>
        <v>5.7</v>
      </c>
      <c r="N935" s="39">
        <f t="shared" si="44"/>
        <v>3.6261918</v>
      </c>
      <c r="O935" s="26" t="s">
        <v>21</v>
      </c>
      <c r="P935" s="31" t="s">
        <v>19</v>
      </c>
    </row>
    <row r="936" spans="1:16" x14ac:dyDescent="0.25">
      <c r="A936" s="26">
        <v>935</v>
      </c>
      <c r="B936" s="26" t="s">
        <v>1909</v>
      </c>
      <c r="C936" s="26" t="s">
        <v>1910</v>
      </c>
      <c r="D936" s="28" t="s">
        <v>1911</v>
      </c>
      <c r="E936" s="26" t="s">
        <v>18</v>
      </c>
      <c r="F936" s="26"/>
      <c r="G936" s="29">
        <v>10</v>
      </c>
      <c r="H936" s="26">
        <v>101</v>
      </c>
      <c r="I936" s="26">
        <v>90</v>
      </c>
      <c r="J936" s="33">
        <f t="shared" si="45"/>
        <v>95</v>
      </c>
      <c r="K936" s="32">
        <v>0.8</v>
      </c>
      <c r="L936" s="42"/>
      <c r="M936" s="38">
        <f t="shared" si="43"/>
        <v>9.1999999999999993</v>
      </c>
      <c r="N936" s="39">
        <f t="shared" si="44"/>
        <v>6.5211762000000002</v>
      </c>
      <c r="O936" s="26" t="s">
        <v>35</v>
      </c>
      <c r="P936" s="31" t="s">
        <v>19</v>
      </c>
    </row>
    <row r="937" spans="1:16" x14ac:dyDescent="0.25">
      <c r="A937" s="26">
        <v>936</v>
      </c>
      <c r="B937" s="26" t="s">
        <v>1912</v>
      </c>
      <c r="C937" s="26" t="s">
        <v>1913</v>
      </c>
      <c r="D937" s="28">
        <v>743</v>
      </c>
      <c r="E937" s="26" t="s">
        <v>18</v>
      </c>
      <c r="F937" s="26"/>
      <c r="G937" s="29">
        <v>5.6</v>
      </c>
      <c r="H937" s="26">
        <v>108</v>
      </c>
      <c r="I937" s="26">
        <v>106</v>
      </c>
      <c r="J937" s="33">
        <f t="shared" si="45"/>
        <v>107</v>
      </c>
      <c r="K937" s="32">
        <v>0.3</v>
      </c>
      <c r="L937" s="32"/>
      <c r="M937" s="38">
        <f t="shared" si="43"/>
        <v>5.3</v>
      </c>
      <c r="N937" s="39">
        <f t="shared" si="44"/>
        <v>4.7657836379999994</v>
      </c>
      <c r="O937" s="26" t="s">
        <v>21</v>
      </c>
      <c r="P937" s="31" t="s">
        <v>19</v>
      </c>
    </row>
    <row r="938" spans="1:16" x14ac:dyDescent="0.25">
      <c r="A938" s="26">
        <v>937</v>
      </c>
      <c r="B938" s="26" t="s">
        <v>1914</v>
      </c>
      <c r="C938" s="26" t="s">
        <v>1915</v>
      </c>
      <c r="D938" s="28" t="s">
        <v>1916</v>
      </c>
      <c r="E938" s="26" t="s">
        <v>18</v>
      </c>
      <c r="F938" s="26"/>
      <c r="G938" s="29">
        <v>12.4</v>
      </c>
      <c r="H938" s="26">
        <v>82</v>
      </c>
      <c r="I938" s="26">
        <v>73</v>
      </c>
      <c r="J938" s="33">
        <f t="shared" si="45"/>
        <v>77</v>
      </c>
      <c r="K938" s="32"/>
      <c r="L938" s="32"/>
      <c r="M938" s="38">
        <f t="shared" si="43"/>
        <v>12.4</v>
      </c>
      <c r="N938" s="39">
        <f t="shared" si="44"/>
        <v>5.7742293840000007</v>
      </c>
      <c r="O938" s="26"/>
      <c r="P938" s="31" t="s">
        <v>30</v>
      </c>
    </row>
    <row r="939" spans="1:16" x14ac:dyDescent="0.25">
      <c r="A939" s="26">
        <v>938</v>
      </c>
      <c r="B939" s="26" t="s">
        <v>1917</v>
      </c>
      <c r="C939" s="26" t="s">
        <v>1918</v>
      </c>
      <c r="D939" s="28" t="s">
        <v>1919</v>
      </c>
      <c r="E939" s="26" t="s">
        <v>18</v>
      </c>
      <c r="F939" s="26"/>
      <c r="G939" s="29">
        <v>11.9</v>
      </c>
      <c r="H939" s="26">
        <v>87</v>
      </c>
      <c r="I939" s="26">
        <v>64</v>
      </c>
      <c r="J939" s="33">
        <f t="shared" si="45"/>
        <v>75</v>
      </c>
      <c r="K939" s="32"/>
      <c r="L939" s="32">
        <v>20</v>
      </c>
      <c r="M939" s="38">
        <f t="shared" si="43"/>
        <v>11.9</v>
      </c>
      <c r="N939" s="39">
        <f t="shared" si="44"/>
        <v>5.2572712500000005</v>
      </c>
      <c r="O939" s="26" t="s">
        <v>157</v>
      </c>
      <c r="P939" s="31" t="s">
        <v>19</v>
      </c>
    </row>
    <row r="940" spans="1:16" x14ac:dyDescent="0.25">
      <c r="A940" s="26">
        <v>939</v>
      </c>
      <c r="B940" s="26" t="s">
        <v>1920</v>
      </c>
      <c r="C940" s="26" t="s">
        <v>1921</v>
      </c>
      <c r="D940" s="28" t="s">
        <v>1922</v>
      </c>
      <c r="E940" s="26" t="s">
        <v>18</v>
      </c>
      <c r="F940" s="26"/>
      <c r="G940" s="29">
        <v>11.8</v>
      </c>
      <c r="H940" s="26">
        <v>84</v>
      </c>
      <c r="I940" s="26">
        <v>66</v>
      </c>
      <c r="J940" s="33">
        <f t="shared" si="45"/>
        <v>75</v>
      </c>
      <c r="K940" s="32"/>
      <c r="L940" s="32"/>
      <c r="M940" s="38">
        <f t="shared" si="43"/>
        <v>11.8</v>
      </c>
      <c r="N940" s="39">
        <f t="shared" si="44"/>
        <v>5.2130924999999992</v>
      </c>
      <c r="O940" s="26"/>
      <c r="P940" s="31" t="s">
        <v>19</v>
      </c>
    </row>
    <row r="941" spans="1:16" x14ac:dyDescent="0.25">
      <c r="A941" s="26">
        <v>940</v>
      </c>
      <c r="B941" s="26" t="s">
        <v>1923</v>
      </c>
      <c r="C941" s="26" t="s">
        <v>1924</v>
      </c>
      <c r="D941" s="28" t="s">
        <v>1925</v>
      </c>
      <c r="E941" s="26" t="s">
        <v>18</v>
      </c>
      <c r="F941" s="26"/>
      <c r="G941" s="29">
        <v>6.7</v>
      </c>
      <c r="H941" s="26">
        <v>71</v>
      </c>
      <c r="I941" s="26">
        <v>67</v>
      </c>
      <c r="J941" s="33">
        <f t="shared" si="45"/>
        <v>69</v>
      </c>
      <c r="K941" s="32"/>
      <c r="L941" s="32"/>
      <c r="M941" s="38">
        <f t="shared" si="43"/>
        <v>6.7</v>
      </c>
      <c r="N941" s="39">
        <f t="shared" si="44"/>
        <v>2.5053238980000003</v>
      </c>
      <c r="O941" s="26"/>
      <c r="P941" s="31" t="s">
        <v>30</v>
      </c>
    </row>
    <row r="942" spans="1:16" x14ac:dyDescent="0.25">
      <c r="A942" s="26">
        <v>941</v>
      </c>
      <c r="B942" s="26" t="s">
        <v>1926</v>
      </c>
      <c r="C942" s="26" t="s">
        <v>1927</v>
      </c>
      <c r="D942" s="28" t="s">
        <v>1928</v>
      </c>
      <c r="E942" s="26" t="s">
        <v>18</v>
      </c>
      <c r="F942" s="26"/>
      <c r="G942" s="29">
        <v>10.7</v>
      </c>
      <c r="H942" s="26">
        <v>105</v>
      </c>
      <c r="I942" s="26">
        <v>87</v>
      </c>
      <c r="J942" s="33">
        <f t="shared" si="45"/>
        <v>96</v>
      </c>
      <c r="K942" s="32">
        <v>0.3</v>
      </c>
      <c r="L942" s="32"/>
      <c r="M942" s="38">
        <f t="shared" si="43"/>
        <v>10.399999999999999</v>
      </c>
      <c r="N942" s="39">
        <f t="shared" si="44"/>
        <v>7.5277762559999992</v>
      </c>
      <c r="O942" s="26" t="s">
        <v>21</v>
      </c>
      <c r="P942" s="31" t="s">
        <v>19</v>
      </c>
    </row>
    <row r="943" spans="1:16" x14ac:dyDescent="0.25">
      <c r="A943" s="26">
        <v>942</v>
      </c>
      <c r="B943" s="26" t="s">
        <v>1929</v>
      </c>
      <c r="C943" s="26" t="s">
        <v>1930</v>
      </c>
      <c r="D943" s="28" t="s">
        <v>1931</v>
      </c>
      <c r="E943" s="26" t="s">
        <v>18</v>
      </c>
      <c r="F943" s="26"/>
      <c r="G943" s="29">
        <v>11.5</v>
      </c>
      <c r="H943" s="26">
        <v>98</v>
      </c>
      <c r="I943" s="26">
        <v>90</v>
      </c>
      <c r="J943" s="33">
        <f t="shared" si="45"/>
        <v>94</v>
      </c>
      <c r="K943" s="32"/>
      <c r="L943" s="32"/>
      <c r="M943" s="38">
        <f t="shared" si="43"/>
        <v>11.5</v>
      </c>
      <c r="N943" s="39">
        <f t="shared" si="44"/>
        <v>7.9807635599999998</v>
      </c>
      <c r="O943" s="26"/>
      <c r="P943" s="31" t="s">
        <v>19</v>
      </c>
    </row>
    <row r="944" spans="1:16" x14ac:dyDescent="0.25">
      <c r="A944" s="26">
        <v>943</v>
      </c>
      <c r="B944" s="26" t="s">
        <v>1932</v>
      </c>
      <c r="C944" s="26" t="s">
        <v>1933</v>
      </c>
      <c r="D944" s="28" t="s">
        <v>269</v>
      </c>
      <c r="E944" s="26" t="s">
        <v>18</v>
      </c>
      <c r="F944" s="26"/>
      <c r="G944" s="29">
        <v>9.1</v>
      </c>
      <c r="H944" s="26">
        <v>91</v>
      </c>
      <c r="I944" s="26">
        <v>77</v>
      </c>
      <c r="J944" s="33">
        <f t="shared" si="45"/>
        <v>84</v>
      </c>
      <c r="K944" s="32"/>
      <c r="L944" s="32"/>
      <c r="M944" s="38">
        <f t="shared" si="43"/>
        <v>9.1</v>
      </c>
      <c r="N944" s="39">
        <f t="shared" si="44"/>
        <v>5.0430219840000001</v>
      </c>
      <c r="O944" s="26"/>
      <c r="P944" s="31" t="s">
        <v>30</v>
      </c>
    </row>
    <row r="945" spans="1:16" x14ac:dyDescent="0.25">
      <c r="A945" s="26">
        <v>944</v>
      </c>
      <c r="B945" s="26" t="s">
        <v>1934</v>
      </c>
      <c r="C945" s="26" t="s">
        <v>1935</v>
      </c>
      <c r="D945" s="28" t="s">
        <v>1936</v>
      </c>
      <c r="E945" s="26" t="s">
        <v>18</v>
      </c>
      <c r="F945" s="26"/>
      <c r="G945" s="29">
        <v>6.1</v>
      </c>
      <c r="H945" s="26">
        <v>82</v>
      </c>
      <c r="I945" s="26">
        <v>76</v>
      </c>
      <c r="J945" s="33">
        <f t="shared" si="45"/>
        <v>79</v>
      </c>
      <c r="K945" s="32"/>
      <c r="L945" s="32"/>
      <c r="M945" s="38">
        <f t="shared" si="43"/>
        <v>6.1</v>
      </c>
      <c r="N945" s="39">
        <f t="shared" si="44"/>
        <v>2.9900256539999996</v>
      </c>
      <c r="O945" s="26"/>
      <c r="P945" s="31" t="s">
        <v>19</v>
      </c>
    </row>
    <row r="946" spans="1:16" x14ac:dyDescent="0.25">
      <c r="A946" s="26">
        <v>945</v>
      </c>
      <c r="B946" s="26" t="s">
        <v>1937</v>
      </c>
      <c r="C946" s="26" t="s">
        <v>1938</v>
      </c>
      <c r="D946" s="28" t="s">
        <v>1939</v>
      </c>
      <c r="E946" s="26" t="s">
        <v>18</v>
      </c>
      <c r="F946" s="26"/>
      <c r="G946" s="29">
        <v>12.1</v>
      </c>
      <c r="H946" s="26">
        <v>74</v>
      </c>
      <c r="I946" s="26">
        <v>72</v>
      </c>
      <c r="J946" s="33">
        <f t="shared" si="45"/>
        <v>73</v>
      </c>
      <c r="K946" s="32"/>
      <c r="L946" s="32"/>
      <c r="M946" s="38">
        <f t="shared" si="43"/>
        <v>12.1</v>
      </c>
      <c r="N946" s="39">
        <f t="shared" si="44"/>
        <v>5.0643298860000003</v>
      </c>
      <c r="O946" s="26"/>
      <c r="P946" s="31" t="s">
        <v>19</v>
      </c>
    </row>
    <row r="947" spans="1:16" x14ac:dyDescent="0.25">
      <c r="A947" s="26">
        <v>946</v>
      </c>
      <c r="B947" s="26" t="s">
        <v>1940</v>
      </c>
      <c r="C947" s="26" t="s">
        <v>1941</v>
      </c>
      <c r="D947" s="28">
        <v>5138</v>
      </c>
      <c r="E947" s="26" t="s">
        <v>18</v>
      </c>
      <c r="F947" s="26"/>
      <c r="G947" s="29">
        <v>14.3</v>
      </c>
      <c r="H947" s="26">
        <v>99</v>
      </c>
      <c r="I947" s="26">
        <v>80</v>
      </c>
      <c r="J947" s="33">
        <f t="shared" si="45"/>
        <v>89</v>
      </c>
      <c r="K947" s="32"/>
      <c r="L947" s="32">
        <v>20</v>
      </c>
      <c r="M947" s="38">
        <f t="shared" si="43"/>
        <v>14.3</v>
      </c>
      <c r="N947" s="39">
        <f t="shared" si="44"/>
        <v>8.8962493619999989</v>
      </c>
      <c r="O947" s="26" t="s">
        <v>35</v>
      </c>
      <c r="P947" s="31" t="s">
        <v>19</v>
      </c>
    </row>
    <row r="948" spans="1:16" x14ac:dyDescent="0.25">
      <c r="A948" s="26">
        <v>947</v>
      </c>
      <c r="B948" s="26" t="s">
        <v>1942</v>
      </c>
      <c r="C948" s="26" t="s">
        <v>1943</v>
      </c>
      <c r="D948" s="28">
        <v>4898</v>
      </c>
      <c r="E948" s="26" t="s">
        <v>18</v>
      </c>
      <c r="F948" s="26"/>
      <c r="G948" s="29">
        <v>11.8</v>
      </c>
      <c r="H948" s="26">
        <v>87</v>
      </c>
      <c r="I948" s="26">
        <v>73</v>
      </c>
      <c r="J948" s="33">
        <f t="shared" si="45"/>
        <v>80</v>
      </c>
      <c r="K948" s="32"/>
      <c r="L948" s="32"/>
      <c r="M948" s="38">
        <f t="shared" si="43"/>
        <v>11.8</v>
      </c>
      <c r="N948" s="39">
        <f t="shared" si="44"/>
        <v>5.9313407999999992</v>
      </c>
      <c r="O948" s="26"/>
      <c r="P948" s="31" t="s">
        <v>19</v>
      </c>
    </row>
    <row r="949" spans="1:16" x14ac:dyDescent="0.25">
      <c r="A949" s="26">
        <v>948</v>
      </c>
      <c r="B949" s="26" t="s">
        <v>1944</v>
      </c>
      <c r="C949" s="26" t="s">
        <v>1945</v>
      </c>
      <c r="D949" s="28">
        <v>5139</v>
      </c>
      <c r="E949" s="26" t="s">
        <v>18</v>
      </c>
      <c r="F949" s="26"/>
      <c r="G949" s="29">
        <v>12</v>
      </c>
      <c r="H949" s="26">
        <v>86</v>
      </c>
      <c r="I949" s="26">
        <v>74</v>
      </c>
      <c r="J949" s="33">
        <f t="shared" si="45"/>
        <v>80</v>
      </c>
      <c r="K949" s="32"/>
      <c r="L949" s="32"/>
      <c r="M949" s="38">
        <f t="shared" si="43"/>
        <v>12</v>
      </c>
      <c r="N949" s="39">
        <f t="shared" si="44"/>
        <v>6.0318719999999999</v>
      </c>
      <c r="O949" s="26"/>
      <c r="P949" s="31" t="s">
        <v>19</v>
      </c>
    </row>
    <row r="950" spans="1:16" x14ac:dyDescent="0.25">
      <c r="A950" s="26">
        <v>949</v>
      </c>
      <c r="B950" s="26" t="s">
        <v>1946</v>
      </c>
      <c r="C950" s="26" t="s">
        <v>1947</v>
      </c>
      <c r="D950" s="28">
        <v>4899</v>
      </c>
      <c r="E950" s="26" t="s">
        <v>18</v>
      </c>
      <c r="F950" s="26"/>
      <c r="G950" s="29">
        <v>11.6</v>
      </c>
      <c r="H950" s="26">
        <v>101</v>
      </c>
      <c r="I950" s="26">
        <v>85</v>
      </c>
      <c r="J950" s="33">
        <f t="shared" si="45"/>
        <v>93</v>
      </c>
      <c r="K950" s="32">
        <v>0.5</v>
      </c>
      <c r="L950" s="32"/>
      <c r="M950" s="38">
        <f t="shared" si="43"/>
        <v>11.1</v>
      </c>
      <c r="N950" s="39">
        <f t="shared" si="44"/>
        <v>7.5401463059999996</v>
      </c>
      <c r="O950" s="26" t="s">
        <v>53</v>
      </c>
      <c r="P950" s="31" t="s">
        <v>19</v>
      </c>
    </row>
    <row r="951" spans="1:16" x14ac:dyDescent="0.25">
      <c r="A951" s="26">
        <v>950</v>
      </c>
      <c r="B951" s="26" t="s">
        <v>1948</v>
      </c>
      <c r="C951" s="26" t="s">
        <v>1949</v>
      </c>
      <c r="D951" s="28" t="s">
        <v>1950</v>
      </c>
      <c r="E951" s="26" t="s">
        <v>18</v>
      </c>
      <c r="F951" s="26"/>
      <c r="G951" s="29">
        <v>12.2</v>
      </c>
      <c r="H951" s="26">
        <v>104</v>
      </c>
      <c r="I951" s="26">
        <v>90</v>
      </c>
      <c r="J951" s="33">
        <f t="shared" si="45"/>
        <v>97</v>
      </c>
      <c r="K951" s="32"/>
      <c r="L951" s="32"/>
      <c r="M951" s="38">
        <f t="shared" si="43"/>
        <v>12.2</v>
      </c>
      <c r="N951" s="39">
        <f t="shared" si="44"/>
        <v>9.0155908919999987</v>
      </c>
      <c r="O951" s="26"/>
      <c r="P951" s="31" t="s">
        <v>19</v>
      </c>
    </row>
    <row r="952" spans="1:16" x14ac:dyDescent="0.25">
      <c r="A952" s="26">
        <v>951</v>
      </c>
      <c r="B952" s="26" t="s">
        <v>1951</v>
      </c>
      <c r="C952" s="26" t="s">
        <v>1952</v>
      </c>
      <c r="D952" s="28">
        <v>4900</v>
      </c>
      <c r="E952" s="26" t="s">
        <v>18</v>
      </c>
      <c r="F952" s="26"/>
      <c r="G952" s="29">
        <v>12.2</v>
      </c>
      <c r="H952" s="26">
        <v>97</v>
      </c>
      <c r="I952" s="26">
        <v>77</v>
      </c>
      <c r="J952" s="33">
        <f t="shared" si="45"/>
        <v>87</v>
      </c>
      <c r="K952" s="32"/>
      <c r="L952" s="32"/>
      <c r="M952" s="38">
        <f t="shared" si="43"/>
        <v>12.2</v>
      </c>
      <c r="N952" s="39">
        <f t="shared" si="44"/>
        <v>7.2525249719999989</v>
      </c>
      <c r="O952" s="26"/>
      <c r="P952" s="31" t="s">
        <v>19</v>
      </c>
    </row>
    <row r="953" spans="1:16" x14ac:dyDescent="0.25">
      <c r="A953" s="26">
        <v>952</v>
      </c>
      <c r="B953" s="26" t="s">
        <v>1953</v>
      </c>
      <c r="C953" s="26" t="s">
        <v>1954</v>
      </c>
      <c r="D953" s="28" t="s">
        <v>1955</v>
      </c>
      <c r="E953" s="26" t="s">
        <v>18</v>
      </c>
      <c r="F953" s="26"/>
      <c r="G953" s="29">
        <v>13</v>
      </c>
      <c r="H953" s="26">
        <v>99</v>
      </c>
      <c r="I953" s="26">
        <v>84</v>
      </c>
      <c r="J953" s="33">
        <f t="shared" si="45"/>
        <v>91</v>
      </c>
      <c r="K953" s="32"/>
      <c r="L953" s="32"/>
      <c r="M953" s="38">
        <f t="shared" si="43"/>
        <v>13</v>
      </c>
      <c r="N953" s="39">
        <f t="shared" si="44"/>
        <v>8.4550666199999984</v>
      </c>
      <c r="O953" s="26"/>
      <c r="P953" s="31" t="s">
        <v>30</v>
      </c>
    </row>
    <row r="954" spans="1:16" x14ac:dyDescent="0.25">
      <c r="A954" s="26">
        <v>953</v>
      </c>
      <c r="B954" s="26" t="s">
        <v>1956</v>
      </c>
      <c r="C954" s="26" t="s">
        <v>1957</v>
      </c>
      <c r="D954" s="28" t="s">
        <v>1958</v>
      </c>
      <c r="E954" s="26" t="s">
        <v>18</v>
      </c>
      <c r="F954" s="26"/>
      <c r="G954" s="29">
        <v>6.4</v>
      </c>
      <c r="H954" s="26">
        <v>97</v>
      </c>
      <c r="I954" s="26">
        <v>96</v>
      </c>
      <c r="J954" s="33">
        <f t="shared" si="45"/>
        <v>96</v>
      </c>
      <c r="K954" s="32">
        <v>0.5</v>
      </c>
      <c r="L954" s="32"/>
      <c r="M954" s="38">
        <f t="shared" si="43"/>
        <v>5.9</v>
      </c>
      <c r="N954" s="39">
        <f t="shared" si="44"/>
        <v>4.2705653760000004</v>
      </c>
      <c r="O954" s="26" t="s">
        <v>1007</v>
      </c>
      <c r="P954" s="31" t="s">
        <v>19</v>
      </c>
    </row>
    <row r="955" spans="1:16" x14ac:dyDescent="0.25">
      <c r="A955" s="26">
        <v>954</v>
      </c>
      <c r="B955" s="26" t="s">
        <v>1959</v>
      </c>
      <c r="C955" s="26" t="s">
        <v>1960</v>
      </c>
      <c r="D955" s="28" t="s">
        <v>1961</v>
      </c>
      <c r="E955" s="26" t="s">
        <v>18</v>
      </c>
      <c r="F955" s="26"/>
      <c r="G955" s="29">
        <v>11.3</v>
      </c>
      <c r="H955" s="26">
        <v>96</v>
      </c>
      <c r="I955" s="26">
        <v>72</v>
      </c>
      <c r="J955" s="33">
        <f t="shared" si="45"/>
        <v>84</v>
      </c>
      <c r="K955" s="32"/>
      <c r="L955" s="32"/>
      <c r="M955" s="38">
        <f t="shared" si="43"/>
        <v>11.3</v>
      </c>
      <c r="N955" s="39">
        <f t="shared" si="44"/>
        <v>6.2622141119999997</v>
      </c>
      <c r="O955" s="26"/>
      <c r="P955" s="31" t="s">
        <v>19</v>
      </c>
    </row>
    <row r="956" spans="1:16" x14ac:dyDescent="0.25">
      <c r="A956" s="26">
        <v>955</v>
      </c>
      <c r="B956" s="26" t="s">
        <v>1962</v>
      </c>
      <c r="C956" s="26" t="s">
        <v>1963</v>
      </c>
      <c r="D956" s="28" t="s">
        <v>1964</v>
      </c>
      <c r="E956" s="26" t="s">
        <v>18</v>
      </c>
      <c r="F956" s="26"/>
      <c r="G956" s="29">
        <v>9.6999999999999993</v>
      </c>
      <c r="H956" s="26">
        <v>77</v>
      </c>
      <c r="I956" s="26">
        <v>73</v>
      </c>
      <c r="J956" s="33">
        <f t="shared" si="45"/>
        <v>75</v>
      </c>
      <c r="K956" s="32"/>
      <c r="L956" s="32"/>
      <c r="M956" s="38">
        <f t="shared" si="43"/>
        <v>9.6999999999999993</v>
      </c>
      <c r="N956" s="39">
        <f t="shared" si="44"/>
        <v>4.2853387499999993</v>
      </c>
      <c r="O956" s="26"/>
      <c r="P956" s="31" t="s">
        <v>30</v>
      </c>
    </row>
    <row r="957" spans="1:16" x14ac:dyDescent="0.25">
      <c r="A957" s="26">
        <v>956</v>
      </c>
      <c r="B957" s="26" t="s">
        <v>1965</v>
      </c>
      <c r="C957" s="26" t="s">
        <v>1966</v>
      </c>
      <c r="D957" s="28" t="s">
        <v>1967</v>
      </c>
      <c r="E957" s="26" t="s">
        <v>18</v>
      </c>
      <c r="F957" s="26"/>
      <c r="G957" s="29">
        <v>10.4</v>
      </c>
      <c r="H957" s="26">
        <v>93</v>
      </c>
      <c r="I957" s="26">
        <v>92</v>
      </c>
      <c r="J957" s="33">
        <f t="shared" si="45"/>
        <v>92</v>
      </c>
      <c r="K957" s="32"/>
      <c r="L957" s="32"/>
      <c r="M957" s="38">
        <f t="shared" si="43"/>
        <v>10.4</v>
      </c>
      <c r="N957" s="39">
        <f t="shared" si="44"/>
        <v>6.9135306240000007</v>
      </c>
      <c r="O957" s="26"/>
      <c r="P957" s="31" t="s">
        <v>19</v>
      </c>
    </row>
    <row r="958" spans="1:16" x14ac:dyDescent="0.25">
      <c r="A958" s="26">
        <v>957</v>
      </c>
      <c r="B958" s="26" t="s">
        <v>1968</v>
      </c>
      <c r="C958" s="26" t="s">
        <v>1969</v>
      </c>
      <c r="D958" s="28" t="s">
        <v>1970</v>
      </c>
      <c r="E958" s="26" t="s">
        <v>18</v>
      </c>
      <c r="F958" s="26"/>
      <c r="G958" s="29">
        <v>13.2</v>
      </c>
      <c r="H958" s="26">
        <v>108</v>
      </c>
      <c r="I958" s="26">
        <v>80</v>
      </c>
      <c r="J958" s="33">
        <f t="shared" si="45"/>
        <v>94</v>
      </c>
      <c r="K958" s="32"/>
      <c r="L958" s="32"/>
      <c r="M958" s="38">
        <f t="shared" si="43"/>
        <v>13.2</v>
      </c>
      <c r="N958" s="39">
        <f t="shared" si="44"/>
        <v>9.1605286079999999</v>
      </c>
      <c r="O958" s="26"/>
      <c r="P958" s="31" t="s">
        <v>19</v>
      </c>
    </row>
    <row r="959" spans="1:16" x14ac:dyDescent="0.25">
      <c r="A959" s="26">
        <v>958</v>
      </c>
      <c r="B959" s="26" t="s">
        <v>1971</v>
      </c>
      <c r="C959" s="26" t="s">
        <v>1972</v>
      </c>
      <c r="D959" s="28" t="s">
        <v>1973</v>
      </c>
      <c r="E959" s="26" t="s">
        <v>18</v>
      </c>
      <c r="F959" s="26"/>
      <c r="G959" s="29">
        <v>11.4</v>
      </c>
      <c r="H959" s="26">
        <v>107</v>
      </c>
      <c r="I959" s="26">
        <v>101</v>
      </c>
      <c r="J959" s="33">
        <f t="shared" si="45"/>
        <v>104</v>
      </c>
      <c r="K959" s="32">
        <v>0.3</v>
      </c>
      <c r="L959" s="32"/>
      <c r="M959" s="38">
        <f t="shared" si="43"/>
        <v>11.1</v>
      </c>
      <c r="N959" s="39">
        <f t="shared" si="44"/>
        <v>9.4293239039999985</v>
      </c>
      <c r="O959" s="26" t="s">
        <v>21</v>
      </c>
      <c r="P959" s="31" t="s">
        <v>30</v>
      </c>
    </row>
    <row r="960" spans="1:16" x14ac:dyDescent="0.25">
      <c r="A960" s="26">
        <v>959</v>
      </c>
      <c r="B960" s="26" t="s">
        <v>1974</v>
      </c>
      <c r="C960" s="26" t="s">
        <v>1975</v>
      </c>
      <c r="D960" s="28" t="s">
        <v>1976</v>
      </c>
      <c r="E960" s="26" t="s">
        <v>18</v>
      </c>
      <c r="F960" s="26"/>
      <c r="G960" s="29">
        <v>11.9</v>
      </c>
      <c r="H960" s="26">
        <v>109</v>
      </c>
      <c r="I960" s="26">
        <v>107</v>
      </c>
      <c r="J960" s="33">
        <f t="shared" si="45"/>
        <v>108</v>
      </c>
      <c r="K960" s="32">
        <v>2</v>
      </c>
      <c r="L960" s="32"/>
      <c r="M960" s="38">
        <f t="shared" si="43"/>
        <v>9.9</v>
      </c>
      <c r="N960" s="39">
        <f t="shared" si="44"/>
        <v>9.0692965440000002</v>
      </c>
      <c r="O960" s="26" t="s">
        <v>53</v>
      </c>
      <c r="P960" s="31" t="s">
        <v>19</v>
      </c>
    </row>
    <row r="961" spans="1:16" x14ac:dyDescent="0.25">
      <c r="A961" s="26">
        <v>960</v>
      </c>
      <c r="B961" s="26" t="s">
        <v>1977</v>
      </c>
      <c r="C961" s="26" t="s">
        <v>1978</v>
      </c>
      <c r="D961" s="28">
        <v>252</v>
      </c>
      <c r="E961" s="26" t="s">
        <v>18</v>
      </c>
      <c r="F961" s="26"/>
      <c r="G961" s="29">
        <v>11.8</v>
      </c>
      <c r="H961" s="26">
        <v>93</v>
      </c>
      <c r="I961" s="26">
        <v>89</v>
      </c>
      <c r="J961" s="33">
        <f t="shared" si="45"/>
        <v>91</v>
      </c>
      <c r="K961" s="32"/>
      <c r="L961" s="32">
        <v>30</v>
      </c>
      <c r="M961" s="38">
        <f t="shared" si="43"/>
        <v>11.8</v>
      </c>
      <c r="N961" s="39">
        <f t="shared" si="44"/>
        <v>7.6745989320000012</v>
      </c>
      <c r="O961" s="26" t="s">
        <v>53</v>
      </c>
      <c r="P961" s="31" t="s">
        <v>19</v>
      </c>
    </row>
    <row r="962" spans="1:16" x14ac:dyDescent="0.25">
      <c r="A962" s="26">
        <v>961</v>
      </c>
      <c r="B962" s="26" t="s">
        <v>1979</v>
      </c>
      <c r="C962" s="26" t="s">
        <v>1980</v>
      </c>
      <c r="D962" s="28" t="s">
        <v>1981</v>
      </c>
      <c r="E962" s="26" t="s">
        <v>18</v>
      </c>
      <c r="F962" s="26"/>
      <c r="G962" s="29">
        <v>9.6</v>
      </c>
      <c r="H962" s="26">
        <v>146</v>
      </c>
      <c r="I962" s="26">
        <v>126</v>
      </c>
      <c r="J962" s="33">
        <f t="shared" si="45"/>
        <v>136</v>
      </c>
      <c r="K962" s="32"/>
      <c r="L962" s="32"/>
      <c r="M962" s="38">
        <f t="shared" ref="M962:M1025" si="46">G962-K962</f>
        <v>9.6</v>
      </c>
      <c r="N962" s="39">
        <f t="shared" ref="N962:N1025" si="47">J962*J962*M962*0.7854/10000</f>
        <v>13.945688063999999</v>
      </c>
      <c r="O962" s="26"/>
      <c r="P962" s="31" t="s">
        <v>19</v>
      </c>
    </row>
    <row r="963" spans="1:16" x14ac:dyDescent="0.25">
      <c r="A963" s="26">
        <v>962</v>
      </c>
      <c r="B963" s="26" t="s">
        <v>1982</v>
      </c>
      <c r="C963" s="26" t="s">
        <v>1983</v>
      </c>
      <c r="D963" s="28" t="s">
        <v>1984</v>
      </c>
      <c r="E963" s="26" t="s">
        <v>18</v>
      </c>
      <c r="F963" s="26"/>
      <c r="G963" s="29">
        <v>9.1</v>
      </c>
      <c r="H963" s="26">
        <v>132</v>
      </c>
      <c r="I963" s="26">
        <v>129</v>
      </c>
      <c r="J963" s="33">
        <f t="shared" si="45"/>
        <v>130</v>
      </c>
      <c r="K963" s="32"/>
      <c r="L963" s="32"/>
      <c r="M963" s="38">
        <f t="shared" si="46"/>
        <v>9.1</v>
      </c>
      <c r="N963" s="39">
        <f t="shared" si="47"/>
        <v>12.0786666</v>
      </c>
      <c r="O963" s="26"/>
      <c r="P963" s="31" t="s">
        <v>19</v>
      </c>
    </row>
    <row r="964" spans="1:16" x14ac:dyDescent="0.25">
      <c r="A964" s="26">
        <v>963</v>
      </c>
      <c r="B964" s="26" t="s">
        <v>1985</v>
      </c>
      <c r="C964" s="26" t="s">
        <v>1986</v>
      </c>
      <c r="D964" s="28" t="s">
        <v>1987</v>
      </c>
      <c r="E964" s="26" t="s">
        <v>18</v>
      </c>
      <c r="F964" s="26"/>
      <c r="G964" s="29">
        <v>11</v>
      </c>
      <c r="H964" s="26">
        <v>135</v>
      </c>
      <c r="I964" s="26">
        <v>121</v>
      </c>
      <c r="J964" s="33">
        <f t="shared" si="45"/>
        <v>128</v>
      </c>
      <c r="K964" s="32"/>
      <c r="L964" s="32">
        <v>20</v>
      </c>
      <c r="M964" s="38">
        <f t="shared" si="46"/>
        <v>11</v>
      </c>
      <c r="N964" s="39">
        <f t="shared" si="47"/>
        <v>14.15479296</v>
      </c>
      <c r="O964" s="26" t="s">
        <v>157</v>
      </c>
      <c r="P964" s="31" t="s">
        <v>19</v>
      </c>
    </row>
    <row r="965" spans="1:16" x14ac:dyDescent="0.25">
      <c r="A965" s="26">
        <v>964</v>
      </c>
      <c r="B965" s="26" t="s">
        <v>1988</v>
      </c>
      <c r="C965" s="26" t="s">
        <v>1989</v>
      </c>
      <c r="D965" s="28" t="s">
        <v>1990</v>
      </c>
      <c r="E965" s="26" t="s">
        <v>18</v>
      </c>
      <c r="F965" s="26"/>
      <c r="G965" s="29">
        <v>9.9</v>
      </c>
      <c r="H965" s="26">
        <v>102</v>
      </c>
      <c r="I965" s="26">
        <v>92</v>
      </c>
      <c r="J965" s="33">
        <f t="shared" si="45"/>
        <v>97</v>
      </c>
      <c r="K965" s="32"/>
      <c r="L965" s="32"/>
      <c r="M965" s="38">
        <f t="shared" si="46"/>
        <v>9.9</v>
      </c>
      <c r="N965" s="39">
        <f t="shared" si="47"/>
        <v>7.315930314</v>
      </c>
      <c r="O965" s="26"/>
      <c r="P965" s="31" t="s">
        <v>19</v>
      </c>
    </row>
    <row r="966" spans="1:16" x14ac:dyDescent="0.25">
      <c r="A966" s="26">
        <v>965</v>
      </c>
      <c r="B966" s="26" t="s">
        <v>1991</v>
      </c>
      <c r="C966" s="26" t="s">
        <v>1992</v>
      </c>
      <c r="D966" s="28" t="s">
        <v>1993</v>
      </c>
      <c r="E966" s="26" t="s">
        <v>18</v>
      </c>
      <c r="F966" s="26"/>
      <c r="G966" s="29">
        <v>12.4</v>
      </c>
      <c r="H966" s="26">
        <v>83</v>
      </c>
      <c r="I966" s="26">
        <v>72</v>
      </c>
      <c r="J966" s="33">
        <f t="shared" si="45"/>
        <v>77</v>
      </c>
      <c r="K966" s="32"/>
      <c r="L966" s="32"/>
      <c r="M966" s="38">
        <f t="shared" si="46"/>
        <v>12.4</v>
      </c>
      <c r="N966" s="39">
        <f t="shared" si="47"/>
        <v>5.7742293840000007</v>
      </c>
      <c r="O966" s="26"/>
      <c r="P966" s="31" t="s">
        <v>19</v>
      </c>
    </row>
    <row r="967" spans="1:16" x14ac:dyDescent="0.25">
      <c r="A967" s="26">
        <v>966</v>
      </c>
      <c r="B967" s="26" t="s">
        <v>1994</v>
      </c>
      <c r="C967" s="26" t="s">
        <v>1995</v>
      </c>
      <c r="D967" s="28" t="s">
        <v>1996</v>
      </c>
      <c r="E967" s="26" t="s">
        <v>18</v>
      </c>
      <c r="F967" s="26"/>
      <c r="G967" s="29">
        <v>11.1</v>
      </c>
      <c r="H967" s="26">
        <v>72</v>
      </c>
      <c r="I967" s="26">
        <v>66</v>
      </c>
      <c r="J967" s="33">
        <f t="shared" si="45"/>
        <v>69</v>
      </c>
      <c r="K967" s="32"/>
      <c r="L967" s="32"/>
      <c r="M967" s="38">
        <f t="shared" si="46"/>
        <v>11.1</v>
      </c>
      <c r="N967" s="39">
        <f t="shared" si="47"/>
        <v>4.1506112340000003</v>
      </c>
      <c r="O967" s="26"/>
      <c r="P967" s="31" t="s">
        <v>19</v>
      </c>
    </row>
    <row r="968" spans="1:16" x14ac:dyDescent="0.25">
      <c r="A968" s="26">
        <v>967</v>
      </c>
      <c r="B968" s="26" t="s">
        <v>1997</v>
      </c>
      <c r="C968" s="26" t="s">
        <v>1998</v>
      </c>
      <c r="D968" s="28" t="s">
        <v>1999</v>
      </c>
      <c r="E968" s="26" t="s">
        <v>18</v>
      </c>
      <c r="F968" s="26"/>
      <c r="G968" s="29">
        <v>13.4</v>
      </c>
      <c r="H968" s="26">
        <v>132</v>
      </c>
      <c r="I968" s="26">
        <v>116</v>
      </c>
      <c r="J968" s="33">
        <f t="shared" si="45"/>
        <v>124</v>
      </c>
      <c r="K968" s="32"/>
      <c r="L968" s="32"/>
      <c r="M968" s="38">
        <f t="shared" si="46"/>
        <v>13.4</v>
      </c>
      <c r="N968" s="39">
        <f t="shared" si="47"/>
        <v>16.182255935999997</v>
      </c>
      <c r="O968" s="26"/>
      <c r="P968" s="31" t="s">
        <v>30</v>
      </c>
    </row>
    <row r="969" spans="1:16" x14ac:dyDescent="0.25">
      <c r="A969" s="26">
        <v>968</v>
      </c>
      <c r="B969" s="26" t="s">
        <v>2000</v>
      </c>
      <c r="C969" s="26" t="s">
        <v>2001</v>
      </c>
      <c r="D969" s="28" t="s">
        <v>2002</v>
      </c>
      <c r="E969" s="26" t="s">
        <v>18</v>
      </c>
      <c r="F969" s="26"/>
      <c r="G969" s="29">
        <v>5.7</v>
      </c>
      <c r="H969" s="26">
        <v>78</v>
      </c>
      <c r="I969" s="26">
        <v>73</v>
      </c>
      <c r="J969" s="33">
        <f t="shared" si="45"/>
        <v>75</v>
      </c>
      <c r="K969" s="32"/>
      <c r="L969" s="32"/>
      <c r="M969" s="38">
        <f t="shared" si="46"/>
        <v>5.7</v>
      </c>
      <c r="N969" s="39">
        <f t="shared" si="47"/>
        <v>2.5181887500000002</v>
      </c>
      <c r="O969" s="26"/>
      <c r="P969" s="31" t="s">
        <v>19</v>
      </c>
    </row>
    <row r="970" spans="1:16" x14ac:dyDescent="0.25">
      <c r="A970" s="26">
        <v>969</v>
      </c>
      <c r="B970" s="26" t="s">
        <v>2003</v>
      </c>
      <c r="C970" s="26" t="s">
        <v>2004</v>
      </c>
      <c r="D970" s="28">
        <v>752</v>
      </c>
      <c r="E970" s="26" t="s">
        <v>18</v>
      </c>
      <c r="F970" s="26"/>
      <c r="G970" s="29">
        <v>9.4</v>
      </c>
      <c r="H970" s="26">
        <v>89</v>
      </c>
      <c r="I970" s="26">
        <v>83</v>
      </c>
      <c r="J970" s="33">
        <f t="shared" si="45"/>
        <v>86</v>
      </c>
      <c r="K970" s="32"/>
      <c r="L970" s="32"/>
      <c r="M970" s="38">
        <f t="shared" si="46"/>
        <v>9.4</v>
      </c>
      <c r="N970" s="39">
        <f t="shared" si="47"/>
        <v>5.4602892960000009</v>
      </c>
      <c r="O970" s="26"/>
      <c r="P970" s="31" t="s">
        <v>19</v>
      </c>
    </row>
    <row r="971" spans="1:16" x14ac:dyDescent="0.25">
      <c r="A971" s="26">
        <v>970</v>
      </c>
      <c r="B971" s="26" t="s">
        <v>2005</v>
      </c>
      <c r="C971" s="26" t="s">
        <v>2006</v>
      </c>
      <c r="D971" s="28" t="s">
        <v>2007</v>
      </c>
      <c r="E971" s="26" t="s">
        <v>18</v>
      </c>
      <c r="F971" s="26"/>
      <c r="G971" s="29">
        <v>11</v>
      </c>
      <c r="H971" s="26">
        <v>105</v>
      </c>
      <c r="I971" s="26">
        <v>96</v>
      </c>
      <c r="J971" s="33">
        <f t="shared" si="45"/>
        <v>100</v>
      </c>
      <c r="K971" s="32">
        <v>0.5</v>
      </c>
      <c r="L971" s="32"/>
      <c r="M971" s="38">
        <f t="shared" si="46"/>
        <v>10.5</v>
      </c>
      <c r="N971" s="39">
        <f t="shared" si="47"/>
        <v>8.2467000000000006</v>
      </c>
      <c r="O971" s="26" t="s">
        <v>53</v>
      </c>
      <c r="P971" s="31" t="s">
        <v>30</v>
      </c>
    </row>
    <row r="972" spans="1:16" x14ac:dyDescent="0.25">
      <c r="A972" s="26">
        <v>971</v>
      </c>
      <c r="B972" s="26" t="s">
        <v>2008</v>
      </c>
      <c r="C972" s="26" t="s">
        <v>2009</v>
      </c>
      <c r="D972" s="28" t="s">
        <v>2010</v>
      </c>
      <c r="E972" s="26" t="s">
        <v>18</v>
      </c>
      <c r="F972" s="26"/>
      <c r="G972" s="29">
        <v>14</v>
      </c>
      <c r="H972" s="26">
        <v>100</v>
      </c>
      <c r="I972" s="26">
        <v>83</v>
      </c>
      <c r="J972" s="33">
        <f t="shared" si="45"/>
        <v>91</v>
      </c>
      <c r="K972" s="32"/>
      <c r="L972" s="32"/>
      <c r="M972" s="38">
        <f t="shared" si="46"/>
        <v>14</v>
      </c>
      <c r="N972" s="39">
        <f t="shared" si="47"/>
        <v>9.1054563599999998</v>
      </c>
      <c r="O972" s="26"/>
      <c r="P972" s="31" t="s">
        <v>19</v>
      </c>
    </row>
    <row r="973" spans="1:16" x14ac:dyDescent="0.25">
      <c r="A973" s="26">
        <v>972</v>
      </c>
      <c r="B973" s="26" t="s">
        <v>2011</v>
      </c>
      <c r="C973" s="26" t="s">
        <v>2012</v>
      </c>
      <c r="D973" s="28" t="s">
        <v>2013</v>
      </c>
      <c r="E973" s="26" t="s">
        <v>18</v>
      </c>
      <c r="F973" s="26"/>
      <c r="G973" s="29">
        <v>7.1</v>
      </c>
      <c r="H973" s="26">
        <v>84</v>
      </c>
      <c r="I973" s="26">
        <v>70</v>
      </c>
      <c r="J973" s="33">
        <f t="shared" si="45"/>
        <v>77</v>
      </c>
      <c r="K973" s="32"/>
      <c r="L973" s="32"/>
      <c r="M973" s="38">
        <f t="shared" si="46"/>
        <v>7.1</v>
      </c>
      <c r="N973" s="39">
        <f t="shared" si="47"/>
        <v>3.3062119860000001</v>
      </c>
      <c r="O973" s="26"/>
      <c r="P973" s="31" t="s">
        <v>19</v>
      </c>
    </row>
    <row r="974" spans="1:16" x14ac:dyDescent="0.25">
      <c r="A974" s="26">
        <v>973</v>
      </c>
      <c r="B974" s="26" t="s">
        <v>2014</v>
      </c>
      <c r="C974" s="26" t="s">
        <v>2015</v>
      </c>
      <c r="D974" s="28" t="s">
        <v>2016</v>
      </c>
      <c r="E974" s="26" t="s">
        <v>18</v>
      </c>
      <c r="F974" s="26"/>
      <c r="G974" s="29">
        <v>10.199999999999999</v>
      </c>
      <c r="H974" s="26">
        <v>93</v>
      </c>
      <c r="I974" s="26">
        <v>85</v>
      </c>
      <c r="J974" s="33">
        <f t="shared" si="45"/>
        <v>89</v>
      </c>
      <c r="K974" s="32">
        <v>1</v>
      </c>
      <c r="L974" s="32"/>
      <c r="M974" s="38">
        <f t="shared" si="46"/>
        <v>9.1999999999999993</v>
      </c>
      <c r="N974" s="39">
        <f t="shared" si="47"/>
        <v>5.7234611279999994</v>
      </c>
      <c r="O974" s="26" t="s">
        <v>53</v>
      </c>
      <c r="P974" s="31" t="s">
        <v>30</v>
      </c>
    </row>
    <row r="975" spans="1:16" x14ac:dyDescent="0.25">
      <c r="A975" s="26">
        <v>974</v>
      </c>
      <c r="B975" s="26" t="s">
        <v>2017</v>
      </c>
      <c r="C975" s="26" t="s">
        <v>2018</v>
      </c>
      <c r="D975" s="28" t="s">
        <v>2019</v>
      </c>
      <c r="E975" s="26" t="s">
        <v>18</v>
      </c>
      <c r="F975" s="26"/>
      <c r="G975" s="29">
        <v>13.8</v>
      </c>
      <c r="H975" s="26">
        <v>99</v>
      </c>
      <c r="I975" s="26">
        <v>90</v>
      </c>
      <c r="J975" s="33">
        <f t="shared" si="45"/>
        <v>94</v>
      </c>
      <c r="K975" s="32">
        <v>0.3</v>
      </c>
      <c r="L975" s="32"/>
      <c r="M975" s="38">
        <f t="shared" si="46"/>
        <v>13.5</v>
      </c>
      <c r="N975" s="39">
        <f t="shared" si="47"/>
        <v>9.3687224399999991</v>
      </c>
      <c r="O975" s="26" t="s">
        <v>21</v>
      </c>
      <c r="P975" s="31" t="s">
        <v>19</v>
      </c>
    </row>
    <row r="976" spans="1:16" x14ac:dyDescent="0.25">
      <c r="A976" s="26">
        <v>975</v>
      </c>
      <c r="B976" s="26" t="s">
        <v>2020</v>
      </c>
      <c r="C976" s="26" t="s">
        <v>2021</v>
      </c>
      <c r="D976" s="28" t="s">
        <v>2022</v>
      </c>
      <c r="E976" s="26" t="s">
        <v>18</v>
      </c>
      <c r="F976" s="26"/>
      <c r="G976" s="29">
        <v>9.5</v>
      </c>
      <c r="H976" s="26">
        <v>90</v>
      </c>
      <c r="I976" s="26">
        <v>77</v>
      </c>
      <c r="J976" s="33">
        <f t="shared" si="45"/>
        <v>83</v>
      </c>
      <c r="K976" s="32">
        <v>0.5</v>
      </c>
      <c r="L976" s="32"/>
      <c r="M976" s="38">
        <f t="shared" si="46"/>
        <v>9</v>
      </c>
      <c r="N976" s="39">
        <f t="shared" si="47"/>
        <v>4.8695585399999999</v>
      </c>
      <c r="O976" s="26" t="s">
        <v>1007</v>
      </c>
      <c r="P976" s="31" t="s">
        <v>19</v>
      </c>
    </row>
    <row r="977" spans="1:16" x14ac:dyDescent="0.25">
      <c r="A977" s="26">
        <v>976</v>
      </c>
      <c r="B977" s="26" t="s">
        <v>2023</v>
      </c>
      <c r="C977" s="26" t="s">
        <v>2024</v>
      </c>
      <c r="D977" s="28">
        <v>1567</v>
      </c>
      <c r="E977" s="26" t="s">
        <v>18</v>
      </c>
      <c r="F977" s="26"/>
      <c r="G977" s="29">
        <v>10.9</v>
      </c>
      <c r="H977" s="26">
        <v>121</v>
      </c>
      <c r="I977" s="26">
        <v>98</v>
      </c>
      <c r="J977" s="33">
        <f t="shared" si="45"/>
        <v>109</v>
      </c>
      <c r="K977" s="32"/>
      <c r="L977" s="32"/>
      <c r="M977" s="38">
        <f t="shared" si="46"/>
        <v>10.9</v>
      </c>
      <c r="N977" s="39">
        <f t="shared" si="47"/>
        <v>10.171157766</v>
      </c>
      <c r="O977" s="26"/>
      <c r="P977" s="31" t="s">
        <v>19</v>
      </c>
    </row>
    <row r="978" spans="1:16" x14ac:dyDescent="0.25">
      <c r="A978" s="26">
        <v>977</v>
      </c>
      <c r="B978" s="26" t="s">
        <v>2025</v>
      </c>
      <c r="C978" s="26" t="s">
        <v>2026</v>
      </c>
      <c r="D978" s="28" t="s">
        <v>2027</v>
      </c>
      <c r="E978" s="26" t="s">
        <v>18</v>
      </c>
      <c r="F978" s="26"/>
      <c r="G978" s="29">
        <v>10.1</v>
      </c>
      <c r="H978" s="26">
        <v>97</v>
      </c>
      <c r="I978" s="26">
        <v>88</v>
      </c>
      <c r="J978" s="33">
        <f t="shared" si="45"/>
        <v>92</v>
      </c>
      <c r="K978" s="32"/>
      <c r="L978" s="32"/>
      <c r="M978" s="38">
        <f t="shared" si="46"/>
        <v>10.1</v>
      </c>
      <c r="N978" s="39">
        <f t="shared" si="47"/>
        <v>6.7141018560000001</v>
      </c>
      <c r="O978" s="26"/>
      <c r="P978" s="31" t="s">
        <v>19</v>
      </c>
    </row>
    <row r="979" spans="1:16" x14ac:dyDescent="0.25">
      <c r="A979" s="26">
        <v>978</v>
      </c>
      <c r="B979" s="26" t="s">
        <v>2028</v>
      </c>
      <c r="C979" s="26" t="s">
        <v>2029</v>
      </c>
      <c r="D979" s="28" t="s">
        <v>2030</v>
      </c>
      <c r="E979" s="26" t="s">
        <v>18</v>
      </c>
      <c r="F979" s="26"/>
      <c r="G979" s="29">
        <v>12.2</v>
      </c>
      <c r="H979" s="26">
        <v>134</v>
      </c>
      <c r="I979" s="26">
        <v>105</v>
      </c>
      <c r="J979" s="33">
        <f t="shared" si="45"/>
        <v>119</v>
      </c>
      <c r="K979" s="32"/>
      <c r="L979" s="32"/>
      <c r="M979" s="38">
        <f t="shared" si="46"/>
        <v>12.2</v>
      </c>
      <c r="N979" s="39">
        <f t="shared" si="47"/>
        <v>13.568900267999998</v>
      </c>
      <c r="O979" s="26"/>
      <c r="P979" s="31" t="s">
        <v>19</v>
      </c>
    </row>
    <row r="980" spans="1:16" x14ac:dyDescent="0.25">
      <c r="A980" s="26">
        <v>979</v>
      </c>
      <c r="B980" s="26" t="s">
        <v>2031</v>
      </c>
      <c r="C980" s="26" t="s">
        <v>2032</v>
      </c>
      <c r="D980" s="28" t="s">
        <v>2033</v>
      </c>
      <c r="E980" s="26" t="s">
        <v>18</v>
      </c>
      <c r="F980" s="26"/>
      <c r="G980" s="29">
        <v>11.8</v>
      </c>
      <c r="H980" s="26">
        <v>104</v>
      </c>
      <c r="I980" s="26">
        <v>102</v>
      </c>
      <c r="J980" s="33">
        <f t="shared" si="45"/>
        <v>103</v>
      </c>
      <c r="K980" s="32"/>
      <c r="L980" s="32"/>
      <c r="M980" s="38">
        <f t="shared" si="46"/>
        <v>11.8</v>
      </c>
      <c r="N980" s="39">
        <f t="shared" si="47"/>
        <v>9.8321241480000019</v>
      </c>
      <c r="O980" s="26"/>
      <c r="P980" s="31" t="s">
        <v>19</v>
      </c>
    </row>
    <row r="981" spans="1:16" x14ac:dyDescent="0.25">
      <c r="A981" s="26">
        <v>980</v>
      </c>
      <c r="B981" s="26" t="s">
        <v>2034</v>
      </c>
      <c r="C981" s="26" t="s">
        <v>2035</v>
      </c>
      <c r="D981" s="28" t="s">
        <v>2036</v>
      </c>
      <c r="E981" s="26" t="s">
        <v>18</v>
      </c>
      <c r="F981" s="26"/>
      <c r="G981" s="29">
        <v>10.9</v>
      </c>
      <c r="H981" s="26">
        <v>133</v>
      </c>
      <c r="I981" s="26">
        <v>112</v>
      </c>
      <c r="J981" s="33">
        <f t="shared" si="45"/>
        <v>122</v>
      </c>
      <c r="K981" s="32"/>
      <c r="L981" s="32"/>
      <c r="M981" s="38">
        <f t="shared" si="46"/>
        <v>10.9</v>
      </c>
      <c r="N981" s="39">
        <f t="shared" si="47"/>
        <v>12.741984024000001</v>
      </c>
      <c r="O981" s="26"/>
      <c r="P981" s="31" t="s">
        <v>19</v>
      </c>
    </row>
    <row r="982" spans="1:16" x14ac:dyDescent="0.25">
      <c r="A982" s="26">
        <v>981</v>
      </c>
      <c r="B982" s="26" t="s">
        <v>2037</v>
      </c>
      <c r="C982" s="26" t="s">
        <v>2038</v>
      </c>
      <c r="D982" s="28" t="s">
        <v>2039</v>
      </c>
      <c r="E982" s="26" t="s">
        <v>18</v>
      </c>
      <c r="F982" s="26"/>
      <c r="G982" s="29">
        <v>9.4</v>
      </c>
      <c r="H982" s="26">
        <v>121</v>
      </c>
      <c r="I982" s="26">
        <v>99</v>
      </c>
      <c r="J982" s="33">
        <f t="shared" si="45"/>
        <v>110</v>
      </c>
      <c r="K982" s="32"/>
      <c r="L982" s="32"/>
      <c r="M982" s="38">
        <f t="shared" si="46"/>
        <v>9.4</v>
      </c>
      <c r="N982" s="39">
        <f t="shared" si="47"/>
        <v>8.9331395999999987</v>
      </c>
      <c r="O982" s="26"/>
      <c r="P982" s="31" t="s">
        <v>19</v>
      </c>
    </row>
    <row r="983" spans="1:16" x14ac:dyDescent="0.25">
      <c r="A983" s="26">
        <v>982</v>
      </c>
      <c r="B983" s="26" t="s">
        <v>2040</v>
      </c>
      <c r="C983" s="26" t="s">
        <v>2041</v>
      </c>
      <c r="D983" s="28" t="s">
        <v>2042</v>
      </c>
      <c r="E983" s="26" t="s">
        <v>18</v>
      </c>
      <c r="F983" s="26"/>
      <c r="G983" s="29">
        <v>9.4</v>
      </c>
      <c r="H983" s="26">
        <v>99</v>
      </c>
      <c r="I983" s="26">
        <v>99</v>
      </c>
      <c r="J983" s="33">
        <f t="shared" si="45"/>
        <v>99</v>
      </c>
      <c r="K983" s="32">
        <v>0.5</v>
      </c>
      <c r="L983" s="32"/>
      <c r="M983" s="38">
        <f t="shared" si="46"/>
        <v>8.9</v>
      </c>
      <c r="N983" s="39">
        <f t="shared" si="47"/>
        <v>6.8509578060000003</v>
      </c>
      <c r="O983" s="26" t="s">
        <v>21</v>
      </c>
      <c r="P983" s="31" t="s">
        <v>30</v>
      </c>
    </row>
    <row r="984" spans="1:16" x14ac:dyDescent="0.25">
      <c r="A984" s="26">
        <v>983</v>
      </c>
      <c r="B984" s="26" t="s">
        <v>2043</v>
      </c>
      <c r="C984" s="26" t="s">
        <v>2044</v>
      </c>
      <c r="D984" s="28" t="s">
        <v>2045</v>
      </c>
      <c r="E984" s="26" t="s">
        <v>18</v>
      </c>
      <c r="F984" s="26"/>
      <c r="G984" s="29">
        <v>6</v>
      </c>
      <c r="H984" s="26">
        <v>97</v>
      </c>
      <c r="I984" s="26">
        <v>90</v>
      </c>
      <c r="J984" s="33">
        <f t="shared" si="45"/>
        <v>93</v>
      </c>
      <c r="K984" s="32">
        <v>0.5</v>
      </c>
      <c r="L984" s="32"/>
      <c r="M984" s="38">
        <f t="shared" si="46"/>
        <v>5.5</v>
      </c>
      <c r="N984" s="39">
        <f t="shared" si="47"/>
        <v>3.7361085300000001</v>
      </c>
      <c r="O984" s="26" t="s">
        <v>53</v>
      </c>
      <c r="P984" s="31" t="s">
        <v>19</v>
      </c>
    </row>
    <row r="985" spans="1:16" x14ac:dyDescent="0.25">
      <c r="A985" s="26">
        <v>984</v>
      </c>
      <c r="B985" s="26" t="s">
        <v>2046</v>
      </c>
      <c r="C985" s="26" t="s">
        <v>2047</v>
      </c>
      <c r="D985" s="28" t="s">
        <v>2048</v>
      </c>
      <c r="E985" s="26" t="s">
        <v>18</v>
      </c>
      <c r="F985" s="26"/>
      <c r="G985" s="29">
        <v>11.2</v>
      </c>
      <c r="H985" s="26">
        <v>125</v>
      </c>
      <c r="I985" s="26">
        <v>121</v>
      </c>
      <c r="J985" s="33">
        <f t="shared" si="45"/>
        <v>123</v>
      </c>
      <c r="K985" s="32"/>
      <c r="L985" s="32"/>
      <c r="M985" s="38">
        <f t="shared" si="46"/>
        <v>11.2</v>
      </c>
      <c r="N985" s="39">
        <f t="shared" si="47"/>
        <v>13.308194592</v>
      </c>
      <c r="O985" s="26"/>
      <c r="P985" s="31" t="s">
        <v>19</v>
      </c>
    </row>
    <row r="986" spans="1:16" x14ac:dyDescent="0.25">
      <c r="A986" s="26">
        <v>985</v>
      </c>
      <c r="B986" s="26" t="s">
        <v>2049</v>
      </c>
      <c r="C986" s="26" t="s">
        <v>2050</v>
      </c>
      <c r="D986" s="28" t="s">
        <v>2051</v>
      </c>
      <c r="E986" s="26" t="s">
        <v>18</v>
      </c>
      <c r="F986" s="26"/>
      <c r="G986" s="29">
        <v>11.1</v>
      </c>
      <c r="H986" s="26">
        <v>122</v>
      </c>
      <c r="I986" s="26">
        <v>105</v>
      </c>
      <c r="J986" s="33">
        <f t="shared" si="45"/>
        <v>113</v>
      </c>
      <c r="K986" s="32"/>
      <c r="L986" s="32"/>
      <c r="M986" s="38">
        <f t="shared" si="46"/>
        <v>11.1</v>
      </c>
      <c r="N986" s="39">
        <f t="shared" si="47"/>
        <v>11.131937585999999</v>
      </c>
      <c r="O986" s="26"/>
      <c r="P986" s="31" t="s">
        <v>30</v>
      </c>
    </row>
    <row r="987" spans="1:16" x14ac:dyDescent="0.25">
      <c r="A987" s="26">
        <v>986</v>
      </c>
      <c r="B987" s="26" t="s">
        <v>2052</v>
      </c>
      <c r="C987" s="26" t="s">
        <v>2053</v>
      </c>
      <c r="D987" s="28" t="s">
        <v>2054</v>
      </c>
      <c r="E987" s="26" t="s">
        <v>18</v>
      </c>
      <c r="F987" s="26"/>
      <c r="G987" s="29">
        <v>6</v>
      </c>
      <c r="H987" s="26">
        <v>88</v>
      </c>
      <c r="I987" s="26">
        <v>84</v>
      </c>
      <c r="J987" s="33">
        <f t="shared" si="45"/>
        <v>86</v>
      </c>
      <c r="K987" s="32">
        <v>0.3</v>
      </c>
      <c r="L987" s="32"/>
      <c r="M987" s="38">
        <f t="shared" si="46"/>
        <v>5.7</v>
      </c>
      <c r="N987" s="39">
        <f t="shared" si="47"/>
        <v>3.3110264880000004</v>
      </c>
      <c r="O987" s="26" t="s">
        <v>21</v>
      </c>
      <c r="P987" s="31" t="s">
        <v>19</v>
      </c>
    </row>
    <row r="988" spans="1:16" x14ac:dyDescent="0.25">
      <c r="A988" s="26">
        <v>987</v>
      </c>
      <c r="B988" s="26" t="s">
        <v>2055</v>
      </c>
      <c r="C988" s="26" t="s">
        <v>2056</v>
      </c>
      <c r="D988" s="28" t="s">
        <v>2057</v>
      </c>
      <c r="E988" s="26" t="s">
        <v>18</v>
      </c>
      <c r="F988" s="26"/>
      <c r="G988" s="29">
        <v>11.6</v>
      </c>
      <c r="H988" s="26">
        <v>88</v>
      </c>
      <c r="I988" s="26">
        <v>80</v>
      </c>
      <c r="J988" s="33">
        <f t="shared" si="45"/>
        <v>84</v>
      </c>
      <c r="K988" s="32">
        <v>0.3</v>
      </c>
      <c r="L988" s="32"/>
      <c r="M988" s="38">
        <f t="shared" si="46"/>
        <v>11.299999999999999</v>
      </c>
      <c r="N988" s="39">
        <f t="shared" si="47"/>
        <v>6.2622141119999997</v>
      </c>
      <c r="O988" s="26" t="s">
        <v>1007</v>
      </c>
      <c r="P988" s="31" t="s">
        <v>19</v>
      </c>
    </row>
    <row r="989" spans="1:16" x14ac:dyDescent="0.25">
      <c r="A989" s="26">
        <v>988</v>
      </c>
      <c r="B989" s="26" t="s">
        <v>2058</v>
      </c>
      <c r="C989" s="26" t="s">
        <v>2059</v>
      </c>
      <c r="D989" s="28" t="s">
        <v>2060</v>
      </c>
      <c r="E989" s="26" t="s">
        <v>18</v>
      </c>
      <c r="F989" s="26"/>
      <c r="G989" s="29">
        <v>9.6999999999999993</v>
      </c>
      <c r="H989" s="26">
        <v>80</v>
      </c>
      <c r="I989" s="26">
        <v>76</v>
      </c>
      <c r="J989" s="33">
        <f t="shared" si="45"/>
        <v>78</v>
      </c>
      <c r="K989" s="32">
        <v>0.5</v>
      </c>
      <c r="L989" s="32"/>
      <c r="M989" s="38">
        <f t="shared" si="46"/>
        <v>9.1999999999999993</v>
      </c>
      <c r="N989" s="39">
        <f t="shared" si="47"/>
        <v>4.3961037119999995</v>
      </c>
      <c r="O989" s="26" t="s">
        <v>1007</v>
      </c>
      <c r="P989" s="31" t="s">
        <v>30</v>
      </c>
    </row>
    <row r="990" spans="1:16" x14ac:dyDescent="0.25">
      <c r="A990" s="26">
        <v>989</v>
      </c>
      <c r="B990" s="26" t="s">
        <v>2061</v>
      </c>
      <c r="C990" s="26" t="s">
        <v>2062</v>
      </c>
      <c r="D990" s="28">
        <v>1595</v>
      </c>
      <c r="E990" s="26" t="s">
        <v>18</v>
      </c>
      <c r="F990" s="26"/>
      <c r="G990" s="29">
        <v>11.3</v>
      </c>
      <c r="H990" s="26">
        <v>95</v>
      </c>
      <c r="I990" s="26">
        <v>82</v>
      </c>
      <c r="J990" s="33">
        <f t="shared" si="45"/>
        <v>88</v>
      </c>
      <c r="K990" s="32"/>
      <c r="L990" s="32"/>
      <c r="M990" s="38">
        <f t="shared" si="46"/>
        <v>11.3</v>
      </c>
      <c r="N990" s="39">
        <f t="shared" si="47"/>
        <v>6.8728154880000005</v>
      </c>
      <c r="O990" s="26"/>
      <c r="P990" s="31" t="s">
        <v>19</v>
      </c>
    </row>
    <row r="991" spans="1:16" x14ac:dyDescent="0.25">
      <c r="A991" s="26">
        <v>990</v>
      </c>
      <c r="B991" s="26" t="s">
        <v>2063</v>
      </c>
      <c r="C991" s="26" t="s">
        <v>2064</v>
      </c>
      <c r="D991" s="28" t="s">
        <v>2065</v>
      </c>
      <c r="E991" s="26" t="s">
        <v>18</v>
      </c>
      <c r="F991" s="26"/>
      <c r="G991" s="29">
        <v>5.4</v>
      </c>
      <c r="H991" s="26">
        <v>97</v>
      </c>
      <c r="I991" s="26">
        <v>96</v>
      </c>
      <c r="J991" s="33">
        <f t="shared" ref="J991:J1054" si="48">ROUNDDOWN((H991+I991)/2,0)</f>
        <v>96</v>
      </c>
      <c r="K991" s="32">
        <v>0.3</v>
      </c>
      <c r="L991" s="32"/>
      <c r="M991" s="38">
        <f t="shared" si="46"/>
        <v>5.1000000000000005</v>
      </c>
      <c r="N991" s="39">
        <f t="shared" si="47"/>
        <v>3.6915056640000001</v>
      </c>
      <c r="O991" s="26" t="s">
        <v>21</v>
      </c>
      <c r="P991" s="31" t="s">
        <v>19</v>
      </c>
    </row>
    <row r="992" spans="1:16" x14ac:dyDescent="0.25">
      <c r="A992" s="26">
        <v>991</v>
      </c>
      <c r="B992" s="26" t="s">
        <v>2066</v>
      </c>
      <c r="C992" s="26" t="s">
        <v>2067</v>
      </c>
      <c r="D992" s="28" t="s">
        <v>2068</v>
      </c>
      <c r="E992" s="26" t="s">
        <v>18</v>
      </c>
      <c r="F992" s="26"/>
      <c r="G992" s="29">
        <v>11.1</v>
      </c>
      <c r="H992" s="26">
        <v>95</v>
      </c>
      <c r="I992" s="26">
        <v>87</v>
      </c>
      <c r="J992" s="33">
        <f t="shared" si="48"/>
        <v>91</v>
      </c>
      <c r="K992" s="32"/>
      <c r="L992" s="32"/>
      <c r="M992" s="38">
        <f t="shared" si="46"/>
        <v>11.1</v>
      </c>
      <c r="N992" s="39">
        <f t="shared" si="47"/>
        <v>7.2193261139999985</v>
      </c>
      <c r="O992" s="26"/>
      <c r="P992" s="31" t="s">
        <v>19</v>
      </c>
    </row>
    <row r="993" spans="1:16" x14ac:dyDescent="0.25">
      <c r="A993" s="26">
        <v>992</v>
      </c>
      <c r="B993" s="26" t="s">
        <v>2069</v>
      </c>
      <c r="C993" s="26" t="s">
        <v>2070</v>
      </c>
      <c r="D993" s="28" t="s">
        <v>2071</v>
      </c>
      <c r="E993" s="26" t="s">
        <v>18</v>
      </c>
      <c r="F993" s="26"/>
      <c r="G993" s="29">
        <v>11.3</v>
      </c>
      <c r="H993" s="26">
        <v>101</v>
      </c>
      <c r="I993" s="26">
        <v>97</v>
      </c>
      <c r="J993" s="33">
        <f t="shared" si="48"/>
        <v>99</v>
      </c>
      <c r="K993" s="32"/>
      <c r="L993" s="32"/>
      <c r="M993" s="38">
        <f t="shared" si="46"/>
        <v>11.3</v>
      </c>
      <c r="N993" s="39">
        <f t="shared" si="47"/>
        <v>8.6984071020000009</v>
      </c>
      <c r="O993" s="26"/>
      <c r="P993" s="31" t="s">
        <v>19</v>
      </c>
    </row>
    <row r="994" spans="1:16" x14ac:dyDescent="0.25">
      <c r="A994" s="26">
        <v>993</v>
      </c>
      <c r="B994" s="26" t="s">
        <v>2072</v>
      </c>
      <c r="C994" s="26" t="s">
        <v>2073</v>
      </c>
      <c r="D994" s="28">
        <v>796</v>
      </c>
      <c r="E994" s="26" t="s">
        <v>18</v>
      </c>
      <c r="F994" s="26"/>
      <c r="G994" s="29">
        <v>9.8000000000000007</v>
      </c>
      <c r="H994" s="26">
        <v>92</v>
      </c>
      <c r="I994" s="26">
        <v>84</v>
      </c>
      <c r="J994" s="33">
        <f t="shared" si="48"/>
        <v>88</v>
      </c>
      <c r="K994" s="32"/>
      <c r="L994" s="32">
        <v>10</v>
      </c>
      <c r="M994" s="38">
        <f t="shared" si="46"/>
        <v>9.8000000000000007</v>
      </c>
      <c r="N994" s="39">
        <f t="shared" si="47"/>
        <v>5.9604948480000006</v>
      </c>
      <c r="O994" s="26" t="s">
        <v>21</v>
      </c>
      <c r="P994" s="31" t="s">
        <v>19</v>
      </c>
    </row>
    <row r="995" spans="1:16" x14ac:dyDescent="0.25">
      <c r="A995" s="26">
        <v>994</v>
      </c>
      <c r="B995" s="26" t="s">
        <v>2074</v>
      </c>
      <c r="C995" s="26" t="s">
        <v>2075</v>
      </c>
      <c r="D995" s="28" t="s">
        <v>2076</v>
      </c>
      <c r="E995" s="26" t="s">
        <v>18</v>
      </c>
      <c r="F995" s="26"/>
      <c r="G995" s="29">
        <v>5.2</v>
      </c>
      <c r="H995" s="26">
        <v>73</v>
      </c>
      <c r="I995" s="26">
        <v>72</v>
      </c>
      <c r="J995" s="33">
        <f t="shared" si="48"/>
        <v>72</v>
      </c>
      <c r="K995" s="32">
        <v>0.3</v>
      </c>
      <c r="L995" s="32"/>
      <c r="M995" s="38">
        <f t="shared" si="46"/>
        <v>4.9000000000000004</v>
      </c>
      <c r="N995" s="39">
        <f t="shared" si="47"/>
        <v>1.9950416640000004</v>
      </c>
      <c r="O995" s="26" t="s">
        <v>21</v>
      </c>
      <c r="P995" s="31" t="s">
        <v>19</v>
      </c>
    </row>
    <row r="996" spans="1:16" x14ac:dyDescent="0.25">
      <c r="A996" s="26">
        <v>995</v>
      </c>
      <c r="B996" s="26" t="s">
        <v>2077</v>
      </c>
      <c r="C996" s="26" t="s">
        <v>2078</v>
      </c>
      <c r="D996" s="28" t="s">
        <v>2079</v>
      </c>
      <c r="E996" s="26" t="s">
        <v>18</v>
      </c>
      <c r="F996" s="26"/>
      <c r="G996" s="29">
        <v>11.3</v>
      </c>
      <c r="H996" s="26">
        <v>86</v>
      </c>
      <c r="I996" s="26">
        <v>74</v>
      </c>
      <c r="J996" s="33">
        <f t="shared" si="48"/>
        <v>80</v>
      </c>
      <c r="K996" s="32"/>
      <c r="L996" s="32"/>
      <c r="M996" s="38">
        <f t="shared" si="46"/>
        <v>11.3</v>
      </c>
      <c r="N996" s="39">
        <f t="shared" si="47"/>
        <v>5.6800128000000001</v>
      </c>
      <c r="O996" s="26"/>
      <c r="P996" s="31" t="s">
        <v>19</v>
      </c>
    </row>
    <row r="997" spans="1:16" x14ac:dyDescent="0.25">
      <c r="A997" s="26">
        <v>996</v>
      </c>
      <c r="B997" s="26" t="s">
        <v>2080</v>
      </c>
      <c r="C997" s="26" t="s">
        <v>2081</v>
      </c>
      <c r="D997" s="28" t="s">
        <v>2082</v>
      </c>
      <c r="E997" s="26" t="s">
        <v>18</v>
      </c>
      <c r="F997" s="26"/>
      <c r="G997" s="29">
        <v>12.2</v>
      </c>
      <c r="H997" s="26">
        <v>108</v>
      </c>
      <c r="I997" s="26">
        <v>93</v>
      </c>
      <c r="J997" s="33">
        <f t="shared" si="48"/>
        <v>100</v>
      </c>
      <c r="K997" s="32">
        <v>0.3</v>
      </c>
      <c r="L997" s="32"/>
      <c r="M997" s="38">
        <f t="shared" si="46"/>
        <v>11.899999999999999</v>
      </c>
      <c r="N997" s="39">
        <f t="shared" si="47"/>
        <v>9.3462599999999991</v>
      </c>
      <c r="O997" s="26" t="s">
        <v>1007</v>
      </c>
      <c r="P997" s="31" t="s">
        <v>19</v>
      </c>
    </row>
    <row r="998" spans="1:16" x14ac:dyDescent="0.25">
      <c r="A998" s="26">
        <v>997</v>
      </c>
      <c r="B998" s="26" t="s">
        <v>2083</v>
      </c>
      <c r="C998" s="26" t="s">
        <v>2084</v>
      </c>
      <c r="D998" s="28" t="s">
        <v>2085</v>
      </c>
      <c r="E998" s="26" t="s">
        <v>18</v>
      </c>
      <c r="F998" s="26"/>
      <c r="G998" s="29">
        <v>5.5</v>
      </c>
      <c r="H998" s="26">
        <v>95</v>
      </c>
      <c r="I998" s="26">
        <v>90</v>
      </c>
      <c r="J998" s="33">
        <f t="shared" si="48"/>
        <v>92</v>
      </c>
      <c r="K998" s="32">
        <v>0.3</v>
      </c>
      <c r="L998" s="32"/>
      <c r="M998" s="38">
        <f t="shared" si="46"/>
        <v>5.2</v>
      </c>
      <c r="N998" s="39">
        <f t="shared" si="47"/>
        <v>3.4567653120000004</v>
      </c>
      <c r="O998" s="26" t="s">
        <v>1007</v>
      </c>
      <c r="P998" s="31" t="s">
        <v>30</v>
      </c>
    </row>
    <row r="999" spans="1:16" x14ac:dyDescent="0.25">
      <c r="A999" s="26">
        <v>998</v>
      </c>
      <c r="B999" s="26" t="s">
        <v>2086</v>
      </c>
      <c r="C999" s="26" t="s">
        <v>2087</v>
      </c>
      <c r="D999" s="28" t="s">
        <v>2088</v>
      </c>
      <c r="E999" s="26" t="s">
        <v>18</v>
      </c>
      <c r="F999" s="26"/>
      <c r="G999" s="29">
        <v>12.3</v>
      </c>
      <c r="H999" s="26">
        <v>89</v>
      </c>
      <c r="I999" s="26">
        <v>76</v>
      </c>
      <c r="J999" s="33">
        <f t="shared" si="48"/>
        <v>82</v>
      </c>
      <c r="K999" s="32"/>
      <c r="L999" s="32"/>
      <c r="M999" s="38">
        <f t="shared" si="46"/>
        <v>12.3</v>
      </c>
      <c r="N999" s="39">
        <f t="shared" si="47"/>
        <v>6.4956664080000008</v>
      </c>
      <c r="O999" s="26"/>
      <c r="P999" s="31" t="s">
        <v>19</v>
      </c>
    </row>
    <row r="1000" spans="1:16" x14ac:dyDescent="0.25">
      <c r="A1000" s="26">
        <v>999</v>
      </c>
      <c r="B1000" s="26" t="s">
        <v>2089</v>
      </c>
      <c r="C1000" s="26" t="s">
        <v>2090</v>
      </c>
      <c r="D1000" s="28" t="s">
        <v>2091</v>
      </c>
      <c r="E1000" s="26" t="s">
        <v>18</v>
      </c>
      <c r="F1000" s="26"/>
      <c r="G1000" s="29">
        <v>11.7</v>
      </c>
      <c r="H1000" s="26">
        <v>77</v>
      </c>
      <c r="I1000" s="26">
        <v>74</v>
      </c>
      <c r="J1000" s="33">
        <f t="shared" si="48"/>
        <v>75</v>
      </c>
      <c r="K1000" s="32">
        <v>0.3</v>
      </c>
      <c r="L1000" s="32"/>
      <c r="M1000" s="38">
        <f t="shared" si="46"/>
        <v>11.399999999999999</v>
      </c>
      <c r="N1000" s="39">
        <f t="shared" si="47"/>
        <v>5.0363774999999995</v>
      </c>
      <c r="O1000" s="26" t="s">
        <v>1007</v>
      </c>
      <c r="P1000" s="31" t="s">
        <v>19</v>
      </c>
    </row>
    <row r="1001" spans="1:16" x14ac:dyDescent="0.25">
      <c r="A1001" s="26">
        <v>1000</v>
      </c>
      <c r="B1001" s="26" t="s">
        <v>2092</v>
      </c>
      <c r="C1001" s="26" t="s">
        <v>2093</v>
      </c>
      <c r="D1001" s="28" t="s">
        <v>2094</v>
      </c>
      <c r="E1001" s="26" t="s">
        <v>18</v>
      </c>
      <c r="F1001" s="26"/>
      <c r="G1001" s="29">
        <v>11.8</v>
      </c>
      <c r="H1001" s="26">
        <v>110</v>
      </c>
      <c r="I1001" s="26">
        <v>86</v>
      </c>
      <c r="J1001" s="33">
        <f t="shared" si="48"/>
        <v>98</v>
      </c>
      <c r="K1001" s="32">
        <v>0.3</v>
      </c>
      <c r="L1001" s="32"/>
      <c r="M1001" s="38">
        <f t="shared" si="46"/>
        <v>11.5</v>
      </c>
      <c r="N1001" s="39">
        <f t="shared" si="47"/>
        <v>8.6744288400000009</v>
      </c>
      <c r="O1001" s="26" t="s">
        <v>1007</v>
      </c>
      <c r="P1001" s="31" t="s">
        <v>30</v>
      </c>
    </row>
    <row r="1002" spans="1:16" x14ac:dyDescent="0.25">
      <c r="A1002" s="26">
        <v>1001</v>
      </c>
      <c r="B1002" s="26" t="s">
        <v>2095</v>
      </c>
      <c r="C1002" s="26" t="s">
        <v>2096</v>
      </c>
      <c r="D1002" s="28" t="s">
        <v>2097</v>
      </c>
      <c r="E1002" s="26" t="s">
        <v>18</v>
      </c>
      <c r="F1002" s="26"/>
      <c r="G1002" s="29">
        <v>6.2</v>
      </c>
      <c r="H1002" s="26">
        <v>87</v>
      </c>
      <c r="I1002" s="26">
        <v>83</v>
      </c>
      <c r="J1002" s="33">
        <f t="shared" si="48"/>
        <v>85</v>
      </c>
      <c r="K1002" s="32"/>
      <c r="L1002" s="32"/>
      <c r="M1002" s="38">
        <f t="shared" si="46"/>
        <v>6.2</v>
      </c>
      <c r="N1002" s="39">
        <f t="shared" si="47"/>
        <v>3.5181993</v>
      </c>
      <c r="O1002" s="26"/>
      <c r="P1002" s="31" t="s">
        <v>19</v>
      </c>
    </row>
    <row r="1003" spans="1:16" x14ac:dyDescent="0.25">
      <c r="A1003" s="26">
        <v>1002</v>
      </c>
      <c r="B1003" s="26" t="s">
        <v>2098</v>
      </c>
      <c r="C1003" s="26" t="s">
        <v>2099</v>
      </c>
      <c r="D1003" s="28" t="s">
        <v>2100</v>
      </c>
      <c r="E1003" s="26" t="s">
        <v>18</v>
      </c>
      <c r="F1003" s="26"/>
      <c r="G1003" s="29">
        <v>13.1</v>
      </c>
      <c r="H1003" s="26">
        <v>82</v>
      </c>
      <c r="I1003" s="26">
        <v>74</v>
      </c>
      <c r="J1003" s="33">
        <f t="shared" si="48"/>
        <v>78</v>
      </c>
      <c r="K1003" s="32"/>
      <c r="L1003" s="32"/>
      <c r="M1003" s="38">
        <f t="shared" si="46"/>
        <v>13.1</v>
      </c>
      <c r="N1003" s="39">
        <f t="shared" si="47"/>
        <v>6.2596694159999995</v>
      </c>
      <c r="O1003" s="26"/>
      <c r="P1003" s="31" t="s">
        <v>19</v>
      </c>
    </row>
    <row r="1004" spans="1:16" x14ac:dyDescent="0.25">
      <c r="A1004" s="26">
        <v>1003</v>
      </c>
      <c r="B1004" s="26" t="s">
        <v>2101</v>
      </c>
      <c r="C1004" s="26" t="s">
        <v>2102</v>
      </c>
      <c r="D1004" s="28" t="s">
        <v>2103</v>
      </c>
      <c r="E1004" s="26" t="s">
        <v>18</v>
      </c>
      <c r="F1004" s="26"/>
      <c r="G1004" s="29">
        <v>7.6</v>
      </c>
      <c r="H1004" s="26">
        <v>74</v>
      </c>
      <c r="I1004" s="26">
        <v>71</v>
      </c>
      <c r="J1004" s="33">
        <f t="shared" si="48"/>
        <v>72</v>
      </c>
      <c r="K1004" s="32"/>
      <c r="L1004" s="32"/>
      <c r="M1004" s="38">
        <f t="shared" si="46"/>
        <v>7.6</v>
      </c>
      <c r="N1004" s="39">
        <f t="shared" si="47"/>
        <v>3.0943503360000002</v>
      </c>
      <c r="O1004" s="26"/>
      <c r="P1004" s="31" t="s">
        <v>30</v>
      </c>
    </row>
    <row r="1005" spans="1:16" x14ac:dyDescent="0.25">
      <c r="A1005" s="26">
        <v>1004</v>
      </c>
      <c r="B1005" s="26" t="s">
        <v>2104</v>
      </c>
      <c r="C1005" s="26" t="s">
        <v>2105</v>
      </c>
      <c r="D1005" s="28" t="s">
        <v>2106</v>
      </c>
      <c r="E1005" s="26" t="s">
        <v>18</v>
      </c>
      <c r="F1005" s="26"/>
      <c r="G1005" s="29">
        <v>9.6</v>
      </c>
      <c r="H1005" s="26">
        <v>91</v>
      </c>
      <c r="I1005" s="26">
        <v>89</v>
      </c>
      <c r="J1005" s="33">
        <f t="shared" si="48"/>
        <v>90</v>
      </c>
      <c r="K1005" s="32">
        <v>1.5</v>
      </c>
      <c r="L1005" s="32"/>
      <c r="M1005" s="38">
        <f t="shared" si="46"/>
        <v>8.1</v>
      </c>
      <c r="N1005" s="39">
        <f t="shared" si="47"/>
        <v>5.1530093999999993</v>
      </c>
      <c r="O1005" s="26" t="s">
        <v>53</v>
      </c>
      <c r="P1005" s="31" t="s">
        <v>19</v>
      </c>
    </row>
    <row r="1006" spans="1:16" x14ac:dyDescent="0.25">
      <c r="A1006" s="26">
        <v>1005</v>
      </c>
      <c r="B1006" s="26" t="s">
        <v>2107</v>
      </c>
      <c r="C1006" s="26" t="s">
        <v>2108</v>
      </c>
      <c r="D1006" s="28" t="s">
        <v>2109</v>
      </c>
      <c r="E1006" s="26" t="s">
        <v>18</v>
      </c>
      <c r="F1006" s="26"/>
      <c r="G1006" s="29">
        <v>6.3</v>
      </c>
      <c r="H1006" s="26">
        <v>90</v>
      </c>
      <c r="I1006" s="26">
        <v>88</v>
      </c>
      <c r="J1006" s="33">
        <f t="shared" si="48"/>
        <v>89</v>
      </c>
      <c r="K1006" s="32"/>
      <c r="L1006" s="32"/>
      <c r="M1006" s="38">
        <f t="shared" si="46"/>
        <v>6.3</v>
      </c>
      <c r="N1006" s="39">
        <f t="shared" si="47"/>
        <v>3.9193266419999993</v>
      </c>
      <c r="O1006" s="26"/>
      <c r="P1006" s="31" t="s">
        <v>19</v>
      </c>
    </row>
    <row r="1007" spans="1:16" x14ac:dyDescent="0.25">
      <c r="A1007" s="26">
        <v>1006</v>
      </c>
      <c r="B1007" s="26" t="s">
        <v>2110</v>
      </c>
      <c r="C1007" s="26" t="s">
        <v>2111</v>
      </c>
      <c r="D1007" s="28">
        <v>5150</v>
      </c>
      <c r="E1007" s="26" t="s">
        <v>18</v>
      </c>
      <c r="F1007" s="26"/>
      <c r="G1007" s="29">
        <v>12.4</v>
      </c>
      <c r="H1007" s="26">
        <v>105</v>
      </c>
      <c r="I1007" s="26">
        <v>84</v>
      </c>
      <c r="J1007" s="33">
        <f t="shared" si="48"/>
        <v>94</v>
      </c>
      <c r="K1007" s="32"/>
      <c r="L1007" s="32"/>
      <c r="M1007" s="38">
        <f t="shared" si="46"/>
        <v>12.4</v>
      </c>
      <c r="N1007" s="39">
        <f t="shared" si="47"/>
        <v>8.6053450560000009</v>
      </c>
      <c r="O1007" s="26"/>
      <c r="P1007" s="31" t="s">
        <v>19</v>
      </c>
    </row>
    <row r="1008" spans="1:16" x14ac:dyDescent="0.25">
      <c r="A1008" s="26">
        <v>1007</v>
      </c>
      <c r="B1008" s="26" t="s">
        <v>2112</v>
      </c>
      <c r="C1008" s="26" t="s">
        <v>2113</v>
      </c>
      <c r="D1008" s="28">
        <v>1484</v>
      </c>
      <c r="E1008" s="26" t="s">
        <v>18</v>
      </c>
      <c r="F1008" s="26"/>
      <c r="G1008" s="29">
        <v>6.5</v>
      </c>
      <c r="H1008" s="26">
        <v>84</v>
      </c>
      <c r="I1008" s="26">
        <v>79</v>
      </c>
      <c r="J1008" s="33">
        <f t="shared" si="48"/>
        <v>81</v>
      </c>
      <c r="K1008" s="32"/>
      <c r="L1008" s="32"/>
      <c r="M1008" s="38">
        <f t="shared" si="46"/>
        <v>6.5</v>
      </c>
      <c r="N1008" s="39">
        <f t="shared" si="47"/>
        <v>3.3494561099999998</v>
      </c>
      <c r="O1008" s="26"/>
      <c r="P1008" s="31" t="s">
        <v>19</v>
      </c>
    </row>
    <row r="1009" spans="1:16" x14ac:dyDescent="0.25">
      <c r="A1009" s="26">
        <v>1008</v>
      </c>
      <c r="B1009" s="26" t="s">
        <v>2114</v>
      </c>
      <c r="C1009" s="26" t="s">
        <v>2115</v>
      </c>
      <c r="D1009" s="28" t="s">
        <v>2116</v>
      </c>
      <c r="E1009" s="26" t="s">
        <v>18</v>
      </c>
      <c r="F1009" s="26"/>
      <c r="G1009" s="29">
        <v>9.1999999999999993</v>
      </c>
      <c r="H1009" s="26">
        <v>96</v>
      </c>
      <c r="I1009" s="26">
        <v>83</v>
      </c>
      <c r="J1009" s="33">
        <f t="shared" si="48"/>
        <v>89</v>
      </c>
      <c r="K1009" s="32">
        <v>0.5</v>
      </c>
      <c r="L1009" s="32"/>
      <c r="M1009" s="38">
        <f t="shared" si="46"/>
        <v>8.6999999999999993</v>
      </c>
      <c r="N1009" s="39">
        <f t="shared" si="47"/>
        <v>5.412403458</v>
      </c>
      <c r="O1009" s="26" t="s">
        <v>1007</v>
      </c>
      <c r="P1009" s="31" t="s">
        <v>19</v>
      </c>
    </row>
    <row r="1010" spans="1:16" x14ac:dyDescent="0.25">
      <c r="A1010" s="26">
        <v>1009</v>
      </c>
      <c r="B1010" s="26" t="s">
        <v>2117</v>
      </c>
      <c r="C1010" s="26" t="s">
        <v>2118</v>
      </c>
      <c r="D1010" s="28" t="s">
        <v>2119</v>
      </c>
      <c r="E1010" s="26" t="s">
        <v>18</v>
      </c>
      <c r="F1010" s="26"/>
      <c r="G1010" s="29">
        <v>13.5</v>
      </c>
      <c r="H1010" s="26">
        <v>84</v>
      </c>
      <c r="I1010" s="26">
        <v>81</v>
      </c>
      <c r="J1010" s="33">
        <f t="shared" si="48"/>
        <v>82</v>
      </c>
      <c r="K1010" s="32"/>
      <c r="L1010" s="32"/>
      <c r="M1010" s="38">
        <f t="shared" si="46"/>
        <v>13.5</v>
      </c>
      <c r="N1010" s="39">
        <f t="shared" si="47"/>
        <v>7.1293899600000001</v>
      </c>
      <c r="O1010" s="26"/>
      <c r="P1010" s="31" t="s">
        <v>19</v>
      </c>
    </row>
    <row r="1011" spans="1:16" x14ac:dyDescent="0.25">
      <c r="A1011" s="26">
        <v>1010</v>
      </c>
      <c r="B1011" s="26" t="s">
        <v>2120</v>
      </c>
      <c r="C1011" s="26" t="s">
        <v>2121</v>
      </c>
      <c r="D1011" s="28" t="s">
        <v>2122</v>
      </c>
      <c r="E1011" s="26" t="s">
        <v>18</v>
      </c>
      <c r="F1011" s="26"/>
      <c r="G1011" s="29">
        <v>13.3</v>
      </c>
      <c r="H1011" s="26">
        <v>82</v>
      </c>
      <c r="I1011" s="26">
        <v>77</v>
      </c>
      <c r="J1011" s="33">
        <f t="shared" si="48"/>
        <v>79</v>
      </c>
      <c r="K1011" s="32"/>
      <c r="L1011" s="32"/>
      <c r="M1011" s="38">
        <f t="shared" si="46"/>
        <v>13.3</v>
      </c>
      <c r="N1011" s="39">
        <f t="shared" si="47"/>
        <v>6.5192362619999997</v>
      </c>
      <c r="O1011" s="26"/>
      <c r="P1011" s="31" t="s">
        <v>19</v>
      </c>
    </row>
    <row r="1012" spans="1:16" x14ac:dyDescent="0.25">
      <c r="A1012" s="26">
        <v>1011</v>
      </c>
      <c r="B1012" s="26" t="s">
        <v>2123</v>
      </c>
      <c r="C1012" s="26" t="s">
        <v>2124</v>
      </c>
      <c r="D1012" s="28" t="s">
        <v>2125</v>
      </c>
      <c r="E1012" s="26" t="s">
        <v>18</v>
      </c>
      <c r="F1012" s="26"/>
      <c r="G1012" s="29">
        <v>11.8</v>
      </c>
      <c r="H1012" s="26">
        <v>89</v>
      </c>
      <c r="I1012" s="26">
        <v>79</v>
      </c>
      <c r="J1012" s="33">
        <f t="shared" si="48"/>
        <v>84</v>
      </c>
      <c r="K1012" s="32">
        <v>0.3</v>
      </c>
      <c r="L1012" s="32"/>
      <c r="M1012" s="38">
        <f t="shared" si="46"/>
        <v>11.5</v>
      </c>
      <c r="N1012" s="39">
        <f t="shared" si="47"/>
        <v>6.3730497600000007</v>
      </c>
      <c r="O1012" s="26" t="s">
        <v>21</v>
      </c>
      <c r="P1012" s="31" t="s">
        <v>19</v>
      </c>
    </row>
    <row r="1013" spans="1:16" x14ac:dyDescent="0.25">
      <c r="A1013" s="26">
        <v>1012</v>
      </c>
      <c r="B1013" s="26" t="s">
        <v>2126</v>
      </c>
      <c r="C1013" s="26" t="s">
        <v>2127</v>
      </c>
      <c r="D1013" s="28">
        <v>4881</v>
      </c>
      <c r="E1013" s="26" t="s">
        <v>18</v>
      </c>
      <c r="F1013" s="26"/>
      <c r="G1013" s="29">
        <v>11.7</v>
      </c>
      <c r="H1013" s="26">
        <v>100</v>
      </c>
      <c r="I1013" s="26">
        <v>92</v>
      </c>
      <c r="J1013" s="33">
        <f t="shared" si="48"/>
        <v>96</v>
      </c>
      <c r="K1013" s="32"/>
      <c r="L1013" s="32"/>
      <c r="M1013" s="38">
        <f t="shared" si="46"/>
        <v>11.7</v>
      </c>
      <c r="N1013" s="39">
        <f t="shared" si="47"/>
        <v>8.4687482880000005</v>
      </c>
      <c r="O1013" s="26"/>
      <c r="P1013" s="31" t="s">
        <v>30</v>
      </c>
    </row>
    <row r="1014" spans="1:16" x14ac:dyDescent="0.25">
      <c r="A1014" s="26">
        <v>1013</v>
      </c>
      <c r="B1014" s="26" t="s">
        <v>2128</v>
      </c>
      <c r="C1014" s="26" t="s">
        <v>2129</v>
      </c>
      <c r="D1014" s="28">
        <v>1486</v>
      </c>
      <c r="E1014" s="26" t="s">
        <v>18</v>
      </c>
      <c r="F1014" s="26"/>
      <c r="G1014" s="29">
        <v>5.6</v>
      </c>
      <c r="H1014" s="26">
        <v>83</v>
      </c>
      <c r="I1014" s="26">
        <v>75</v>
      </c>
      <c r="J1014" s="33">
        <f t="shared" si="48"/>
        <v>79</v>
      </c>
      <c r="K1014" s="32">
        <v>0.3</v>
      </c>
      <c r="L1014" s="32"/>
      <c r="M1014" s="38">
        <f t="shared" si="46"/>
        <v>5.3</v>
      </c>
      <c r="N1014" s="39">
        <f t="shared" si="47"/>
        <v>2.5978911419999995</v>
      </c>
      <c r="O1014" s="26" t="s">
        <v>21</v>
      </c>
      <c r="P1014" s="31" t="s">
        <v>19</v>
      </c>
    </row>
    <row r="1015" spans="1:16" x14ac:dyDescent="0.25">
      <c r="A1015" s="26">
        <v>1014</v>
      </c>
      <c r="B1015" s="26" t="s">
        <v>2130</v>
      </c>
      <c r="C1015" s="26" t="s">
        <v>2131</v>
      </c>
      <c r="D1015" s="28" t="s">
        <v>2132</v>
      </c>
      <c r="E1015" s="26" t="s">
        <v>18</v>
      </c>
      <c r="F1015" s="26"/>
      <c r="G1015" s="29">
        <v>9.1999999999999993</v>
      </c>
      <c r="H1015" s="26">
        <v>81</v>
      </c>
      <c r="I1015" s="26">
        <v>80</v>
      </c>
      <c r="J1015" s="33">
        <f t="shared" si="48"/>
        <v>80</v>
      </c>
      <c r="K1015" s="32"/>
      <c r="L1015" s="32"/>
      <c r="M1015" s="38">
        <f t="shared" si="46"/>
        <v>9.1999999999999993</v>
      </c>
      <c r="N1015" s="39">
        <f t="shared" si="47"/>
        <v>4.6244351999999989</v>
      </c>
      <c r="O1015" s="26"/>
      <c r="P1015" s="31" t="s">
        <v>19</v>
      </c>
    </row>
    <row r="1016" spans="1:16" x14ac:dyDescent="0.25">
      <c r="A1016" s="26">
        <v>1015</v>
      </c>
      <c r="B1016" s="26" t="s">
        <v>2133</v>
      </c>
      <c r="C1016" s="26" t="s">
        <v>2134</v>
      </c>
      <c r="D1016" s="28" t="s">
        <v>2135</v>
      </c>
      <c r="E1016" s="26" t="s">
        <v>18</v>
      </c>
      <c r="F1016" s="26"/>
      <c r="G1016" s="29">
        <v>11.1</v>
      </c>
      <c r="H1016" s="26">
        <v>93</v>
      </c>
      <c r="I1016" s="26">
        <v>78</v>
      </c>
      <c r="J1016" s="33">
        <f t="shared" si="48"/>
        <v>85</v>
      </c>
      <c r="K1016" s="32"/>
      <c r="L1016" s="32"/>
      <c r="M1016" s="38">
        <f t="shared" si="46"/>
        <v>11.1</v>
      </c>
      <c r="N1016" s="39">
        <f t="shared" si="47"/>
        <v>6.2987116499999996</v>
      </c>
      <c r="O1016" s="26"/>
      <c r="P1016" s="31" t="s">
        <v>30</v>
      </c>
    </row>
    <row r="1017" spans="1:16" x14ac:dyDescent="0.25">
      <c r="A1017" s="26">
        <v>1016</v>
      </c>
      <c r="B1017" s="26" t="s">
        <v>2136</v>
      </c>
      <c r="C1017" s="26" t="s">
        <v>2137</v>
      </c>
      <c r="D1017" s="28" t="s">
        <v>2138</v>
      </c>
      <c r="E1017" s="26" t="s">
        <v>18</v>
      </c>
      <c r="F1017" s="26"/>
      <c r="G1017" s="29">
        <v>8.3000000000000007</v>
      </c>
      <c r="H1017" s="26">
        <v>76</v>
      </c>
      <c r="I1017" s="26">
        <v>75</v>
      </c>
      <c r="J1017" s="33">
        <f t="shared" si="48"/>
        <v>75</v>
      </c>
      <c r="K1017" s="32"/>
      <c r="L1017" s="32"/>
      <c r="M1017" s="38">
        <f t="shared" si="46"/>
        <v>8.3000000000000007</v>
      </c>
      <c r="N1017" s="39">
        <f t="shared" si="47"/>
        <v>3.6668362500000002</v>
      </c>
      <c r="O1017" s="26"/>
      <c r="P1017" s="31" t="s">
        <v>19</v>
      </c>
    </row>
    <row r="1018" spans="1:16" x14ac:dyDescent="0.25">
      <c r="A1018" s="26">
        <v>1017</v>
      </c>
      <c r="B1018" s="26" t="s">
        <v>2139</v>
      </c>
      <c r="C1018" s="26" t="s">
        <v>2140</v>
      </c>
      <c r="D1018" s="28" t="s">
        <v>2141</v>
      </c>
      <c r="E1018" s="26" t="s">
        <v>18</v>
      </c>
      <c r="F1018" s="26"/>
      <c r="G1018" s="29">
        <v>12</v>
      </c>
      <c r="H1018" s="26">
        <v>93</v>
      </c>
      <c r="I1018" s="26">
        <v>81</v>
      </c>
      <c r="J1018" s="33">
        <f t="shared" si="48"/>
        <v>87</v>
      </c>
      <c r="K1018" s="32"/>
      <c r="L1018" s="32"/>
      <c r="M1018" s="38">
        <f t="shared" si="46"/>
        <v>12</v>
      </c>
      <c r="N1018" s="39">
        <f t="shared" si="47"/>
        <v>7.1336311199999995</v>
      </c>
      <c r="O1018" s="26"/>
      <c r="P1018" s="31" t="s">
        <v>19</v>
      </c>
    </row>
    <row r="1019" spans="1:16" x14ac:dyDescent="0.25">
      <c r="A1019" s="26">
        <v>1018</v>
      </c>
      <c r="B1019" s="26" t="s">
        <v>2142</v>
      </c>
      <c r="C1019" s="26" t="s">
        <v>2143</v>
      </c>
      <c r="D1019" s="28" t="s">
        <v>2144</v>
      </c>
      <c r="E1019" s="26" t="s">
        <v>18</v>
      </c>
      <c r="F1019" s="26"/>
      <c r="G1019" s="29">
        <v>11.9</v>
      </c>
      <c r="H1019" s="26">
        <v>83</v>
      </c>
      <c r="I1019" s="26">
        <v>71</v>
      </c>
      <c r="J1019" s="33">
        <f t="shared" si="48"/>
        <v>77</v>
      </c>
      <c r="K1019" s="32"/>
      <c r="L1019" s="32"/>
      <c r="M1019" s="38">
        <f t="shared" si="46"/>
        <v>11.9</v>
      </c>
      <c r="N1019" s="39">
        <f t="shared" si="47"/>
        <v>5.5413975540000004</v>
      </c>
      <c r="O1019" s="26"/>
      <c r="P1019" s="31" t="s">
        <v>30</v>
      </c>
    </row>
    <row r="1020" spans="1:16" x14ac:dyDescent="0.25">
      <c r="A1020" s="26">
        <v>1019</v>
      </c>
      <c r="B1020" s="26" t="s">
        <v>2145</v>
      </c>
      <c r="C1020" s="26" t="s">
        <v>2146</v>
      </c>
      <c r="D1020" s="28" t="s">
        <v>2147</v>
      </c>
      <c r="E1020" s="26" t="s">
        <v>18</v>
      </c>
      <c r="F1020" s="26"/>
      <c r="G1020" s="29">
        <v>12.5</v>
      </c>
      <c r="H1020" s="26">
        <v>98</v>
      </c>
      <c r="I1020" s="26">
        <v>94</v>
      </c>
      <c r="J1020" s="33">
        <f t="shared" si="48"/>
        <v>96</v>
      </c>
      <c r="K1020" s="32"/>
      <c r="L1020" s="32"/>
      <c r="M1020" s="38">
        <f t="shared" si="46"/>
        <v>12.5</v>
      </c>
      <c r="N1020" s="39">
        <f t="shared" si="47"/>
        <v>9.0478079999999999</v>
      </c>
      <c r="O1020" s="26"/>
      <c r="P1020" s="31" t="s">
        <v>19</v>
      </c>
    </row>
    <row r="1021" spans="1:16" x14ac:dyDescent="0.25">
      <c r="A1021" s="26">
        <v>1020</v>
      </c>
      <c r="B1021" s="26" t="s">
        <v>2148</v>
      </c>
      <c r="C1021" s="26" t="s">
        <v>2149</v>
      </c>
      <c r="D1021" s="28">
        <v>4884</v>
      </c>
      <c r="E1021" s="26" t="s">
        <v>18</v>
      </c>
      <c r="F1021" s="26"/>
      <c r="G1021" s="29">
        <v>12.1</v>
      </c>
      <c r="H1021" s="26">
        <v>74</v>
      </c>
      <c r="I1021" s="26">
        <v>68</v>
      </c>
      <c r="J1021" s="33">
        <f t="shared" si="48"/>
        <v>71</v>
      </c>
      <c r="K1021" s="32"/>
      <c r="L1021" s="32"/>
      <c r="M1021" s="38">
        <f t="shared" si="46"/>
        <v>12.1</v>
      </c>
      <c r="N1021" s="39">
        <f t="shared" si="47"/>
        <v>4.7906336940000003</v>
      </c>
      <c r="O1021" s="26"/>
      <c r="P1021" s="31" t="s">
        <v>19</v>
      </c>
    </row>
    <row r="1022" spans="1:16" x14ac:dyDescent="0.25">
      <c r="A1022" s="26">
        <v>1021</v>
      </c>
      <c r="B1022" s="26" t="s">
        <v>2150</v>
      </c>
      <c r="C1022" s="26" t="s">
        <v>2151</v>
      </c>
      <c r="D1022" s="28" t="s">
        <v>2152</v>
      </c>
      <c r="E1022" s="26" t="s">
        <v>18</v>
      </c>
      <c r="F1022" s="26"/>
      <c r="G1022" s="29">
        <v>11.1</v>
      </c>
      <c r="H1022" s="26">
        <v>108</v>
      </c>
      <c r="I1022" s="26">
        <v>85</v>
      </c>
      <c r="J1022" s="33">
        <f t="shared" si="48"/>
        <v>96</v>
      </c>
      <c r="K1022" s="32">
        <v>0.5</v>
      </c>
      <c r="L1022" s="32"/>
      <c r="M1022" s="38">
        <f t="shared" si="46"/>
        <v>10.6</v>
      </c>
      <c r="N1022" s="39">
        <f t="shared" si="47"/>
        <v>7.6725411839999982</v>
      </c>
      <c r="O1022" s="26" t="s">
        <v>35</v>
      </c>
      <c r="P1022" s="31" t="s">
        <v>19</v>
      </c>
    </row>
    <row r="1023" spans="1:16" x14ac:dyDescent="0.25">
      <c r="A1023" s="26">
        <v>1022</v>
      </c>
      <c r="B1023" s="26" t="s">
        <v>2153</v>
      </c>
      <c r="C1023" s="26" t="s">
        <v>2154</v>
      </c>
      <c r="D1023" s="28" t="s">
        <v>2155</v>
      </c>
      <c r="E1023" s="26" t="s">
        <v>18</v>
      </c>
      <c r="F1023" s="26"/>
      <c r="G1023" s="29">
        <v>11.3</v>
      </c>
      <c r="H1023" s="26">
        <v>85</v>
      </c>
      <c r="I1023" s="26">
        <v>83</v>
      </c>
      <c r="J1023" s="33">
        <f t="shared" si="48"/>
        <v>84</v>
      </c>
      <c r="K1023" s="32"/>
      <c r="L1023" s="32"/>
      <c r="M1023" s="38">
        <f t="shared" si="46"/>
        <v>11.3</v>
      </c>
      <c r="N1023" s="39">
        <f t="shared" si="47"/>
        <v>6.2622141119999997</v>
      </c>
      <c r="O1023" s="26"/>
      <c r="P1023" s="31" t="s">
        <v>19</v>
      </c>
    </row>
    <row r="1024" spans="1:16" x14ac:dyDescent="0.25">
      <c r="A1024" s="26">
        <v>1023</v>
      </c>
      <c r="B1024" s="26" t="s">
        <v>2156</v>
      </c>
      <c r="C1024" s="26" t="s">
        <v>2157</v>
      </c>
      <c r="D1024" s="28" t="s">
        <v>2158</v>
      </c>
      <c r="E1024" s="26" t="s">
        <v>18</v>
      </c>
      <c r="F1024" s="26"/>
      <c r="G1024" s="29">
        <v>8.6</v>
      </c>
      <c r="H1024" s="26">
        <v>99</v>
      </c>
      <c r="I1024" s="26">
        <v>87</v>
      </c>
      <c r="J1024" s="33">
        <f t="shared" si="48"/>
        <v>93</v>
      </c>
      <c r="K1024" s="32"/>
      <c r="L1024" s="32"/>
      <c r="M1024" s="38">
        <f t="shared" si="46"/>
        <v>8.6</v>
      </c>
      <c r="N1024" s="39">
        <f t="shared" si="47"/>
        <v>5.8419151559999989</v>
      </c>
      <c r="O1024" s="26"/>
      <c r="P1024" s="31" t="s">
        <v>19</v>
      </c>
    </row>
    <row r="1025" spans="1:16" x14ac:dyDescent="0.25">
      <c r="A1025" s="26">
        <v>1024</v>
      </c>
      <c r="B1025" s="26" t="s">
        <v>2159</v>
      </c>
      <c r="C1025" s="26" t="s">
        <v>2160</v>
      </c>
      <c r="D1025" s="28">
        <v>1491</v>
      </c>
      <c r="E1025" s="26" t="s">
        <v>18</v>
      </c>
      <c r="F1025" s="26"/>
      <c r="G1025" s="29">
        <v>6.1</v>
      </c>
      <c r="H1025" s="26">
        <v>87</v>
      </c>
      <c r="I1025" s="26">
        <v>75</v>
      </c>
      <c r="J1025" s="33">
        <f t="shared" si="48"/>
        <v>81</v>
      </c>
      <c r="K1025" s="32"/>
      <c r="L1025" s="32"/>
      <c r="M1025" s="38">
        <f t="shared" si="46"/>
        <v>6.1</v>
      </c>
      <c r="N1025" s="39">
        <f t="shared" si="47"/>
        <v>3.1433357339999999</v>
      </c>
      <c r="O1025" s="26"/>
      <c r="P1025" s="31" t="s">
        <v>19</v>
      </c>
    </row>
    <row r="1026" spans="1:16" x14ac:dyDescent="0.25">
      <c r="A1026" s="26">
        <v>1025</v>
      </c>
      <c r="B1026" s="26" t="s">
        <v>2161</v>
      </c>
      <c r="C1026" s="26" t="s">
        <v>2162</v>
      </c>
      <c r="D1026" s="28" t="s">
        <v>2163</v>
      </c>
      <c r="E1026" s="26" t="s">
        <v>18</v>
      </c>
      <c r="F1026" s="26"/>
      <c r="G1026" s="29">
        <v>9.8000000000000007</v>
      </c>
      <c r="H1026" s="26">
        <v>80</v>
      </c>
      <c r="I1026" s="26">
        <v>72</v>
      </c>
      <c r="J1026" s="33">
        <f t="shared" si="48"/>
        <v>76</v>
      </c>
      <c r="K1026" s="32">
        <v>0.5</v>
      </c>
      <c r="L1026" s="32"/>
      <c r="M1026" s="38">
        <f t="shared" ref="M1026:M1089" si="49">G1026-K1026</f>
        <v>9.3000000000000007</v>
      </c>
      <c r="N1026" s="39">
        <f t="shared" ref="N1026:N1089" si="50">J1026*J1026*M1026*0.7854/10000</f>
        <v>4.2189174720000002</v>
      </c>
      <c r="O1026" s="26" t="s">
        <v>53</v>
      </c>
      <c r="P1026" s="31" t="s">
        <v>19</v>
      </c>
    </row>
    <row r="1027" spans="1:16" x14ac:dyDescent="0.25">
      <c r="A1027" s="26">
        <v>1026</v>
      </c>
      <c r="B1027" s="26" t="s">
        <v>2164</v>
      </c>
      <c r="C1027" s="26" t="s">
        <v>2165</v>
      </c>
      <c r="D1027" s="28">
        <v>1492</v>
      </c>
      <c r="E1027" s="26" t="s">
        <v>18</v>
      </c>
      <c r="F1027" s="26"/>
      <c r="G1027" s="29">
        <v>6.2</v>
      </c>
      <c r="H1027" s="26">
        <v>72</v>
      </c>
      <c r="I1027" s="26">
        <v>67</v>
      </c>
      <c r="J1027" s="33">
        <f t="shared" si="48"/>
        <v>69</v>
      </c>
      <c r="K1027" s="32"/>
      <c r="L1027" s="32"/>
      <c r="M1027" s="38">
        <f t="shared" si="49"/>
        <v>6.2</v>
      </c>
      <c r="N1027" s="39">
        <f t="shared" si="50"/>
        <v>2.3183594279999999</v>
      </c>
      <c r="O1027" s="26"/>
      <c r="P1027" s="31" t="s">
        <v>19</v>
      </c>
    </row>
    <row r="1028" spans="1:16" x14ac:dyDescent="0.25">
      <c r="A1028" s="26">
        <v>1027</v>
      </c>
      <c r="B1028" s="26" t="s">
        <v>2166</v>
      </c>
      <c r="C1028" s="26" t="s">
        <v>2167</v>
      </c>
      <c r="D1028" s="28" t="s">
        <v>2168</v>
      </c>
      <c r="E1028" s="26" t="s">
        <v>18</v>
      </c>
      <c r="F1028" s="26"/>
      <c r="G1028" s="29">
        <v>10.199999999999999</v>
      </c>
      <c r="H1028" s="26">
        <v>83</v>
      </c>
      <c r="I1028" s="26">
        <v>70</v>
      </c>
      <c r="J1028" s="33">
        <f t="shared" si="48"/>
        <v>76</v>
      </c>
      <c r="K1028" s="32"/>
      <c r="L1028" s="32"/>
      <c r="M1028" s="38">
        <f t="shared" si="49"/>
        <v>10.199999999999999</v>
      </c>
      <c r="N1028" s="39">
        <f t="shared" si="50"/>
        <v>4.6271998079999994</v>
      </c>
      <c r="O1028" s="26"/>
      <c r="P1028" s="31" t="s">
        <v>30</v>
      </c>
    </row>
    <row r="1029" spans="1:16" x14ac:dyDescent="0.25">
      <c r="A1029" s="26">
        <v>1028</v>
      </c>
      <c r="B1029" s="26" t="s">
        <v>2169</v>
      </c>
      <c r="C1029" s="26" t="s">
        <v>2170</v>
      </c>
      <c r="D1029" s="28">
        <v>4886</v>
      </c>
      <c r="E1029" s="26" t="s">
        <v>18</v>
      </c>
      <c r="F1029" s="26"/>
      <c r="G1029" s="29">
        <v>6.6</v>
      </c>
      <c r="H1029" s="26">
        <v>70</v>
      </c>
      <c r="I1029" s="26">
        <v>69</v>
      </c>
      <c r="J1029" s="33">
        <f t="shared" si="48"/>
        <v>69</v>
      </c>
      <c r="K1029" s="32"/>
      <c r="L1029" s="32"/>
      <c r="M1029" s="38">
        <f t="shared" si="49"/>
        <v>6.6</v>
      </c>
      <c r="N1029" s="39">
        <f t="shared" si="50"/>
        <v>2.4679310039999995</v>
      </c>
      <c r="O1029" s="26"/>
      <c r="P1029" s="31" t="s">
        <v>19</v>
      </c>
    </row>
    <row r="1030" spans="1:16" x14ac:dyDescent="0.25">
      <c r="A1030" s="26">
        <v>1029</v>
      </c>
      <c r="B1030" s="26" t="s">
        <v>2171</v>
      </c>
      <c r="C1030" s="26" t="s">
        <v>2172</v>
      </c>
      <c r="D1030" s="28" t="s">
        <v>2173</v>
      </c>
      <c r="E1030" s="26" t="s">
        <v>18</v>
      </c>
      <c r="F1030" s="26"/>
      <c r="G1030" s="29">
        <v>11.2</v>
      </c>
      <c r="H1030" s="26">
        <v>96</v>
      </c>
      <c r="I1030" s="26">
        <v>77</v>
      </c>
      <c r="J1030" s="33">
        <f t="shared" si="48"/>
        <v>86</v>
      </c>
      <c r="K1030" s="32">
        <v>0.5</v>
      </c>
      <c r="L1030" s="32"/>
      <c r="M1030" s="38">
        <f t="shared" si="49"/>
        <v>10.7</v>
      </c>
      <c r="N1030" s="39">
        <f t="shared" si="50"/>
        <v>6.2154356880000003</v>
      </c>
      <c r="O1030" s="26" t="s">
        <v>53</v>
      </c>
      <c r="P1030" s="31" t="s">
        <v>19</v>
      </c>
    </row>
    <row r="1031" spans="1:16" x14ac:dyDescent="0.25">
      <c r="A1031" s="26">
        <v>1030</v>
      </c>
      <c r="B1031" s="26" t="s">
        <v>2174</v>
      </c>
      <c r="C1031" s="26" t="s">
        <v>2175</v>
      </c>
      <c r="D1031" s="28" t="s">
        <v>2176</v>
      </c>
      <c r="E1031" s="26" t="s">
        <v>18</v>
      </c>
      <c r="F1031" s="26"/>
      <c r="G1031" s="29">
        <v>11.1</v>
      </c>
      <c r="H1031" s="26">
        <v>113</v>
      </c>
      <c r="I1031" s="26">
        <v>105</v>
      </c>
      <c r="J1031" s="33">
        <f t="shared" si="48"/>
        <v>109</v>
      </c>
      <c r="K1031" s="32"/>
      <c r="L1031" s="32"/>
      <c r="M1031" s="38">
        <f t="shared" si="49"/>
        <v>11.1</v>
      </c>
      <c r="N1031" s="39">
        <f t="shared" si="50"/>
        <v>10.357784514</v>
      </c>
      <c r="O1031" s="26"/>
      <c r="P1031" s="31" t="s">
        <v>30</v>
      </c>
    </row>
    <row r="1032" spans="1:16" x14ac:dyDescent="0.25">
      <c r="A1032" s="26">
        <v>1031</v>
      </c>
      <c r="B1032" s="26" t="s">
        <v>2177</v>
      </c>
      <c r="C1032" s="26" t="s">
        <v>2178</v>
      </c>
      <c r="D1032" s="28" t="s">
        <v>2179</v>
      </c>
      <c r="E1032" s="26" t="s">
        <v>18</v>
      </c>
      <c r="F1032" s="26"/>
      <c r="G1032" s="29">
        <v>8.4</v>
      </c>
      <c r="H1032" s="26">
        <v>111</v>
      </c>
      <c r="I1032" s="26">
        <v>103</v>
      </c>
      <c r="J1032" s="33">
        <f t="shared" si="48"/>
        <v>107</v>
      </c>
      <c r="K1032" s="32">
        <v>0.3</v>
      </c>
      <c r="L1032" s="32"/>
      <c r="M1032" s="38">
        <f t="shared" si="49"/>
        <v>8.1</v>
      </c>
      <c r="N1032" s="39">
        <f t="shared" si="50"/>
        <v>7.2835561259999988</v>
      </c>
      <c r="O1032" s="26" t="s">
        <v>1007</v>
      </c>
      <c r="P1032" s="31" t="s">
        <v>19</v>
      </c>
    </row>
    <row r="1033" spans="1:16" x14ac:dyDescent="0.25">
      <c r="A1033" s="26">
        <v>1032</v>
      </c>
      <c r="B1033" s="26" t="s">
        <v>2180</v>
      </c>
      <c r="C1033" s="26" t="s">
        <v>2181</v>
      </c>
      <c r="D1033" s="28" t="s">
        <v>2182</v>
      </c>
      <c r="E1033" s="26" t="s">
        <v>18</v>
      </c>
      <c r="F1033" s="26"/>
      <c r="G1033" s="29">
        <v>12.1</v>
      </c>
      <c r="H1033" s="26">
        <v>102</v>
      </c>
      <c r="I1033" s="26">
        <v>95</v>
      </c>
      <c r="J1033" s="33">
        <f t="shared" si="48"/>
        <v>98</v>
      </c>
      <c r="K1033" s="32"/>
      <c r="L1033" s="32"/>
      <c r="M1033" s="38">
        <f t="shared" si="49"/>
        <v>12.1</v>
      </c>
      <c r="N1033" s="39">
        <f t="shared" si="50"/>
        <v>9.1270077359999995</v>
      </c>
      <c r="O1033" s="26"/>
      <c r="P1033" s="31" t="s">
        <v>19</v>
      </c>
    </row>
    <row r="1034" spans="1:16" x14ac:dyDescent="0.25">
      <c r="A1034" s="26">
        <v>1033</v>
      </c>
      <c r="B1034" s="26" t="s">
        <v>2183</v>
      </c>
      <c r="C1034" s="26" t="s">
        <v>2184</v>
      </c>
      <c r="D1034" s="28" t="s">
        <v>2185</v>
      </c>
      <c r="E1034" s="26" t="s">
        <v>18</v>
      </c>
      <c r="F1034" s="26"/>
      <c r="G1034" s="29">
        <v>9.1999999999999993</v>
      </c>
      <c r="H1034" s="26">
        <v>97</v>
      </c>
      <c r="I1034" s="26">
        <v>94</v>
      </c>
      <c r="J1034" s="33">
        <f t="shared" si="48"/>
        <v>95</v>
      </c>
      <c r="K1034" s="32">
        <v>1.5</v>
      </c>
      <c r="L1034" s="32"/>
      <c r="M1034" s="38">
        <f t="shared" si="49"/>
        <v>7.6999999999999993</v>
      </c>
      <c r="N1034" s="39">
        <f t="shared" si="50"/>
        <v>5.4579409500000002</v>
      </c>
      <c r="O1034" s="26" t="s">
        <v>53</v>
      </c>
      <c r="P1034" s="31" t="s">
        <v>30</v>
      </c>
    </row>
    <row r="1035" spans="1:16" x14ac:dyDescent="0.25">
      <c r="A1035" s="26">
        <v>1034</v>
      </c>
      <c r="B1035" s="26" t="s">
        <v>2186</v>
      </c>
      <c r="C1035" s="26" t="s">
        <v>2187</v>
      </c>
      <c r="D1035" s="28" t="s">
        <v>2188</v>
      </c>
      <c r="E1035" s="26" t="s">
        <v>18</v>
      </c>
      <c r="F1035" s="26"/>
      <c r="G1035" s="29">
        <v>9.9</v>
      </c>
      <c r="H1035" s="26">
        <v>103</v>
      </c>
      <c r="I1035" s="26">
        <v>94</v>
      </c>
      <c r="J1035" s="33">
        <f t="shared" si="48"/>
        <v>98</v>
      </c>
      <c r="K1035" s="32">
        <v>1.5</v>
      </c>
      <c r="L1035" s="32"/>
      <c r="M1035" s="38">
        <f t="shared" si="49"/>
        <v>8.4</v>
      </c>
      <c r="N1035" s="39">
        <f t="shared" si="50"/>
        <v>6.3361045440000003</v>
      </c>
      <c r="O1035" s="26" t="s">
        <v>53</v>
      </c>
      <c r="P1035" s="31" t="s">
        <v>19</v>
      </c>
    </row>
    <row r="1036" spans="1:16" x14ac:dyDescent="0.25">
      <c r="A1036" s="26">
        <v>1035</v>
      </c>
      <c r="B1036" s="26" t="s">
        <v>2189</v>
      </c>
      <c r="C1036" s="26" t="s">
        <v>2190</v>
      </c>
      <c r="D1036" s="28" t="s">
        <v>2191</v>
      </c>
      <c r="E1036" s="26" t="s">
        <v>18</v>
      </c>
      <c r="F1036" s="26"/>
      <c r="G1036" s="29">
        <v>11.1</v>
      </c>
      <c r="H1036" s="26">
        <v>85</v>
      </c>
      <c r="I1036" s="26">
        <v>73</v>
      </c>
      <c r="J1036" s="33">
        <f t="shared" si="48"/>
        <v>79</v>
      </c>
      <c r="K1036" s="32"/>
      <c r="L1036" s="32"/>
      <c r="M1036" s="38">
        <f t="shared" si="49"/>
        <v>11.1</v>
      </c>
      <c r="N1036" s="39">
        <f t="shared" si="50"/>
        <v>5.4408663539999997</v>
      </c>
      <c r="O1036" s="26"/>
      <c r="P1036" s="31" t="s">
        <v>19</v>
      </c>
    </row>
    <row r="1037" spans="1:16" x14ac:dyDescent="0.25">
      <c r="A1037" s="26">
        <v>1036</v>
      </c>
      <c r="B1037" s="26" t="s">
        <v>2192</v>
      </c>
      <c r="C1037" s="26" t="s">
        <v>2193</v>
      </c>
      <c r="D1037" s="28" t="s">
        <v>2168</v>
      </c>
      <c r="E1037" s="26" t="s">
        <v>18</v>
      </c>
      <c r="F1037" s="26"/>
      <c r="G1037" s="29">
        <v>6.1</v>
      </c>
      <c r="H1037" s="26">
        <v>74</v>
      </c>
      <c r="I1037" s="26">
        <v>69</v>
      </c>
      <c r="J1037" s="33">
        <f t="shared" si="48"/>
        <v>71</v>
      </c>
      <c r="K1037" s="32">
        <v>0.3</v>
      </c>
      <c r="L1037" s="32"/>
      <c r="M1037" s="38">
        <f t="shared" si="49"/>
        <v>5.8</v>
      </c>
      <c r="N1037" s="39">
        <f t="shared" si="50"/>
        <v>2.2963368119999998</v>
      </c>
      <c r="O1037" s="26" t="s">
        <v>21</v>
      </c>
      <c r="P1037" s="31" t="s">
        <v>19</v>
      </c>
    </row>
    <row r="1038" spans="1:16" x14ac:dyDescent="0.25">
      <c r="A1038" s="26">
        <v>1037</v>
      </c>
      <c r="B1038" s="26" t="s">
        <v>2194</v>
      </c>
      <c r="C1038" s="26" t="s">
        <v>2195</v>
      </c>
      <c r="D1038" s="28" t="s">
        <v>2196</v>
      </c>
      <c r="E1038" s="26" t="s">
        <v>18</v>
      </c>
      <c r="F1038" s="26"/>
      <c r="G1038" s="29">
        <v>12.3</v>
      </c>
      <c r="H1038" s="26">
        <v>102</v>
      </c>
      <c r="I1038" s="26">
        <v>96</v>
      </c>
      <c r="J1038" s="33">
        <f t="shared" si="48"/>
        <v>99</v>
      </c>
      <c r="K1038" s="32"/>
      <c r="L1038" s="32"/>
      <c r="M1038" s="38">
        <f t="shared" si="49"/>
        <v>12.3</v>
      </c>
      <c r="N1038" s="39">
        <f t="shared" si="50"/>
        <v>9.4681776419999988</v>
      </c>
      <c r="O1038" s="26"/>
      <c r="P1038" s="31" t="s">
        <v>19</v>
      </c>
    </row>
    <row r="1039" spans="1:16" x14ac:dyDescent="0.25">
      <c r="A1039" s="26">
        <v>1038</v>
      </c>
      <c r="B1039" s="26" t="s">
        <v>2197</v>
      </c>
      <c r="C1039" s="26" t="s">
        <v>2198</v>
      </c>
      <c r="D1039" s="28" t="s">
        <v>2199</v>
      </c>
      <c r="E1039" s="26" t="s">
        <v>18</v>
      </c>
      <c r="F1039" s="26"/>
      <c r="G1039" s="29">
        <v>11.9</v>
      </c>
      <c r="H1039" s="26">
        <v>96</v>
      </c>
      <c r="I1039" s="26">
        <v>72</v>
      </c>
      <c r="J1039" s="33">
        <f t="shared" si="48"/>
        <v>84</v>
      </c>
      <c r="K1039" s="32"/>
      <c r="L1039" s="32"/>
      <c r="M1039" s="38">
        <f t="shared" si="49"/>
        <v>11.9</v>
      </c>
      <c r="N1039" s="39">
        <f t="shared" si="50"/>
        <v>6.5947210560000009</v>
      </c>
      <c r="O1039" s="26"/>
      <c r="P1039" s="31" t="s">
        <v>19</v>
      </c>
    </row>
    <row r="1040" spans="1:16" x14ac:dyDescent="0.25">
      <c r="A1040" s="26">
        <v>1039</v>
      </c>
      <c r="B1040" s="26" t="s">
        <v>2200</v>
      </c>
      <c r="C1040" s="26" t="s">
        <v>2201</v>
      </c>
      <c r="D1040" s="28" t="s">
        <v>2202</v>
      </c>
      <c r="E1040" s="26" t="s">
        <v>18</v>
      </c>
      <c r="F1040" s="26"/>
      <c r="G1040" s="29">
        <v>12.8</v>
      </c>
      <c r="H1040" s="26">
        <v>98</v>
      </c>
      <c r="I1040" s="26">
        <v>90</v>
      </c>
      <c r="J1040" s="33">
        <f t="shared" si="48"/>
        <v>94</v>
      </c>
      <c r="K1040" s="32">
        <v>0.3</v>
      </c>
      <c r="L1040" s="32"/>
      <c r="M1040" s="38">
        <f t="shared" si="49"/>
        <v>12.5</v>
      </c>
      <c r="N1040" s="39">
        <f t="shared" si="50"/>
        <v>8.6747429999999994</v>
      </c>
      <c r="O1040" s="26" t="s">
        <v>35</v>
      </c>
      <c r="P1040" s="31" t="s">
        <v>19</v>
      </c>
    </row>
    <row r="1041" spans="1:16" x14ac:dyDescent="0.25">
      <c r="A1041" s="26">
        <v>1040</v>
      </c>
      <c r="B1041" s="26" t="s">
        <v>2203</v>
      </c>
      <c r="C1041" s="26" t="s">
        <v>2204</v>
      </c>
      <c r="D1041" s="28" t="s">
        <v>2205</v>
      </c>
      <c r="E1041" s="26" t="s">
        <v>18</v>
      </c>
      <c r="F1041" s="26"/>
      <c r="G1041" s="29">
        <v>10.3</v>
      </c>
      <c r="H1041" s="26">
        <v>90</v>
      </c>
      <c r="I1041" s="26">
        <v>82</v>
      </c>
      <c r="J1041" s="33">
        <f t="shared" si="48"/>
        <v>86</v>
      </c>
      <c r="K1041" s="32"/>
      <c r="L1041" s="32"/>
      <c r="M1041" s="38">
        <f t="shared" si="49"/>
        <v>10.3</v>
      </c>
      <c r="N1041" s="39">
        <f t="shared" si="50"/>
        <v>5.9830829520000002</v>
      </c>
      <c r="O1041" s="26"/>
      <c r="P1041" s="31" t="s">
        <v>19</v>
      </c>
    </row>
    <row r="1042" spans="1:16" x14ac:dyDescent="0.25">
      <c r="A1042" s="26">
        <v>1041</v>
      </c>
      <c r="B1042" s="26" t="s">
        <v>2206</v>
      </c>
      <c r="C1042" s="26" t="s">
        <v>2207</v>
      </c>
      <c r="D1042" s="28">
        <v>4890</v>
      </c>
      <c r="E1042" s="26" t="s">
        <v>18</v>
      </c>
      <c r="F1042" s="26"/>
      <c r="G1042" s="29">
        <v>11.3</v>
      </c>
      <c r="H1042" s="26">
        <v>97</v>
      </c>
      <c r="I1042" s="26">
        <v>89</v>
      </c>
      <c r="J1042" s="33">
        <f t="shared" si="48"/>
        <v>93</v>
      </c>
      <c r="K1042" s="32"/>
      <c r="L1042" s="32"/>
      <c r="M1042" s="38">
        <f t="shared" si="49"/>
        <v>11.3</v>
      </c>
      <c r="N1042" s="39">
        <f t="shared" si="50"/>
        <v>7.6760047980000001</v>
      </c>
      <c r="O1042" s="26"/>
      <c r="P1042" s="31" t="s">
        <v>19</v>
      </c>
    </row>
    <row r="1043" spans="1:16" x14ac:dyDescent="0.25">
      <c r="A1043" s="26">
        <v>1042</v>
      </c>
      <c r="B1043" s="26" t="s">
        <v>2208</v>
      </c>
      <c r="C1043" s="26" t="s">
        <v>2209</v>
      </c>
      <c r="D1043" s="28">
        <v>1496</v>
      </c>
      <c r="E1043" s="26" t="s">
        <v>18</v>
      </c>
      <c r="F1043" s="26"/>
      <c r="G1043" s="29">
        <v>11.4</v>
      </c>
      <c r="H1043" s="26">
        <v>89</v>
      </c>
      <c r="I1043" s="26">
        <v>79</v>
      </c>
      <c r="J1043" s="33">
        <f t="shared" si="48"/>
        <v>84</v>
      </c>
      <c r="K1043" s="32">
        <v>0.3</v>
      </c>
      <c r="L1043" s="32"/>
      <c r="M1043" s="38">
        <f t="shared" si="49"/>
        <v>11.1</v>
      </c>
      <c r="N1043" s="39">
        <f t="shared" si="50"/>
        <v>6.1513784639999987</v>
      </c>
      <c r="O1043" s="26" t="s">
        <v>1007</v>
      </c>
      <c r="P1043" s="31" t="s">
        <v>30</v>
      </c>
    </row>
    <row r="1044" spans="1:16" x14ac:dyDescent="0.25">
      <c r="A1044" s="26">
        <v>1043</v>
      </c>
      <c r="B1044" s="26" t="s">
        <v>2210</v>
      </c>
      <c r="C1044" s="26" t="s">
        <v>2211</v>
      </c>
      <c r="D1044" s="28" t="s">
        <v>2212</v>
      </c>
      <c r="E1044" s="26" t="s">
        <v>18</v>
      </c>
      <c r="F1044" s="26"/>
      <c r="G1044" s="29">
        <v>13.8</v>
      </c>
      <c r="H1044" s="26">
        <v>81</v>
      </c>
      <c r="I1044" s="26">
        <v>62</v>
      </c>
      <c r="J1044" s="33">
        <f t="shared" si="48"/>
        <v>71</v>
      </c>
      <c r="K1044" s="32"/>
      <c r="L1044" s="32"/>
      <c r="M1044" s="38">
        <f t="shared" si="49"/>
        <v>13.8</v>
      </c>
      <c r="N1044" s="39">
        <f t="shared" si="50"/>
        <v>5.4636979319999996</v>
      </c>
      <c r="O1044" s="26"/>
      <c r="P1044" s="31" t="s">
        <v>19</v>
      </c>
    </row>
    <row r="1045" spans="1:16" x14ac:dyDescent="0.25">
      <c r="A1045" s="26">
        <v>1044</v>
      </c>
      <c r="B1045" s="26" t="s">
        <v>2213</v>
      </c>
      <c r="C1045" s="26" t="s">
        <v>2214</v>
      </c>
      <c r="D1045" s="28" t="s">
        <v>2215</v>
      </c>
      <c r="E1045" s="26" t="s">
        <v>18</v>
      </c>
      <c r="F1045" s="26"/>
      <c r="G1045" s="29">
        <v>11.9</v>
      </c>
      <c r="H1045" s="26">
        <v>100</v>
      </c>
      <c r="I1045" s="26">
        <v>83</v>
      </c>
      <c r="J1045" s="33">
        <f t="shared" si="48"/>
        <v>91</v>
      </c>
      <c r="K1045" s="32"/>
      <c r="L1045" s="32"/>
      <c r="M1045" s="38">
        <f t="shared" si="49"/>
        <v>11.9</v>
      </c>
      <c r="N1045" s="39">
        <f t="shared" si="50"/>
        <v>7.7396379060000005</v>
      </c>
      <c r="O1045" s="26"/>
      <c r="P1045" s="31" t="s">
        <v>19</v>
      </c>
    </row>
    <row r="1046" spans="1:16" x14ac:dyDescent="0.25">
      <c r="A1046" s="26">
        <v>1045</v>
      </c>
      <c r="B1046" s="26" t="s">
        <v>2216</v>
      </c>
      <c r="C1046" s="26" t="s">
        <v>2217</v>
      </c>
      <c r="D1046" s="28" t="s">
        <v>2218</v>
      </c>
      <c r="E1046" s="26" t="s">
        <v>18</v>
      </c>
      <c r="F1046" s="26"/>
      <c r="G1046" s="29">
        <v>11</v>
      </c>
      <c r="H1046" s="26">
        <v>83</v>
      </c>
      <c r="I1046" s="26">
        <v>79</v>
      </c>
      <c r="J1046" s="33">
        <f t="shared" si="48"/>
        <v>81</v>
      </c>
      <c r="K1046" s="32"/>
      <c r="L1046" s="32"/>
      <c r="M1046" s="38">
        <f t="shared" si="49"/>
        <v>11</v>
      </c>
      <c r="N1046" s="39">
        <f t="shared" si="50"/>
        <v>5.6683103399999997</v>
      </c>
      <c r="O1046" s="26"/>
      <c r="P1046" s="31" t="s">
        <v>30</v>
      </c>
    </row>
    <row r="1047" spans="1:16" x14ac:dyDescent="0.25">
      <c r="A1047" s="26">
        <v>1046</v>
      </c>
      <c r="B1047" s="26" t="s">
        <v>2219</v>
      </c>
      <c r="C1047" s="26" t="s">
        <v>2220</v>
      </c>
      <c r="D1047" s="28" t="s">
        <v>2221</v>
      </c>
      <c r="E1047" s="26" t="s">
        <v>18</v>
      </c>
      <c r="F1047" s="26"/>
      <c r="G1047" s="29">
        <v>11.2</v>
      </c>
      <c r="H1047" s="26">
        <v>93</v>
      </c>
      <c r="I1047" s="26">
        <v>78</v>
      </c>
      <c r="J1047" s="33">
        <f t="shared" si="48"/>
        <v>85</v>
      </c>
      <c r="K1047" s="32">
        <v>0.3</v>
      </c>
      <c r="L1047" s="32"/>
      <c r="M1047" s="38">
        <f t="shared" si="49"/>
        <v>10.899999999999999</v>
      </c>
      <c r="N1047" s="39">
        <f t="shared" si="50"/>
        <v>6.1852213499999991</v>
      </c>
      <c r="O1047" s="26" t="s">
        <v>53</v>
      </c>
      <c r="P1047" s="31" t="s">
        <v>19</v>
      </c>
    </row>
    <row r="1048" spans="1:16" x14ac:dyDescent="0.25">
      <c r="A1048" s="26">
        <v>1047</v>
      </c>
      <c r="B1048" s="26" t="s">
        <v>2222</v>
      </c>
      <c r="C1048" s="26" t="s">
        <v>2223</v>
      </c>
      <c r="D1048" s="28" t="s">
        <v>2224</v>
      </c>
      <c r="E1048" s="26" t="s">
        <v>18</v>
      </c>
      <c r="F1048" s="26"/>
      <c r="G1048" s="29">
        <v>10.199999999999999</v>
      </c>
      <c r="H1048" s="26">
        <v>88</v>
      </c>
      <c r="I1048" s="26">
        <v>80</v>
      </c>
      <c r="J1048" s="33">
        <f t="shared" si="48"/>
        <v>84</v>
      </c>
      <c r="K1048" s="32"/>
      <c r="L1048" s="32"/>
      <c r="M1048" s="38">
        <f t="shared" si="49"/>
        <v>10.199999999999999</v>
      </c>
      <c r="N1048" s="39">
        <f t="shared" si="50"/>
        <v>5.6526180479999999</v>
      </c>
      <c r="O1048" s="26"/>
      <c r="P1048" s="31" t="s">
        <v>19</v>
      </c>
    </row>
    <row r="1049" spans="1:16" x14ac:dyDescent="0.25">
      <c r="A1049" s="26">
        <v>1048</v>
      </c>
      <c r="B1049" s="26" t="s">
        <v>2225</v>
      </c>
      <c r="C1049" s="26" t="s">
        <v>2226</v>
      </c>
      <c r="D1049" s="28" t="s">
        <v>2227</v>
      </c>
      <c r="E1049" s="26" t="s">
        <v>18</v>
      </c>
      <c r="F1049" s="26"/>
      <c r="G1049" s="29">
        <v>9.3000000000000007</v>
      </c>
      <c r="H1049" s="26">
        <v>76</v>
      </c>
      <c r="I1049" s="26">
        <v>68</v>
      </c>
      <c r="J1049" s="33">
        <f t="shared" si="48"/>
        <v>72</v>
      </c>
      <c r="K1049" s="32"/>
      <c r="L1049" s="32"/>
      <c r="M1049" s="38">
        <f t="shared" si="49"/>
        <v>9.3000000000000007</v>
      </c>
      <c r="N1049" s="39">
        <f t="shared" si="50"/>
        <v>3.7865076480000002</v>
      </c>
      <c r="O1049" s="26"/>
      <c r="P1049" s="31" t="s">
        <v>30</v>
      </c>
    </row>
    <row r="1050" spans="1:16" x14ac:dyDescent="0.25">
      <c r="A1050" s="26">
        <v>1049</v>
      </c>
      <c r="B1050" s="26" t="s">
        <v>2228</v>
      </c>
      <c r="C1050" s="26" t="s">
        <v>2229</v>
      </c>
      <c r="D1050" s="28" t="s">
        <v>2212</v>
      </c>
      <c r="E1050" s="26" t="s">
        <v>18</v>
      </c>
      <c r="F1050" s="26"/>
      <c r="G1050" s="29">
        <v>10.7</v>
      </c>
      <c r="H1050" s="26">
        <v>90</v>
      </c>
      <c r="I1050" s="26">
        <v>80</v>
      </c>
      <c r="J1050" s="33">
        <f t="shared" si="48"/>
        <v>85</v>
      </c>
      <c r="K1050" s="32"/>
      <c r="L1050" s="32"/>
      <c r="M1050" s="38">
        <f t="shared" si="49"/>
        <v>10.7</v>
      </c>
      <c r="N1050" s="39">
        <f t="shared" si="50"/>
        <v>6.0717310500000004</v>
      </c>
      <c r="O1050" s="26"/>
      <c r="P1050" s="31" t="s">
        <v>19</v>
      </c>
    </row>
    <row r="1051" spans="1:16" x14ac:dyDescent="0.25">
      <c r="A1051" s="26">
        <v>1050</v>
      </c>
      <c r="B1051" s="26" t="s">
        <v>2230</v>
      </c>
      <c r="C1051" s="26" t="s">
        <v>2231</v>
      </c>
      <c r="D1051" s="28">
        <v>4868</v>
      </c>
      <c r="E1051" s="26" t="s">
        <v>18</v>
      </c>
      <c r="F1051" s="26"/>
      <c r="G1051" s="29">
        <v>10.6</v>
      </c>
      <c r="H1051" s="26">
        <v>92</v>
      </c>
      <c r="I1051" s="26">
        <v>88</v>
      </c>
      <c r="J1051" s="33">
        <f t="shared" si="48"/>
        <v>90</v>
      </c>
      <c r="K1051" s="32"/>
      <c r="L1051" s="32"/>
      <c r="M1051" s="38">
        <f t="shared" si="49"/>
        <v>10.6</v>
      </c>
      <c r="N1051" s="39">
        <f t="shared" si="50"/>
        <v>6.7434444000000004</v>
      </c>
      <c r="O1051" s="26"/>
      <c r="P1051" s="31" t="s">
        <v>19</v>
      </c>
    </row>
    <row r="1052" spans="1:16" x14ac:dyDescent="0.25">
      <c r="A1052" s="26">
        <v>1051</v>
      </c>
      <c r="B1052" s="26" t="s">
        <v>2232</v>
      </c>
      <c r="C1052" s="26" t="s">
        <v>2233</v>
      </c>
      <c r="D1052" s="28">
        <v>1498</v>
      </c>
      <c r="E1052" s="26" t="s">
        <v>18</v>
      </c>
      <c r="F1052" s="26"/>
      <c r="G1052" s="29">
        <v>6.9</v>
      </c>
      <c r="H1052" s="26">
        <v>88</v>
      </c>
      <c r="I1052" s="26">
        <v>83</v>
      </c>
      <c r="J1052" s="33">
        <f t="shared" si="48"/>
        <v>85</v>
      </c>
      <c r="K1052" s="32">
        <v>0.5</v>
      </c>
      <c r="L1052" s="32"/>
      <c r="M1052" s="38">
        <f t="shared" si="49"/>
        <v>6.4</v>
      </c>
      <c r="N1052" s="39">
        <f t="shared" si="50"/>
        <v>3.6316896000000001</v>
      </c>
      <c r="O1052" s="26" t="s">
        <v>21</v>
      </c>
      <c r="P1052" s="31" t="s">
        <v>19</v>
      </c>
    </row>
    <row r="1053" spans="1:16" x14ac:dyDescent="0.25">
      <c r="A1053" s="26">
        <v>1052</v>
      </c>
      <c r="B1053" s="26" t="s">
        <v>2234</v>
      </c>
      <c r="C1053" s="26" t="s">
        <v>2235</v>
      </c>
      <c r="D1053" s="28" t="s">
        <v>2236</v>
      </c>
      <c r="E1053" s="26" t="s">
        <v>18</v>
      </c>
      <c r="F1053" s="26"/>
      <c r="G1053" s="29">
        <v>12</v>
      </c>
      <c r="H1053" s="26">
        <v>101</v>
      </c>
      <c r="I1053" s="26">
        <v>90</v>
      </c>
      <c r="J1053" s="33">
        <f t="shared" si="48"/>
        <v>95</v>
      </c>
      <c r="K1053" s="32"/>
      <c r="L1053" s="32"/>
      <c r="M1053" s="38">
        <f t="shared" si="49"/>
        <v>12</v>
      </c>
      <c r="N1053" s="39">
        <f t="shared" si="50"/>
        <v>8.5058819999999997</v>
      </c>
      <c r="O1053" s="26"/>
      <c r="P1053" s="31" t="s">
        <v>19</v>
      </c>
    </row>
    <row r="1054" spans="1:16" x14ac:dyDescent="0.25">
      <c r="A1054" s="26">
        <v>1053</v>
      </c>
      <c r="B1054" s="26" t="s">
        <v>2237</v>
      </c>
      <c r="C1054" s="26" t="s">
        <v>2238</v>
      </c>
      <c r="D1054" s="28" t="s">
        <v>2239</v>
      </c>
      <c r="E1054" s="26" t="s">
        <v>18</v>
      </c>
      <c r="F1054" s="26"/>
      <c r="G1054" s="29">
        <v>7.3</v>
      </c>
      <c r="H1054" s="26">
        <v>89</v>
      </c>
      <c r="I1054" s="26">
        <v>88</v>
      </c>
      <c r="J1054" s="33">
        <f t="shared" si="48"/>
        <v>88</v>
      </c>
      <c r="K1054" s="32">
        <v>0.3</v>
      </c>
      <c r="L1054" s="32"/>
      <c r="M1054" s="38">
        <f t="shared" si="49"/>
        <v>7</v>
      </c>
      <c r="N1054" s="39">
        <f t="shared" si="50"/>
        <v>4.2574963199999996</v>
      </c>
      <c r="O1054" s="26" t="s">
        <v>1007</v>
      </c>
      <c r="P1054" s="31" t="s">
        <v>19</v>
      </c>
    </row>
    <row r="1055" spans="1:16" x14ac:dyDescent="0.25">
      <c r="A1055" s="26">
        <v>1054</v>
      </c>
      <c r="B1055" s="26" t="s">
        <v>2240</v>
      </c>
      <c r="C1055" s="26" t="s">
        <v>2241</v>
      </c>
      <c r="D1055" s="28">
        <v>1499</v>
      </c>
      <c r="E1055" s="26" t="s">
        <v>18</v>
      </c>
      <c r="F1055" s="26"/>
      <c r="G1055" s="29">
        <v>12.9</v>
      </c>
      <c r="H1055" s="26">
        <v>123</v>
      </c>
      <c r="I1055" s="26">
        <v>92</v>
      </c>
      <c r="J1055" s="33">
        <f t="shared" ref="J1055:J1118" si="51">ROUNDDOWN((H1055+I1055)/2,0)</f>
        <v>107</v>
      </c>
      <c r="K1055" s="32"/>
      <c r="L1055" s="32"/>
      <c r="M1055" s="38">
        <f t="shared" si="49"/>
        <v>12.9</v>
      </c>
      <c r="N1055" s="39">
        <f t="shared" si="50"/>
        <v>11.599737533999999</v>
      </c>
      <c r="O1055" s="26"/>
      <c r="P1055" s="31" t="s">
        <v>19</v>
      </c>
    </row>
    <row r="1056" spans="1:16" x14ac:dyDescent="0.25">
      <c r="A1056" s="26">
        <v>1055</v>
      </c>
      <c r="B1056" s="26" t="s">
        <v>2242</v>
      </c>
      <c r="C1056" s="26" t="s">
        <v>2243</v>
      </c>
      <c r="D1056" s="28" t="s">
        <v>2244</v>
      </c>
      <c r="E1056" s="26" t="s">
        <v>18</v>
      </c>
      <c r="F1056" s="26"/>
      <c r="G1056" s="29">
        <v>12.9</v>
      </c>
      <c r="H1056" s="26">
        <v>92</v>
      </c>
      <c r="I1056" s="26">
        <v>83</v>
      </c>
      <c r="J1056" s="33">
        <f t="shared" si="51"/>
        <v>87</v>
      </c>
      <c r="K1056" s="32">
        <v>0.3</v>
      </c>
      <c r="L1056" s="32"/>
      <c r="M1056" s="38">
        <f t="shared" si="49"/>
        <v>12.6</v>
      </c>
      <c r="N1056" s="39">
        <f t="shared" si="50"/>
        <v>7.4903126760000003</v>
      </c>
      <c r="O1056" s="26" t="s">
        <v>21</v>
      </c>
      <c r="P1056" s="31" t="s">
        <v>19</v>
      </c>
    </row>
    <row r="1057" spans="1:16" x14ac:dyDescent="0.25">
      <c r="A1057" s="26">
        <v>1056</v>
      </c>
      <c r="B1057" s="26" t="s">
        <v>2245</v>
      </c>
      <c r="C1057" s="26" t="s">
        <v>2246</v>
      </c>
      <c r="D1057" s="28" t="s">
        <v>2247</v>
      </c>
      <c r="E1057" s="26" t="s">
        <v>18</v>
      </c>
      <c r="F1057" s="26"/>
      <c r="G1057" s="29">
        <v>12.1</v>
      </c>
      <c r="H1057" s="26">
        <v>113</v>
      </c>
      <c r="I1057" s="26">
        <v>102</v>
      </c>
      <c r="J1057" s="33">
        <f t="shared" si="51"/>
        <v>107</v>
      </c>
      <c r="K1057" s="32"/>
      <c r="L1057" s="32"/>
      <c r="M1057" s="38">
        <f t="shared" si="49"/>
        <v>12.1</v>
      </c>
      <c r="N1057" s="39">
        <f t="shared" si="50"/>
        <v>10.880373965999999</v>
      </c>
      <c r="O1057" s="26"/>
      <c r="P1057" s="31" t="s">
        <v>19</v>
      </c>
    </row>
    <row r="1058" spans="1:16" x14ac:dyDescent="0.25">
      <c r="A1058" s="26">
        <v>1057</v>
      </c>
      <c r="B1058" s="26" t="s">
        <v>2248</v>
      </c>
      <c r="C1058" s="26" t="s">
        <v>2249</v>
      </c>
      <c r="D1058" s="28" t="s">
        <v>2250</v>
      </c>
      <c r="E1058" s="26" t="s">
        <v>18</v>
      </c>
      <c r="F1058" s="26"/>
      <c r="G1058" s="29">
        <v>9.3000000000000007</v>
      </c>
      <c r="H1058" s="26">
        <v>104</v>
      </c>
      <c r="I1058" s="26">
        <v>96</v>
      </c>
      <c r="J1058" s="33">
        <f t="shared" si="51"/>
        <v>100</v>
      </c>
      <c r="K1058" s="32">
        <v>0.3</v>
      </c>
      <c r="L1058" s="32"/>
      <c r="M1058" s="38">
        <f t="shared" si="49"/>
        <v>9</v>
      </c>
      <c r="N1058" s="39">
        <f t="shared" si="50"/>
        <v>7.0686</v>
      </c>
      <c r="O1058" s="26" t="s">
        <v>53</v>
      </c>
      <c r="P1058" s="31" t="s">
        <v>30</v>
      </c>
    </row>
    <row r="1059" spans="1:16" x14ac:dyDescent="0.25">
      <c r="A1059" s="26">
        <v>1058</v>
      </c>
      <c r="B1059" s="26" t="s">
        <v>2251</v>
      </c>
      <c r="C1059" s="26" t="s">
        <v>2252</v>
      </c>
      <c r="D1059" s="28">
        <v>4870</v>
      </c>
      <c r="E1059" s="26" t="s">
        <v>18</v>
      </c>
      <c r="F1059" s="26"/>
      <c r="G1059" s="29">
        <v>11.8</v>
      </c>
      <c r="H1059" s="26">
        <v>146</v>
      </c>
      <c r="I1059" s="26">
        <v>117</v>
      </c>
      <c r="J1059" s="33">
        <f t="shared" si="51"/>
        <v>131</v>
      </c>
      <c r="K1059" s="32"/>
      <c r="L1059" s="32"/>
      <c r="M1059" s="38">
        <f t="shared" si="49"/>
        <v>11.8</v>
      </c>
      <c r="N1059" s="39">
        <f t="shared" si="50"/>
        <v>15.904334292000003</v>
      </c>
      <c r="O1059" s="26"/>
      <c r="P1059" s="31" t="s">
        <v>19</v>
      </c>
    </row>
    <row r="1060" spans="1:16" x14ac:dyDescent="0.25">
      <c r="A1060" s="26">
        <v>1059</v>
      </c>
      <c r="B1060" s="26" t="s">
        <v>2253</v>
      </c>
      <c r="C1060" s="26" t="s">
        <v>2254</v>
      </c>
      <c r="D1060" s="28" t="s">
        <v>2255</v>
      </c>
      <c r="E1060" s="26" t="s">
        <v>18</v>
      </c>
      <c r="F1060" s="26"/>
      <c r="G1060" s="29">
        <v>10.9</v>
      </c>
      <c r="H1060" s="26">
        <v>119</v>
      </c>
      <c r="I1060" s="26">
        <v>108</v>
      </c>
      <c r="J1060" s="33">
        <f t="shared" si="51"/>
        <v>113</v>
      </c>
      <c r="K1060" s="32"/>
      <c r="L1060" s="32"/>
      <c r="M1060" s="38">
        <f t="shared" si="49"/>
        <v>10.9</v>
      </c>
      <c r="N1060" s="39">
        <f t="shared" si="50"/>
        <v>10.931362134</v>
      </c>
      <c r="O1060" s="26"/>
      <c r="P1060" s="31" t="s">
        <v>19</v>
      </c>
    </row>
    <row r="1061" spans="1:16" x14ac:dyDescent="0.25">
      <c r="A1061" s="26">
        <v>1060</v>
      </c>
      <c r="B1061" s="26" t="s">
        <v>2256</v>
      </c>
      <c r="C1061" s="26" t="s">
        <v>2257</v>
      </c>
      <c r="D1061" s="28" t="s">
        <v>2258</v>
      </c>
      <c r="E1061" s="26" t="s">
        <v>18</v>
      </c>
      <c r="F1061" s="26"/>
      <c r="G1061" s="29">
        <v>12.8</v>
      </c>
      <c r="H1061" s="26">
        <v>104</v>
      </c>
      <c r="I1061" s="26">
        <v>84</v>
      </c>
      <c r="J1061" s="33">
        <f t="shared" si="51"/>
        <v>94</v>
      </c>
      <c r="K1061" s="32">
        <v>0.3</v>
      </c>
      <c r="L1061" s="32"/>
      <c r="M1061" s="38">
        <f t="shared" si="49"/>
        <v>12.5</v>
      </c>
      <c r="N1061" s="39">
        <f t="shared" si="50"/>
        <v>8.6747429999999994</v>
      </c>
      <c r="O1061" s="26" t="s">
        <v>1007</v>
      </c>
      <c r="P1061" s="31" t="s">
        <v>30</v>
      </c>
    </row>
    <row r="1062" spans="1:16" x14ac:dyDescent="0.25">
      <c r="A1062" s="26">
        <v>1061</v>
      </c>
      <c r="B1062" s="26" t="s">
        <v>2259</v>
      </c>
      <c r="C1062" s="26" t="s">
        <v>2260</v>
      </c>
      <c r="D1062" s="28" t="s">
        <v>2261</v>
      </c>
      <c r="E1062" s="26" t="s">
        <v>18</v>
      </c>
      <c r="F1062" s="26"/>
      <c r="G1062" s="29">
        <v>9.3000000000000007</v>
      </c>
      <c r="H1062" s="26">
        <v>84</v>
      </c>
      <c r="I1062" s="26">
        <v>76</v>
      </c>
      <c r="J1062" s="33">
        <f t="shared" si="51"/>
        <v>80</v>
      </c>
      <c r="K1062" s="32"/>
      <c r="L1062" s="32"/>
      <c r="M1062" s="38">
        <f t="shared" si="49"/>
        <v>9.3000000000000007</v>
      </c>
      <c r="N1062" s="39">
        <f t="shared" si="50"/>
        <v>4.6747008000000001</v>
      </c>
      <c r="O1062" s="26"/>
      <c r="P1062" s="31" t="s">
        <v>19</v>
      </c>
    </row>
    <row r="1063" spans="1:16" x14ac:dyDescent="0.25">
      <c r="A1063" s="26">
        <v>1062</v>
      </c>
      <c r="B1063" s="26" t="s">
        <v>2262</v>
      </c>
      <c r="C1063" s="26" t="s">
        <v>2263</v>
      </c>
      <c r="D1063" s="28" t="s">
        <v>2264</v>
      </c>
      <c r="E1063" s="26" t="s">
        <v>18</v>
      </c>
      <c r="F1063" s="26"/>
      <c r="G1063" s="29">
        <v>11.1</v>
      </c>
      <c r="H1063" s="26">
        <v>87</v>
      </c>
      <c r="I1063" s="26">
        <v>75</v>
      </c>
      <c r="J1063" s="33">
        <f t="shared" si="51"/>
        <v>81</v>
      </c>
      <c r="K1063" s="32"/>
      <c r="L1063" s="32"/>
      <c r="M1063" s="38">
        <f t="shared" si="49"/>
        <v>11.1</v>
      </c>
      <c r="N1063" s="39">
        <f t="shared" si="50"/>
        <v>5.7198404339999991</v>
      </c>
      <c r="O1063" s="26"/>
      <c r="P1063" s="31" t="s">
        <v>19</v>
      </c>
    </row>
    <row r="1064" spans="1:16" x14ac:dyDescent="0.25">
      <c r="A1064" s="26">
        <v>1063</v>
      </c>
      <c r="B1064" s="26" t="s">
        <v>2265</v>
      </c>
      <c r="C1064" s="26" t="s">
        <v>2266</v>
      </c>
      <c r="D1064" s="28">
        <v>5182</v>
      </c>
      <c r="E1064" s="26" t="s">
        <v>18</v>
      </c>
      <c r="F1064" s="26"/>
      <c r="G1064" s="29">
        <v>6</v>
      </c>
      <c r="H1064" s="26">
        <v>78</v>
      </c>
      <c r="I1064" s="26">
        <v>75</v>
      </c>
      <c r="J1064" s="33">
        <f t="shared" si="51"/>
        <v>76</v>
      </c>
      <c r="K1064" s="32">
        <v>0.3</v>
      </c>
      <c r="L1064" s="32"/>
      <c r="M1064" s="38">
        <f t="shared" si="49"/>
        <v>5.7</v>
      </c>
      <c r="N1064" s="39">
        <f t="shared" si="50"/>
        <v>2.5857881280000004</v>
      </c>
      <c r="O1064" s="26" t="s">
        <v>1007</v>
      </c>
      <c r="P1064" s="31" t="s">
        <v>30</v>
      </c>
    </row>
    <row r="1065" spans="1:16" x14ac:dyDescent="0.25">
      <c r="A1065" s="26">
        <v>1064</v>
      </c>
      <c r="B1065" s="26" t="s">
        <v>2267</v>
      </c>
      <c r="C1065" s="26" t="s">
        <v>2268</v>
      </c>
      <c r="D1065" s="28" t="s">
        <v>2269</v>
      </c>
      <c r="E1065" s="26" t="s">
        <v>18</v>
      </c>
      <c r="F1065" s="26"/>
      <c r="G1065" s="29">
        <v>12.3</v>
      </c>
      <c r="H1065" s="26">
        <v>72</v>
      </c>
      <c r="I1065" s="26">
        <v>69</v>
      </c>
      <c r="J1065" s="33">
        <f t="shared" si="51"/>
        <v>70</v>
      </c>
      <c r="K1065" s="32"/>
      <c r="L1065" s="32"/>
      <c r="M1065" s="38">
        <f t="shared" si="49"/>
        <v>12.3</v>
      </c>
      <c r="N1065" s="39">
        <f t="shared" si="50"/>
        <v>4.7336057999999994</v>
      </c>
      <c r="O1065" s="26"/>
      <c r="P1065" s="31" t="s">
        <v>19</v>
      </c>
    </row>
    <row r="1066" spans="1:16" x14ac:dyDescent="0.25">
      <c r="A1066" s="26">
        <v>1065</v>
      </c>
      <c r="B1066" s="26" t="s">
        <v>2270</v>
      </c>
      <c r="C1066" s="26" t="s">
        <v>2271</v>
      </c>
      <c r="D1066" s="28" t="s">
        <v>2272</v>
      </c>
      <c r="E1066" s="26" t="s">
        <v>18</v>
      </c>
      <c r="F1066" s="26"/>
      <c r="G1066" s="29">
        <v>10.8</v>
      </c>
      <c r="H1066" s="26">
        <v>105</v>
      </c>
      <c r="I1066" s="26">
        <v>103</v>
      </c>
      <c r="J1066" s="33">
        <f t="shared" si="51"/>
        <v>104</v>
      </c>
      <c r="K1066" s="32"/>
      <c r="L1066" s="32"/>
      <c r="M1066" s="38">
        <f t="shared" si="49"/>
        <v>10.8</v>
      </c>
      <c r="N1066" s="39">
        <f t="shared" si="50"/>
        <v>9.1744773120000005</v>
      </c>
      <c r="O1066" s="26"/>
      <c r="P1066" s="31" t="s">
        <v>19</v>
      </c>
    </row>
    <row r="1067" spans="1:16" x14ac:dyDescent="0.25">
      <c r="A1067" s="26">
        <v>1066</v>
      </c>
      <c r="B1067" s="26" t="s">
        <v>2273</v>
      </c>
      <c r="C1067" s="26" t="s">
        <v>2274</v>
      </c>
      <c r="D1067" s="28">
        <v>1555</v>
      </c>
      <c r="E1067" s="26" t="s">
        <v>18</v>
      </c>
      <c r="F1067" s="26"/>
      <c r="G1067" s="29">
        <v>12</v>
      </c>
      <c r="H1067" s="26">
        <v>111</v>
      </c>
      <c r="I1067" s="26">
        <v>80</v>
      </c>
      <c r="J1067" s="33">
        <f t="shared" si="51"/>
        <v>95</v>
      </c>
      <c r="K1067" s="32">
        <v>0.5</v>
      </c>
      <c r="L1067" s="32"/>
      <c r="M1067" s="38">
        <f t="shared" si="49"/>
        <v>11.5</v>
      </c>
      <c r="N1067" s="39">
        <f t="shared" si="50"/>
        <v>8.1514702499999991</v>
      </c>
      <c r="O1067" s="26" t="s">
        <v>53</v>
      </c>
      <c r="P1067" s="31" t="s">
        <v>19</v>
      </c>
    </row>
    <row r="1068" spans="1:16" x14ac:dyDescent="0.25">
      <c r="A1068" s="26">
        <v>1067</v>
      </c>
      <c r="B1068" s="26" t="s">
        <v>2275</v>
      </c>
      <c r="C1068" s="26" t="s">
        <v>2276</v>
      </c>
      <c r="D1068" s="28" t="s">
        <v>2277</v>
      </c>
      <c r="E1068" s="26" t="s">
        <v>18</v>
      </c>
      <c r="F1068" s="26"/>
      <c r="G1068" s="29">
        <v>13.1</v>
      </c>
      <c r="H1068" s="26">
        <v>132</v>
      </c>
      <c r="I1068" s="26">
        <v>122</v>
      </c>
      <c r="J1068" s="33">
        <f t="shared" si="51"/>
        <v>127</v>
      </c>
      <c r="K1068" s="32"/>
      <c r="L1068" s="32"/>
      <c r="M1068" s="38">
        <f t="shared" si="49"/>
        <v>13.1</v>
      </c>
      <c r="N1068" s="39">
        <f t="shared" si="50"/>
        <v>16.594708745999998</v>
      </c>
      <c r="O1068" s="26"/>
      <c r="P1068" s="31" t="s">
        <v>19</v>
      </c>
    </row>
    <row r="1069" spans="1:16" x14ac:dyDescent="0.25">
      <c r="A1069" s="26">
        <v>1068</v>
      </c>
      <c r="B1069" s="26" t="s">
        <v>2278</v>
      </c>
      <c r="C1069" s="26" t="s">
        <v>2279</v>
      </c>
      <c r="D1069" s="28" t="s">
        <v>2280</v>
      </c>
      <c r="E1069" s="26" t="s">
        <v>18</v>
      </c>
      <c r="F1069" s="26"/>
      <c r="G1069" s="29">
        <v>11.3</v>
      </c>
      <c r="H1069" s="26">
        <v>107</v>
      </c>
      <c r="I1069" s="26">
        <v>77</v>
      </c>
      <c r="J1069" s="33">
        <f t="shared" si="51"/>
        <v>92</v>
      </c>
      <c r="K1069" s="32"/>
      <c r="L1069" s="32"/>
      <c r="M1069" s="38">
        <f t="shared" si="49"/>
        <v>11.3</v>
      </c>
      <c r="N1069" s="39">
        <f t="shared" si="50"/>
        <v>7.511816928</v>
      </c>
      <c r="O1069" s="26"/>
      <c r="P1069" s="31" t="s">
        <v>19</v>
      </c>
    </row>
    <row r="1070" spans="1:16" x14ac:dyDescent="0.25">
      <c r="A1070" s="26">
        <v>1069</v>
      </c>
      <c r="B1070" s="26" t="s">
        <v>2281</v>
      </c>
      <c r="C1070" s="26" t="s">
        <v>2282</v>
      </c>
      <c r="D1070" s="28" t="s">
        <v>2283</v>
      </c>
      <c r="E1070" s="26" t="s">
        <v>18</v>
      </c>
      <c r="F1070" s="26"/>
      <c r="G1070" s="29">
        <v>10.9</v>
      </c>
      <c r="H1070" s="26">
        <v>78</v>
      </c>
      <c r="I1070" s="26">
        <v>68</v>
      </c>
      <c r="J1070" s="33">
        <f t="shared" si="51"/>
        <v>73</v>
      </c>
      <c r="K1070" s="32"/>
      <c r="L1070" s="32"/>
      <c r="M1070" s="38">
        <f t="shared" si="49"/>
        <v>10.9</v>
      </c>
      <c r="N1070" s="39">
        <f t="shared" si="50"/>
        <v>4.5620822939999996</v>
      </c>
      <c r="O1070" s="26"/>
      <c r="P1070" s="31" t="s">
        <v>19</v>
      </c>
    </row>
    <row r="1071" spans="1:16" x14ac:dyDescent="0.25">
      <c r="A1071" s="26">
        <v>1070</v>
      </c>
      <c r="B1071" s="26" t="s">
        <v>2284</v>
      </c>
      <c r="C1071" s="26" t="s">
        <v>2285</v>
      </c>
      <c r="D1071" s="28" t="s">
        <v>2286</v>
      </c>
      <c r="E1071" s="26" t="s">
        <v>18</v>
      </c>
      <c r="F1071" s="26"/>
      <c r="G1071" s="29">
        <v>10.3</v>
      </c>
      <c r="H1071" s="26">
        <v>71</v>
      </c>
      <c r="I1071" s="26">
        <v>62</v>
      </c>
      <c r="J1071" s="33">
        <f t="shared" si="51"/>
        <v>66</v>
      </c>
      <c r="K1071" s="32"/>
      <c r="L1071" s="32">
        <v>10</v>
      </c>
      <c r="M1071" s="38">
        <f t="shared" si="49"/>
        <v>10.3</v>
      </c>
      <c r="N1071" s="39">
        <f t="shared" si="50"/>
        <v>3.523838472</v>
      </c>
      <c r="O1071" s="26" t="s">
        <v>157</v>
      </c>
      <c r="P1071" s="31" t="s">
        <v>19</v>
      </c>
    </row>
    <row r="1072" spans="1:16" x14ac:dyDescent="0.25">
      <c r="A1072" s="26">
        <v>1071</v>
      </c>
      <c r="B1072" s="26" t="s">
        <v>2287</v>
      </c>
      <c r="C1072" s="26" t="s">
        <v>2288</v>
      </c>
      <c r="D1072" s="28" t="s">
        <v>2289</v>
      </c>
      <c r="E1072" s="26" t="s">
        <v>18</v>
      </c>
      <c r="F1072" s="26"/>
      <c r="G1072" s="29">
        <v>10.5</v>
      </c>
      <c r="H1072" s="26">
        <v>125</v>
      </c>
      <c r="I1072" s="26">
        <v>123</v>
      </c>
      <c r="J1072" s="33">
        <f t="shared" si="51"/>
        <v>124</v>
      </c>
      <c r="K1072" s="32"/>
      <c r="L1072" s="32"/>
      <c r="M1072" s="38">
        <f t="shared" si="49"/>
        <v>10.5</v>
      </c>
      <c r="N1072" s="39">
        <f t="shared" si="50"/>
        <v>12.68012592</v>
      </c>
      <c r="O1072" s="26" t="s">
        <v>35</v>
      </c>
      <c r="P1072" s="31" t="s">
        <v>19</v>
      </c>
    </row>
    <row r="1073" spans="1:16" x14ac:dyDescent="0.25">
      <c r="A1073" s="26">
        <v>1072</v>
      </c>
      <c r="B1073" s="26" t="s">
        <v>2290</v>
      </c>
      <c r="C1073" s="26" t="s">
        <v>2291</v>
      </c>
      <c r="D1073" s="28">
        <v>4846</v>
      </c>
      <c r="E1073" s="26" t="s">
        <v>18</v>
      </c>
      <c r="F1073" s="26"/>
      <c r="G1073" s="29">
        <v>10.6</v>
      </c>
      <c r="H1073" s="26">
        <v>123</v>
      </c>
      <c r="I1073" s="26">
        <v>112</v>
      </c>
      <c r="J1073" s="33">
        <f t="shared" si="51"/>
        <v>117</v>
      </c>
      <c r="K1073" s="32"/>
      <c r="L1073" s="32"/>
      <c r="M1073" s="38">
        <f t="shared" si="49"/>
        <v>10.6</v>
      </c>
      <c r="N1073" s="39">
        <f t="shared" si="50"/>
        <v>11.396421036</v>
      </c>
      <c r="O1073" s="26"/>
      <c r="P1073" s="31" t="s">
        <v>30</v>
      </c>
    </row>
    <row r="1074" spans="1:16" x14ac:dyDescent="0.25">
      <c r="A1074" s="26">
        <v>1073</v>
      </c>
      <c r="B1074" s="26" t="s">
        <v>2292</v>
      </c>
      <c r="C1074" s="26" t="s">
        <v>2293</v>
      </c>
      <c r="D1074" s="28" t="s">
        <v>2294</v>
      </c>
      <c r="E1074" s="26" t="s">
        <v>18</v>
      </c>
      <c r="F1074" s="26"/>
      <c r="G1074" s="29">
        <v>10.3</v>
      </c>
      <c r="H1074" s="26">
        <v>102</v>
      </c>
      <c r="I1074" s="26">
        <v>96</v>
      </c>
      <c r="J1074" s="33">
        <f t="shared" si="51"/>
        <v>99</v>
      </c>
      <c r="K1074" s="32"/>
      <c r="L1074" s="32"/>
      <c r="M1074" s="38">
        <f t="shared" si="49"/>
        <v>10.3</v>
      </c>
      <c r="N1074" s="39">
        <f t="shared" si="50"/>
        <v>7.9286365619999994</v>
      </c>
      <c r="O1074" s="26"/>
      <c r="P1074" s="31" t="s">
        <v>19</v>
      </c>
    </row>
    <row r="1075" spans="1:16" x14ac:dyDescent="0.25">
      <c r="A1075" s="26">
        <v>1074</v>
      </c>
      <c r="B1075" s="26" t="s">
        <v>2295</v>
      </c>
      <c r="C1075" s="26" t="s">
        <v>2296</v>
      </c>
      <c r="D1075" s="28">
        <v>5185</v>
      </c>
      <c r="E1075" s="26" t="s">
        <v>18</v>
      </c>
      <c r="F1075" s="26"/>
      <c r="G1075" s="29">
        <v>10.1</v>
      </c>
      <c r="H1075" s="26">
        <v>74</v>
      </c>
      <c r="I1075" s="26">
        <v>70</v>
      </c>
      <c r="J1075" s="33">
        <f t="shared" si="51"/>
        <v>72</v>
      </c>
      <c r="K1075" s="32"/>
      <c r="L1075" s="32"/>
      <c r="M1075" s="38">
        <f t="shared" si="49"/>
        <v>10.1</v>
      </c>
      <c r="N1075" s="39">
        <f t="shared" si="50"/>
        <v>4.1122287360000005</v>
      </c>
      <c r="O1075" s="26"/>
      <c r="P1075" s="31" t="s">
        <v>19</v>
      </c>
    </row>
    <row r="1076" spans="1:16" x14ac:dyDescent="0.25">
      <c r="A1076" s="26">
        <v>1075</v>
      </c>
      <c r="B1076" s="26" t="s">
        <v>2297</v>
      </c>
      <c r="C1076" s="26" t="s">
        <v>2298</v>
      </c>
      <c r="D1076" s="28" t="s">
        <v>2299</v>
      </c>
      <c r="E1076" s="26" t="s">
        <v>18</v>
      </c>
      <c r="F1076" s="26"/>
      <c r="G1076" s="29">
        <v>5</v>
      </c>
      <c r="H1076" s="26">
        <v>69</v>
      </c>
      <c r="I1076" s="26">
        <v>63</v>
      </c>
      <c r="J1076" s="33">
        <f t="shared" si="51"/>
        <v>66</v>
      </c>
      <c r="K1076" s="32"/>
      <c r="L1076" s="32"/>
      <c r="M1076" s="38">
        <f t="shared" si="49"/>
        <v>5</v>
      </c>
      <c r="N1076" s="39">
        <f t="shared" si="50"/>
        <v>1.7106011999999999</v>
      </c>
      <c r="O1076" s="26"/>
      <c r="P1076" s="31" t="s">
        <v>30</v>
      </c>
    </row>
    <row r="1077" spans="1:16" x14ac:dyDescent="0.25">
      <c r="A1077" s="26">
        <v>1076</v>
      </c>
      <c r="B1077" s="26" t="s">
        <v>2300</v>
      </c>
      <c r="C1077" s="26" t="s">
        <v>2301</v>
      </c>
      <c r="D1077" s="28" t="s">
        <v>2302</v>
      </c>
      <c r="E1077" s="26" t="s">
        <v>18</v>
      </c>
      <c r="F1077" s="26"/>
      <c r="G1077" s="29">
        <v>10.199999999999999</v>
      </c>
      <c r="H1077" s="26">
        <v>137</v>
      </c>
      <c r="I1077" s="26">
        <v>126</v>
      </c>
      <c r="J1077" s="33">
        <f t="shared" si="51"/>
        <v>131</v>
      </c>
      <c r="K1077" s="32"/>
      <c r="L1077" s="32"/>
      <c r="M1077" s="38">
        <f t="shared" si="49"/>
        <v>10.199999999999999</v>
      </c>
      <c r="N1077" s="39">
        <f t="shared" si="50"/>
        <v>13.747814387999998</v>
      </c>
      <c r="O1077" s="26"/>
      <c r="P1077" s="31" t="s">
        <v>19</v>
      </c>
    </row>
    <row r="1078" spans="1:16" x14ac:dyDescent="0.25">
      <c r="A1078" s="26">
        <v>1077</v>
      </c>
      <c r="B1078" s="26" t="s">
        <v>2303</v>
      </c>
      <c r="C1078" s="26" t="s">
        <v>2304</v>
      </c>
      <c r="D1078" s="28">
        <v>5186</v>
      </c>
      <c r="E1078" s="26" t="s">
        <v>18</v>
      </c>
      <c r="F1078" s="26"/>
      <c r="G1078" s="29">
        <v>8.8000000000000007</v>
      </c>
      <c r="H1078" s="26">
        <v>142</v>
      </c>
      <c r="I1078" s="26">
        <v>131</v>
      </c>
      <c r="J1078" s="33">
        <f t="shared" si="51"/>
        <v>136</v>
      </c>
      <c r="K1078" s="32"/>
      <c r="L1078" s="32"/>
      <c r="M1078" s="38">
        <f t="shared" si="49"/>
        <v>8.8000000000000007</v>
      </c>
      <c r="N1078" s="39">
        <f t="shared" si="50"/>
        <v>12.783547392000003</v>
      </c>
      <c r="O1078" s="26"/>
      <c r="P1078" s="31" t="s">
        <v>19</v>
      </c>
    </row>
    <row r="1079" spans="1:16" x14ac:dyDescent="0.25">
      <c r="A1079" s="26">
        <v>1078</v>
      </c>
      <c r="B1079" s="26" t="s">
        <v>2305</v>
      </c>
      <c r="C1079" s="26" t="s">
        <v>2306</v>
      </c>
      <c r="D1079" s="28" t="s">
        <v>2307</v>
      </c>
      <c r="E1079" s="26" t="s">
        <v>18</v>
      </c>
      <c r="F1079" s="26"/>
      <c r="G1079" s="29">
        <v>12.3</v>
      </c>
      <c r="H1079" s="26">
        <v>111</v>
      </c>
      <c r="I1079" s="26">
        <v>89</v>
      </c>
      <c r="J1079" s="33">
        <f t="shared" si="51"/>
        <v>100</v>
      </c>
      <c r="K1079" s="32"/>
      <c r="L1079" s="32"/>
      <c r="M1079" s="38">
        <f t="shared" si="49"/>
        <v>12.3</v>
      </c>
      <c r="N1079" s="39">
        <f t="shared" si="50"/>
        <v>9.6604200000000002</v>
      </c>
      <c r="O1079" s="26"/>
      <c r="P1079" s="31" t="s">
        <v>30</v>
      </c>
    </row>
    <row r="1080" spans="1:16" x14ac:dyDescent="0.25">
      <c r="A1080" s="26">
        <v>1079</v>
      </c>
      <c r="B1080" s="26" t="s">
        <v>2308</v>
      </c>
      <c r="C1080" s="26" t="s">
        <v>2309</v>
      </c>
      <c r="D1080" s="28" t="s">
        <v>2310</v>
      </c>
      <c r="E1080" s="26" t="s">
        <v>18</v>
      </c>
      <c r="F1080" s="26"/>
      <c r="G1080" s="29">
        <v>12.3</v>
      </c>
      <c r="H1080" s="26">
        <v>89</v>
      </c>
      <c r="I1080" s="26">
        <v>74</v>
      </c>
      <c r="J1080" s="33">
        <f t="shared" si="51"/>
        <v>81</v>
      </c>
      <c r="K1080" s="32">
        <v>0.5</v>
      </c>
      <c r="L1080" s="32"/>
      <c r="M1080" s="38">
        <f t="shared" si="49"/>
        <v>11.8</v>
      </c>
      <c r="N1080" s="39">
        <f t="shared" si="50"/>
        <v>6.0805510920000003</v>
      </c>
      <c r="O1080" s="26" t="s">
        <v>1007</v>
      </c>
      <c r="P1080" s="31" t="s">
        <v>19</v>
      </c>
    </row>
    <row r="1081" spans="1:16" x14ac:dyDescent="0.25">
      <c r="A1081" s="26">
        <v>1080</v>
      </c>
      <c r="B1081" s="26" t="s">
        <v>2311</v>
      </c>
      <c r="C1081" s="40" t="s">
        <v>2312</v>
      </c>
      <c r="D1081" s="28">
        <v>5187</v>
      </c>
      <c r="E1081" s="26" t="s">
        <v>18</v>
      </c>
      <c r="F1081" s="26"/>
      <c r="G1081" s="29">
        <v>6.9</v>
      </c>
      <c r="H1081" s="26">
        <v>75</v>
      </c>
      <c r="I1081" s="26">
        <v>69</v>
      </c>
      <c r="J1081" s="33">
        <f t="shared" si="51"/>
        <v>72</v>
      </c>
      <c r="K1081" s="32"/>
      <c r="L1081" s="32"/>
      <c r="M1081" s="38">
        <f t="shared" si="49"/>
        <v>6.9</v>
      </c>
      <c r="N1081" s="39">
        <f t="shared" si="50"/>
        <v>2.8093443840000001</v>
      </c>
      <c r="O1081" s="26"/>
      <c r="P1081" s="31" t="s">
        <v>19</v>
      </c>
    </row>
    <row r="1082" spans="1:16" x14ac:dyDescent="0.25">
      <c r="A1082" s="26">
        <v>1081</v>
      </c>
      <c r="B1082" s="26" t="s">
        <v>2313</v>
      </c>
      <c r="C1082" s="26" t="s">
        <v>2314</v>
      </c>
      <c r="D1082" s="28">
        <v>4848</v>
      </c>
      <c r="E1082" s="26" t="s">
        <v>18</v>
      </c>
      <c r="F1082" s="26"/>
      <c r="G1082" s="29">
        <v>11.7</v>
      </c>
      <c r="H1082" s="26">
        <v>81</v>
      </c>
      <c r="I1082" s="26">
        <v>75</v>
      </c>
      <c r="J1082" s="33">
        <f t="shared" si="51"/>
        <v>78</v>
      </c>
      <c r="K1082" s="32"/>
      <c r="L1082" s="32"/>
      <c r="M1082" s="38">
        <f t="shared" si="49"/>
        <v>11.7</v>
      </c>
      <c r="N1082" s="39">
        <f t="shared" si="50"/>
        <v>5.590697112</v>
      </c>
      <c r="O1082" s="26"/>
      <c r="P1082" s="31" t="s">
        <v>19</v>
      </c>
    </row>
    <row r="1083" spans="1:16" x14ac:dyDescent="0.25">
      <c r="A1083" s="26">
        <v>1082</v>
      </c>
      <c r="B1083" s="26" t="s">
        <v>2315</v>
      </c>
      <c r="C1083" s="26" t="s">
        <v>2316</v>
      </c>
      <c r="D1083" s="28" t="s">
        <v>2317</v>
      </c>
      <c r="E1083" s="26" t="s">
        <v>18</v>
      </c>
      <c r="F1083" s="26"/>
      <c r="G1083" s="29">
        <v>12</v>
      </c>
      <c r="H1083" s="26">
        <v>78</v>
      </c>
      <c r="I1083" s="26">
        <v>74</v>
      </c>
      <c r="J1083" s="33">
        <f t="shared" si="51"/>
        <v>76</v>
      </c>
      <c r="K1083" s="32"/>
      <c r="L1083" s="32"/>
      <c r="M1083" s="38">
        <f t="shared" si="49"/>
        <v>12</v>
      </c>
      <c r="N1083" s="39">
        <f t="shared" si="50"/>
        <v>5.4437644800000005</v>
      </c>
      <c r="O1083" s="26"/>
      <c r="P1083" s="31" t="s">
        <v>19</v>
      </c>
    </row>
    <row r="1084" spans="1:16" x14ac:dyDescent="0.25">
      <c r="A1084" s="26">
        <v>1083</v>
      </c>
      <c r="B1084" s="33" t="s">
        <v>2318</v>
      </c>
      <c r="C1084" s="26" t="s">
        <v>2319</v>
      </c>
      <c r="D1084" s="28">
        <v>5188</v>
      </c>
      <c r="E1084" s="33" t="s">
        <v>18</v>
      </c>
      <c r="F1084" s="33"/>
      <c r="G1084" s="29">
        <v>10.7</v>
      </c>
      <c r="H1084" s="26">
        <v>82</v>
      </c>
      <c r="I1084" s="26">
        <v>77</v>
      </c>
      <c r="J1084" s="33">
        <f t="shared" si="51"/>
        <v>79</v>
      </c>
      <c r="K1084" s="26"/>
      <c r="L1084" s="33"/>
      <c r="M1084" s="38">
        <f t="shared" si="49"/>
        <v>10.7</v>
      </c>
      <c r="N1084" s="39">
        <f t="shared" si="50"/>
        <v>5.2447990979999997</v>
      </c>
      <c r="O1084" s="26"/>
      <c r="P1084" s="31" t="s">
        <v>19</v>
      </c>
    </row>
    <row r="1085" spans="1:16" x14ac:dyDescent="0.25">
      <c r="A1085" s="26">
        <v>1084</v>
      </c>
      <c r="B1085" s="33" t="s">
        <v>2320</v>
      </c>
      <c r="C1085" s="26" t="s">
        <v>2321</v>
      </c>
      <c r="D1085" s="28" t="s">
        <v>2322</v>
      </c>
      <c r="E1085" s="33" t="s">
        <v>18</v>
      </c>
      <c r="F1085" s="33"/>
      <c r="G1085" s="29">
        <v>8.6</v>
      </c>
      <c r="H1085" s="26">
        <v>78</v>
      </c>
      <c r="I1085" s="26">
        <v>65</v>
      </c>
      <c r="J1085" s="33">
        <f t="shared" si="51"/>
        <v>71</v>
      </c>
      <c r="K1085" s="26">
        <v>0.5</v>
      </c>
      <c r="L1085" s="33"/>
      <c r="M1085" s="38">
        <f t="shared" si="49"/>
        <v>8.1</v>
      </c>
      <c r="N1085" s="39">
        <f t="shared" si="50"/>
        <v>3.2069531339999999</v>
      </c>
      <c r="O1085" s="26" t="s">
        <v>35</v>
      </c>
      <c r="P1085" s="31" t="s">
        <v>19</v>
      </c>
    </row>
    <row r="1086" spans="1:16" x14ac:dyDescent="0.25">
      <c r="A1086" s="26">
        <v>1085</v>
      </c>
      <c r="B1086" s="33" t="s">
        <v>2323</v>
      </c>
      <c r="C1086" s="26" t="s">
        <v>2324</v>
      </c>
      <c r="D1086" s="28" t="s">
        <v>2325</v>
      </c>
      <c r="E1086" s="33" t="s">
        <v>18</v>
      </c>
      <c r="F1086" s="33"/>
      <c r="G1086" s="29">
        <v>5.9</v>
      </c>
      <c r="H1086" s="26">
        <v>88</v>
      </c>
      <c r="I1086" s="26">
        <v>87</v>
      </c>
      <c r="J1086" s="33">
        <f t="shared" si="51"/>
        <v>87</v>
      </c>
      <c r="K1086" s="26"/>
      <c r="L1086" s="33"/>
      <c r="M1086" s="38">
        <f t="shared" si="49"/>
        <v>5.9</v>
      </c>
      <c r="N1086" s="39">
        <f t="shared" si="50"/>
        <v>3.5073686340000005</v>
      </c>
      <c r="O1086" s="26"/>
      <c r="P1086" s="31" t="s">
        <v>19</v>
      </c>
    </row>
    <row r="1087" spans="1:16" x14ac:dyDescent="0.25">
      <c r="A1087" s="26">
        <v>1086</v>
      </c>
      <c r="B1087" s="33" t="s">
        <v>2326</v>
      </c>
      <c r="C1087" s="32" t="s">
        <v>2327</v>
      </c>
      <c r="D1087" s="28" t="s">
        <v>2328</v>
      </c>
      <c r="E1087" s="33" t="s">
        <v>18</v>
      </c>
      <c r="F1087" s="33"/>
      <c r="G1087" s="29">
        <v>11.1</v>
      </c>
      <c r="H1087" s="26">
        <v>69</v>
      </c>
      <c r="I1087" s="26">
        <v>65</v>
      </c>
      <c r="J1087" s="33">
        <f t="shared" si="51"/>
        <v>67</v>
      </c>
      <c r="K1087" s="26"/>
      <c r="L1087" s="33"/>
      <c r="M1087" s="38">
        <f t="shared" si="49"/>
        <v>11.1</v>
      </c>
      <c r="N1087" s="39">
        <f t="shared" si="50"/>
        <v>3.9134832660000001</v>
      </c>
      <c r="O1087" s="26"/>
      <c r="P1087" s="31" t="s">
        <v>19</v>
      </c>
    </row>
    <row r="1088" spans="1:16" x14ac:dyDescent="0.25">
      <c r="A1088" s="26">
        <v>1087</v>
      </c>
      <c r="B1088" s="33" t="s">
        <v>2329</v>
      </c>
      <c r="C1088" s="26" t="s">
        <v>2330</v>
      </c>
      <c r="D1088" s="28" t="s">
        <v>2331</v>
      </c>
      <c r="E1088" s="33" t="s">
        <v>18</v>
      </c>
      <c r="F1088" s="33"/>
      <c r="G1088" s="29">
        <v>10.1</v>
      </c>
      <c r="H1088" s="26">
        <v>95</v>
      </c>
      <c r="I1088" s="26">
        <v>87</v>
      </c>
      <c r="J1088" s="33">
        <f t="shared" si="51"/>
        <v>91</v>
      </c>
      <c r="K1088" s="26"/>
      <c r="L1088" s="33"/>
      <c r="M1088" s="38">
        <f t="shared" si="49"/>
        <v>10.1</v>
      </c>
      <c r="N1088" s="39">
        <f t="shared" si="50"/>
        <v>6.5689363739999989</v>
      </c>
      <c r="O1088" s="26"/>
      <c r="P1088" s="31" t="s">
        <v>30</v>
      </c>
    </row>
    <row r="1089" spans="1:16" x14ac:dyDescent="0.25">
      <c r="A1089" s="26">
        <v>1088</v>
      </c>
      <c r="B1089" s="33" t="s">
        <v>2332</v>
      </c>
      <c r="C1089" s="26" t="s">
        <v>2333</v>
      </c>
      <c r="D1089" s="28" t="s">
        <v>2334</v>
      </c>
      <c r="E1089" s="33" t="s">
        <v>18</v>
      </c>
      <c r="F1089" s="33"/>
      <c r="G1089" s="29">
        <v>7.2</v>
      </c>
      <c r="H1089" s="26">
        <v>97</v>
      </c>
      <c r="I1089" s="26">
        <v>86</v>
      </c>
      <c r="J1089" s="33">
        <f t="shared" si="51"/>
        <v>91</v>
      </c>
      <c r="K1089" s="26"/>
      <c r="L1089" s="33"/>
      <c r="M1089" s="38">
        <f t="shared" si="49"/>
        <v>7.2</v>
      </c>
      <c r="N1089" s="39">
        <f t="shared" si="50"/>
        <v>4.6828061280000002</v>
      </c>
      <c r="O1089" s="26"/>
      <c r="P1089" s="31" t="s">
        <v>19</v>
      </c>
    </row>
    <row r="1090" spans="1:16" x14ac:dyDescent="0.25">
      <c r="A1090" s="26">
        <v>1089</v>
      </c>
      <c r="B1090" s="33" t="s">
        <v>2335</v>
      </c>
      <c r="C1090" s="26" t="s">
        <v>2336</v>
      </c>
      <c r="D1090" s="28">
        <v>4850</v>
      </c>
      <c r="E1090" s="33" t="s">
        <v>18</v>
      </c>
      <c r="F1090" s="33"/>
      <c r="G1090" s="29">
        <v>13</v>
      </c>
      <c r="H1090" s="26">
        <v>104</v>
      </c>
      <c r="I1090" s="26">
        <v>92</v>
      </c>
      <c r="J1090" s="33">
        <f t="shared" si="51"/>
        <v>98</v>
      </c>
      <c r="K1090" s="26"/>
      <c r="L1090" s="33"/>
      <c r="M1090" s="38">
        <f t="shared" ref="M1090:M1153" si="52">G1090-K1090</f>
        <v>13</v>
      </c>
      <c r="N1090" s="39">
        <f t="shared" ref="N1090:N1153" si="53">J1090*J1090*M1090*0.7854/10000</f>
        <v>9.8058760800000009</v>
      </c>
      <c r="O1090" s="26"/>
      <c r="P1090" s="31" t="s">
        <v>19</v>
      </c>
    </row>
    <row r="1091" spans="1:16" x14ac:dyDescent="0.25">
      <c r="A1091" s="26">
        <v>1090</v>
      </c>
      <c r="B1091" s="33" t="s">
        <v>2337</v>
      </c>
      <c r="C1091" s="26" t="s">
        <v>2338</v>
      </c>
      <c r="D1091" s="28">
        <v>5190</v>
      </c>
      <c r="E1091" s="33" t="s">
        <v>18</v>
      </c>
      <c r="F1091" s="33"/>
      <c r="G1091" s="29">
        <v>6.7</v>
      </c>
      <c r="H1091" s="26">
        <v>76</v>
      </c>
      <c r="I1091" s="26">
        <v>75</v>
      </c>
      <c r="J1091" s="33">
        <f t="shared" si="51"/>
        <v>75</v>
      </c>
      <c r="K1091" s="26">
        <v>0.3</v>
      </c>
      <c r="L1091" s="33"/>
      <c r="M1091" s="38">
        <f t="shared" si="52"/>
        <v>6.4</v>
      </c>
      <c r="N1091" s="39">
        <f t="shared" si="53"/>
        <v>2.8274399999999997</v>
      </c>
      <c r="O1091" s="26" t="s">
        <v>21</v>
      </c>
      <c r="P1091" s="31" t="s">
        <v>30</v>
      </c>
    </row>
    <row r="1092" spans="1:16" x14ac:dyDescent="0.25">
      <c r="A1092" s="26">
        <v>1091</v>
      </c>
      <c r="B1092" s="33" t="s">
        <v>2339</v>
      </c>
      <c r="C1092" s="26" t="s">
        <v>2340</v>
      </c>
      <c r="D1092" s="28" t="s">
        <v>2341</v>
      </c>
      <c r="E1092" s="33" t="s">
        <v>18</v>
      </c>
      <c r="F1092" s="33"/>
      <c r="G1092" s="29">
        <v>13.9</v>
      </c>
      <c r="H1092" s="26">
        <v>70</v>
      </c>
      <c r="I1092" s="26">
        <v>65</v>
      </c>
      <c r="J1092" s="33">
        <f t="shared" si="51"/>
        <v>67</v>
      </c>
      <c r="K1092" s="26"/>
      <c r="L1092" s="33"/>
      <c r="M1092" s="38">
        <f t="shared" si="52"/>
        <v>13.9</v>
      </c>
      <c r="N1092" s="39">
        <f t="shared" si="53"/>
        <v>4.9006682340000003</v>
      </c>
      <c r="O1092" s="26"/>
      <c r="P1092" s="31" t="s">
        <v>19</v>
      </c>
    </row>
    <row r="1093" spans="1:16" x14ac:dyDescent="0.25">
      <c r="A1093" s="26">
        <v>1092</v>
      </c>
      <c r="B1093" s="33" t="s">
        <v>2342</v>
      </c>
      <c r="C1093" s="26" t="s">
        <v>2343</v>
      </c>
      <c r="D1093" s="28" t="s">
        <v>2344</v>
      </c>
      <c r="E1093" s="33" t="s">
        <v>18</v>
      </c>
      <c r="F1093" s="33"/>
      <c r="G1093" s="29">
        <v>12</v>
      </c>
      <c r="H1093" s="26">
        <v>94</v>
      </c>
      <c r="I1093" s="26">
        <v>86</v>
      </c>
      <c r="J1093" s="33">
        <f t="shared" si="51"/>
        <v>90</v>
      </c>
      <c r="K1093" s="26"/>
      <c r="L1093" s="33"/>
      <c r="M1093" s="38">
        <f t="shared" si="52"/>
        <v>12</v>
      </c>
      <c r="N1093" s="39">
        <f t="shared" si="53"/>
        <v>7.6340880000000002</v>
      </c>
      <c r="O1093" s="26"/>
      <c r="P1093" s="31" t="s">
        <v>19</v>
      </c>
    </row>
    <row r="1094" spans="1:16" x14ac:dyDescent="0.25">
      <c r="A1094" s="26">
        <v>1093</v>
      </c>
      <c r="B1094" s="33" t="s">
        <v>2345</v>
      </c>
      <c r="C1094" s="26" t="s">
        <v>2346</v>
      </c>
      <c r="D1094" s="28">
        <v>4863</v>
      </c>
      <c r="E1094" s="33" t="s">
        <v>18</v>
      </c>
      <c r="F1094" s="33"/>
      <c r="G1094" s="29">
        <v>8.1999999999999993</v>
      </c>
      <c r="H1094" s="26">
        <v>84</v>
      </c>
      <c r="I1094" s="26">
        <v>83</v>
      </c>
      <c r="J1094" s="33">
        <f t="shared" si="51"/>
        <v>83</v>
      </c>
      <c r="K1094" s="26">
        <v>0.3</v>
      </c>
      <c r="L1094" s="33"/>
      <c r="M1094" s="38">
        <f t="shared" si="52"/>
        <v>7.8999999999999995</v>
      </c>
      <c r="N1094" s="39">
        <f t="shared" si="53"/>
        <v>4.2743902739999999</v>
      </c>
      <c r="O1094" s="26" t="s">
        <v>1007</v>
      </c>
      <c r="P1094" s="31" t="s">
        <v>30</v>
      </c>
    </row>
    <row r="1095" spans="1:16" x14ac:dyDescent="0.25">
      <c r="A1095" s="26">
        <v>1094</v>
      </c>
      <c r="B1095" s="33" t="s">
        <v>2347</v>
      </c>
      <c r="C1095" s="26" t="s">
        <v>2348</v>
      </c>
      <c r="D1095" s="28" t="s">
        <v>2349</v>
      </c>
      <c r="E1095" s="33" t="s">
        <v>18</v>
      </c>
      <c r="F1095" s="33"/>
      <c r="G1095" s="29">
        <v>6.3</v>
      </c>
      <c r="H1095" s="26">
        <v>92</v>
      </c>
      <c r="I1095" s="26">
        <v>88</v>
      </c>
      <c r="J1095" s="33">
        <f t="shared" si="51"/>
        <v>90</v>
      </c>
      <c r="K1095" s="26">
        <v>0.3</v>
      </c>
      <c r="L1095" s="33"/>
      <c r="M1095" s="38">
        <f t="shared" si="52"/>
        <v>6</v>
      </c>
      <c r="N1095" s="39">
        <f t="shared" si="53"/>
        <v>3.8170440000000001</v>
      </c>
      <c r="O1095" s="26" t="s">
        <v>21</v>
      </c>
      <c r="P1095" s="31" t="s">
        <v>19</v>
      </c>
    </row>
    <row r="1096" spans="1:16" x14ac:dyDescent="0.25">
      <c r="A1096" s="26">
        <v>1095</v>
      </c>
      <c r="B1096" s="33" t="s">
        <v>2350</v>
      </c>
      <c r="C1096" s="26" t="s">
        <v>2351</v>
      </c>
      <c r="D1096" s="28">
        <v>4731</v>
      </c>
      <c r="E1096" s="33" t="s">
        <v>18</v>
      </c>
      <c r="F1096" s="33"/>
      <c r="G1096" s="29">
        <v>13.1</v>
      </c>
      <c r="H1096" s="26">
        <v>81</v>
      </c>
      <c r="I1096" s="26">
        <v>69</v>
      </c>
      <c r="J1096" s="33">
        <f t="shared" si="51"/>
        <v>75</v>
      </c>
      <c r="K1096" s="26"/>
      <c r="L1096" s="33"/>
      <c r="M1096" s="38">
        <f t="shared" si="52"/>
        <v>13.1</v>
      </c>
      <c r="N1096" s="39">
        <f t="shared" si="53"/>
        <v>5.7874162499999997</v>
      </c>
      <c r="O1096" s="26"/>
      <c r="P1096" s="31" t="s">
        <v>19</v>
      </c>
    </row>
    <row r="1097" spans="1:16" x14ac:dyDescent="0.25">
      <c r="A1097" s="26">
        <v>1096</v>
      </c>
      <c r="B1097" s="33" t="s">
        <v>2352</v>
      </c>
      <c r="C1097" s="26" t="s">
        <v>2353</v>
      </c>
      <c r="D1097" s="28" t="s">
        <v>2354</v>
      </c>
      <c r="E1097" s="33" t="s">
        <v>18</v>
      </c>
      <c r="F1097" s="33"/>
      <c r="G1097" s="29">
        <v>11.2</v>
      </c>
      <c r="H1097" s="26">
        <v>96</v>
      </c>
      <c r="I1097" s="26">
        <v>85</v>
      </c>
      <c r="J1097" s="33">
        <f t="shared" si="51"/>
        <v>90</v>
      </c>
      <c r="K1097" s="26"/>
      <c r="L1097" s="33"/>
      <c r="M1097" s="38">
        <f t="shared" si="52"/>
        <v>11.2</v>
      </c>
      <c r="N1097" s="39">
        <f t="shared" si="53"/>
        <v>7.1251487999999998</v>
      </c>
      <c r="O1097" s="26"/>
      <c r="P1097" s="31" t="s">
        <v>19</v>
      </c>
    </row>
    <row r="1098" spans="1:16" x14ac:dyDescent="0.25">
      <c r="A1098" s="26">
        <v>1097</v>
      </c>
      <c r="B1098" s="33" t="s">
        <v>2355</v>
      </c>
      <c r="C1098" s="26" t="s">
        <v>2356</v>
      </c>
      <c r="D1098" s="28">
        <v>4864</v>
      </c>
      <c r="E1098" s="33" t="s">
        <v>18</v>
      </c>
      <c r="F1098" s="33"/>
      <c r="G1098" s="29">
        <v>12.1</v>
      </c>
      <c r="H1098" s="26">
        <v>88</v>
      </c>
      <c r="I1098" s="26">
        <v>84</v>
      </c>
      <c r="J1098" s="33">
        <f t="shared" si="51"/>
        <v>86</v>
      </c>
      <c r="K1098" s="26"/>
      <c r="L1098" s="33"/>
      <c r="M1098" s="38">
        <f t="shared" si="52"/>
        <v>12.1</v>
      </c>
      <c r="N1098" s="39">
        <f t="shared" si="53"/>
        <v>7.0286702639999987</v>
      </c>
      <c r="O1098" s="26"/>
      <c r="P1098" s="31" t="s">
        <v>19</v>
      </c>
    </row>
    <row r="1099" spans="1:16" x14ac:dyDescent="0.25">
      <c r="A1099" s="26">
        <v>1098</v>
      </c>
      <c r="B1099" s="33" t="s">
        <v>2357</v>
      </c>
      <c r="C1099" s="26" t="s">
        <v>2358</v>
      </c>
      <c r="D1099" s="28" t="s">
        <v>2359</v>
      </c>
      <c r="E1099" s="33" t="s">
        <v>18</v>
      </c>
      <c r="F1099" s="33"/>
      <c r="G1099" s="29">
        <v>14.6</v>
      </c>
      <c r="H1099" s="26">
        <v>92</v>
      </c>
      <c r="I1099" s="26">
        <v>81</v>
      </c>
      <c r="J1099" s="33">
        <f t="shared" si="51"/>
        <v>86</v>
      </c>
      <c r="K1099" s="26">
        <v>0.3</v>
      </c>
      <c r="L1099" s="33"/>
      <c r="M1099" s="38">
        <f t="shared" si="52"/>
        <v>14.299999999999999</v>
      </c>
      <c r="N1099" s="39">
        <f t="shared" si="53"/>
        <v>8.3066103119999983</v>
      </c>
      <c r="O1099" s="26" t="s">
        <v>53</v>
      </c>
      <c r="P1099" s="31" t="s">
        <v>19</v>
      </c>
    </row>
    <row r="1100" spans="1:16" x14ac:dyDescent="0.25">
      <c r="A1100" s="26">
        <v>1099</v>
      </c>
      <c r="B1100" s="33" t="s">
        <v>2360</v>
      </c>
      <c r="C1100" s="26" t="s">
        <v>2361</v>
      </c>
      <c r="D1100" s="28" t="s">
        <v>2362</v>
      </c>
      <c r="E1100" s="33" t="s">
        <v>18</v>
      </c>
      <c r="F1100" s="33"/>
      <c r="G1100" s="29">
        <v>10.1</v>
      </c>
      <c r="H1100" s="26">
        <v>99</v>
      </c>
      <c r="I1100" s="26">
        <v>81</v>
      </c>
      <c r="J1100" s="33">
        <f t="shared" si="51"/>
        <v>90</v>
      </c>
      <c r="K1100" s="26"/>
      <c r="L1100" s="33"/>
      <c r="M1100" s="38">
        <f t="shared" si="52"/>
        <v>10.1</v>
      </c>
      <c r="N1100" s="39">
        <f t="shared" si="53"/>
        <v>6.4253574000000002</v>
      </c>
      <c r="O1100" s="26"/>
      <c r="P1100" s="31" t="s">
        <v>19</v>
      </c>
    </row>
    <row r="1101" spans="1:16" x14ac:dyDescent="0.25">
      <c r="A1101" s="26">
        <v>1100</v>
      </c>
      <c r="B1101" s="33" t="s">
        <v>2363</v>
      </c>
      <c r="C1101" s="26" t="s">
        <v>2364</v>
      </c>
      <c r="D1101" s="28" t="s">
        <v>2365</v>
      </c>
      <c r="E1101" s="33" t="s">
        <v>18</v>
      </c>
      <c r="F1101" s="33"/>
      <c r="G1101" s="29">
        <v>13.3</v>
      </c>
      <c r="H1101" s="26">
        <v>100</v>
      </c>
      <c r="I1101" s="26">
        <v>89</v>
      </c>
      <c r="J1101" s="33">
        <f t="shared" si="51"/>
        <v>94</v>
      </c>
      <c r="K1101" s="26">
        <v>0.3</v>
      </c>
      <c r="L1101" s="33"/>
      <c r="M1101" s="38">
        <f t="shared" si="52"/>
        <v>13</v>
      </c>
      <c r="N1101" s="39">
        <f t="shared" si="53"/>
        <v>9.0217327199999993</v>
      </c>
      <c r="O1101" s="26" t="s">
        <v>21</v>
      </c>
      <c r="P1101" s="31" t="s">
        <v>19</v>
      </c>
    </row>
    <row r="1102" spans="1:16" x14ac:dyDescent="0.25">
      <c r="A1102" s="26">
        <v>1101</v>
      </c>
      <c r="B1102" s="33" t="s">
        <v>2366</v>
      </c>
      <c r="C1102" s="26" t="s">
        <v>2367</v>
      </c>
      <c r="D1102" s="28" t="s">
        <v>2368</v>
      </c>
      <c r="E1102" s="33" t="s">
        <v>18</v>
      </c>
      <c r="F1102" s="33"/>
      <c r="G1102" s="29">
        <v>10.8</v>
      </c>
      <c r="H1102" s="26">
        <v>90</v>
      </c>
      <c r="I1102" s="26">
        <v>82</v>
      </c>
      <c r="J1102" s="33">
        <f t="shared" si="51"/>
        <v>86</v>
      </c>
      <c r="K1102" s="26">
        <v>0.3</v>
      </c>
      <c r="L1102" s="33"/>
      <c r="M1102" s="38">
        <f t="shared" si="52"/>
        <v>10.5</v>
      </c>
      <c r="N1102" s="39">
        <f t="shared" si="53"/>
        <v>6.0992593199999998</v>
      </c>
      <c r="O1102" s="26" t="s">
        <v>1007</v>
      </c>
      <c r="P1102" s="31" t="s">
        <v>19</v>
      </c>
    </row>
    <row r="1103" spans="1:16" x14ac:dyDescent="0.25">
      <c r="A1103" s="26">
        <v>1102</v>
      </c>
      <c r="B1103" s="33" t="s">
        <v>2369</v>
      </c>
      <c r="C1103" s="26" t="s">
        <v>2370</v>
      </c>
      <c r="D1103" s="28" t="s">
        <v>2371</v>
      </c>
      <c r="E1103" s="33" t="s">
        <v>18</v>
      </c>
      <c r="F1103" s="33"/>
      <c r="G1103" s="29">
        <v>13.1</v>
      </c>
      <c r="H1103" s="26">
        <v>89</v>
      </c>
      <c r="I1103" s="26">
        <v>81</v>
      </c>
      <c r="J1103" s="33">
        <f t="shared" si="51"/>
        <v>85</v>
      </c>
      <c r="K1103" s="26"/>
      <c r="L1103" s="33"/>
      <c r="M1103" s="38">
        <f t="shared" si="52"/>
        <v>13.1</v>
      </c>
      <c r="N1103" s="39">
        <f t="shared" si="53"/>
        <v>7.43361465</v>
      </c>
      <c r="O1103" s="26"/>
      <c r="P1103" s="31" t="s">
        <v>30</v>
      </c>
    </row>
    <row r="1104" spans="1:16" x14ac:dyDescent="0.25">
      <c r="A1104" s="26">
        <v>1103</v>
      </c>
      <c r="B1104" s="33" t="s">
        <v>2372</v>
      </c>
      <c r="C1104" s="26" t="s">
        <v>2373</v>
      </c>
      <c r="D1104" s="28" t="s">
        <v>2374</v>
      </c>
      <c r="E1104" s="33" t="s">
        <v>18</v>
      </c>
      <c r="F1104" s="33"/>
      <c r="G1104" s="29">
        <v>6.1</v>
      </c>
      <c r="H1104" s="26">
        <v>98</v>
      </c>
      <c r="I1104" s="26">
        <v>97</v>
      </c>
      <c r="J1104" s="33">
        <f t="shared" si="51"/>
        <v>97</v>
      </c>
      <c r="K1104" s="26"/>
      <c r="L1104" s="33"/>
      <c r="M1104" s="38">
        <f t="shared" si="52"/>
        <v>6.1</v>
      </c>
      <c r="N1104" s="39">
        <f t="shared" si="53"/>
        <v>4.5077954459999994</v>
      </c>
      <c r="O1104" s="26"/>
      <c r="P1104" s="31" t="s">
        <v>19</v>
      </c>
    </row>
    <row r="1105" spans="1:16" x14ac:dyDescent="0.25">
      <c r="A1105" s="26">
        <v>1104</v>
      </c>
      <c r="B1105" s="33" t="s">
        <v>2375</v>
      </c>
      <c r="C1105" s="26" t="s">
        <v>2376</v>
      </c>
      <c r="D1105" s="28">
        <v>4866</v>
      </c>
      <c r="E1105" s="33" t="s">
        <v>18</v>
      </c>
      <c r="F1105" s="33"/>
      <c r="G1105" s="29">
        <v>6.7</v>
      </c>
      <c r="H1105" s="26">
        <v>71</v>
      </c>
      <c r="I1105" s="26">
        <v>62</v>
      </c>
      <c r="J1105" s="33">
        <f t="shared" si="51"/>
        <v>66</v>
      </c>
      <c r="K1105" s="26"/>
      <c r="L1105" s="33"/>
      <c r="M1105" s="38">
        <f t="shared" si="52"/>
        <v>6.7</v>
      </c>
      <c r="N1105" s="39">
        <f t="shared" si="53"/>
        <v>2.2922056079999997</v>
      </c>
      <c r="O1105" s="26"/>
      <c r="P1105" s="31" t="s">
        <v>19</v>
      </c>
    </row>
    <row r="1106" spans="1:16" x14ac:dyDescent="0.25">
      <c r="A1106" s="26">
        <v>1105</v>
      </c>
      <c r="B1106" s="33" t="s">
        <v>2377</v>
      </c>
      <c r="C1106" s="26" t="s">
        <v>2378</v>
      </c>
      <c r="D1106" s="28" t="s">
        <v>2379</v>
      </c>
      <c r="E1106" s="33" t="s">
        <v>18</v>
      </c>
      <c r="F1106" s="33"/>
      <c r="G1106" s="29">
        <v>13.3</v>
      </c>
      <c r="H1106" s="26">
        <v>74</v>
      </c>
      <c r="I1106" s="26">
        <v>68</v>
      </c>
      <c r="J1106" s="33">
        <f t="shared" si="51"/>
        <v>71</v>
      </c>
      <c r="K1106" s="26">
        <v>1.5</v>
      </c>
      <c r="L1106" s="33"/>
      <c r="M1106" s="38">
        <f t="shared" si="52"/>
        <v>11.8</v>
      </c>
      <c r="N1106" s="39">
        <f t="shared" si="53"/>
        <v>4.6718576519999999</v>
      </c>
      <c r="O1106" s="26" t="s">
        <v>53</v>
      </c>
      <c r="P1106" s="31" t="s">
        <v>30</v>
      </c>
    </row>
    <row r="1107" spans="1:16" x14ac:dyDescent="0.25">
      <c r="A1107" s="26">
        <v>1106</v>
      </c>
      <c r="B1107" s="33" t="s">
        <v>2380</v>
      </c>
      <c r="C1107" s="26" t="s">
        <v>2381</v>
      </c>
      <c r="D1107" s="28" t="s">
        <v>2382</v>
      </c>
      <c r="E1107" s="33" t="s">
        <v>18</v>
      </c>
      <c r="F1107" s="33"/>
      <c r="G1107" s="29">
        <v>6.5</v>
      </c>
      <c r="H1107" s="26">
        <v>100</v>
      </c>
      <c r="I1107" s="26">
        <v>96</v>
      </c>
      <c r="J1107" s="33">
        <f t="shared" si="51"/>
        <v>98</v>
      </c>
      <c r="K1107" s="26"/>
      <c r="L1107" s="33"/>
      <c r="M1107" s="38">
        <f t="shared" si="52"/>
        <v>6.5</v>
      </c>
      <c r="N1107" s="39">
        <f t="shared" si="53"/>
        <v>4.9029380400000004</v>
      </c>
      <c r="O1107" s="26"/>
      <c r="P1107" s="31" t="s">
        <v>19</v>
      </c>
    </row>
    <row r="1108" spans="1:16" x14ac:dyDescent="0.25">
      <c r="A1108" s="26">
        <v>1107</v>
      </c>
      <c r="B1108" s="33" t="s">
        <v>2383</v>
      </c>
      <c r="C1108" s="26" t="s">
        <v>2384</v>
      </c>
      <c r="D1108" s="28" t="s">
        <v>2385</v>
      </c>
      <c r="E1108" s="33" t="s">
        <v>18</v>
      </c>
      <c r="F1108" s="33"/>
      <c r="G1108" s="29">
        <v>5.8</v>
      </c>
      <c r="H1108" s="26">
        <v>98</v>
      </c>
      <c r="I1108" s="26">
        <v>97</v>
      </c>
      <c r="J1108" s="33">
        <f t="shared" si="51"/>
        <v>97</v>
      </c>
      <c r="K1108" s="26"/>
      <c r="L1108" s="33"/>
      <c r="M1108" s="38">
        <f t="shared" si="52"/>
        <v>5.8</v>
      </c>
      <c r="N1108" s="39">
        <f t="shared" si="53"/>
        <v>4.286100588</v>
      </c>
      <c r="O1108" s="26"/>
      <c r="P1108" s="31" t="s">
        <v>19</v>
      </c>
    </row>
    <row r="1109" spans="1:16" x14ac:dyDescent="0.25">
      <c r="A1109" s="26">
        <v>1108</v>
      </c>
      <c r="B1109" s="33" t="s">
        <v>2386</v>
      </c>
      <c r="C1109" s="26" t="s">
        <v>2387</v>
      </c>
      <c r="D1109" s="28" t="s">
        <v>2388</v>
      </c>
      <c r="E1109" s="33" t="s">
        <v>18</v>
      </c>
      <c r="F1109" s="33"/>
      <c r="G1109" s="29">
        <v>13.8</v>
      </c>
      <c r="H1109" s="26">
        <v>76</v>
      </c>
      <c r="I1109" s="26">
        <v>67</v>
      </c>
      <c r="J1109" s="33">
        <f t="shared" si="51"/>
        <v>71</v>
      </c>
      <c r="K1109" s="26"/>
      <c r="L1109" s="33"/>
      <c r="M1109" s="38">
        <f t="shared" si="52"/>
        <v>13.8</v>
      </c>
      <c r="N1109" s="39">
        <f t="shared" si="53"/>
        <v>5.4636979319999996</v>
      </c>
      <c r="O1109" s="26"/>
      <c r="P1109" s="31" t="s">
        <v>30</v>
      </c>
    </row>
    <row r="1110" spans="1:16" x14ac:dyDescent="0.25">
      <c r="A1110" s="26">
        <v>1109</v>
      </c>
      <c r="B1110" s="33" t="s">
        <v>2389</v>
      </c>
      <c r="C1110" s="26" t="s">
        <v>2390</v>
      </c>
      <c r="D1110" s="28" t="s">
        <v>2391</v>
      </c>
      <c r="E1110" s="33" t="s">
        <v>18</v>
      </c>
      <c r="F1110" s="33"/>
      <c r="G1110" s="29">
        <v>12.3</v>
      </c>
      <c r="H1110" s="26">
        <v>87</v>
      </c>
      <c r="I1110" s="26">
        <v>70</v>
      </c>
      <c r="J1110" s="33">
        <f t="shared" si="51"/>
        <v>78</v>
      </c>
      <c r="K1110" s="26"/>
      <c r="L1110" s="33"/>
      <c r="M1110" s="38">
        <f t="shared" si="52"/>
        <v>12.3</v>
      </c>
      <c r="N1110" s="39">
        <f t="shared" si="53"/>
        <v>5.8773995279999998</v>
      </c>
      <c r="O1110" s="26"/>
      <c r="P1110" s="31" t="s">
        <v>19</v>
      </c>
    </row>
    <row r="1111" spans="1:16" x14ac:dyDescent="0.25">
      <c r="A1111" s="26">
        <v>1110</v>
      </c>
      <c r="B1111" s="33" t="s">
        <v>2392</v>
      </c>
      <c r="C1111" s="26" t="s">
        <v>2393</v>
      </c>
      <c r="D1111" s="28" t="s">
        <v>2394</v>
      </c>
      <c r="E1111" s="33" t="s">
        <v>18</v>
      </c>
      <c r="F1111" s="33"/>
      <c r="G1111" s="29">
        <v>10</v>
      </c>
      <c r="H1111" s="26">
        <v>81</v>
      </c>
      <c r="I1111" s="26">
        <v>81</v>
      </c>
      <c r="J1111" s="33">
        <f t="shared" si="51"/>
        <v>81</v>
      </c>
      <c r="K1111" s="26">
        <v>0.5</v>
      </c>
      <c r="L1111" s="33"/>
      <c r="M1111" s="38">
        <f t="shared" si="52"/>
        <v>9.5</v>
      </c>
      <c r="N1111" s="39">
        <f t="shared" si="53"/>
        <v>4.8953589299999996</v>
      </c>
      <c r="O1111" s="26" t="s">
        <v>1007</v>
      </c>
      <c r="P1111" s="31" t="s">
        <v>19</v>
      </c>
    </row>
    <row r="1112" spans="1:16" x14ac:dyDescent="0.25">
      <c r="A1112" s="26">
        <v>1111</v>
      </c>
      <c r="B1112" s="33" t="s">
        <v>2395</v>
      </c>
      <c r="C1112" s="26" t="s">
        <v>2396</v>
      </c>
      <c r="D1112" s="28" t="s">
        <v>2397</v>
      </c>
      <c r="E1112" s="33" t="s">
        <v>18</v>
      </c>
      <c r="F1112" s="33"/>
      <c r="G1112" s="29">
        <v>13.3</v>
      </c>
      <c r="H1112" s="26">
        <v>74</v>
      </c>
      <c r="I1112" s="26">
        <v>72</v>
      </c>
      <c r="J1112" s="33">
        <f t="shared" si="51"/>
        <v>73</v>
      </c>
      <c r="K1112" s="26"/>
      <c r="L1112" s="33"/>
      <c r="M1112" s="38">
        <f t="shared" si="52"/>
        <v>13.3</v>
      </c>
      <c r="N1112" s="39">
        <f t="shared" si="53"/>
        <v>5.5665774780000001</v>
      </c>
      <c r="O1112" s="26"/>
      <c r="P1112" s="31" t="s">
        <v>19</v>
      </c>
    </row>
    <row r="1113" spans="1:16" x14ac:dyDescent="0.25">
      <c r="A1113" s="26">
        <v>1112</v>
      </c>
      <c r="B1113" s="33" t="s">
        <v>2398</v>
      </c>
      <c r="C1113" s="26" t="s">
        <v>2399</v>
      </c>
      <c r="D1113" s="28" t="s">
        <v>2400</v>
      </c>
      <c r="E1113" s="33" t="s">
        <v>18</v>
      </c>
      <c r="F1113" s="33"/>
      <c r="G1113" s="29">
        <v>11.1</v>
      </c>
      <c r="H1113" s="26">
        <v>75</v>
      </c>
      <c r="I1113" s="26">
        <v>68</v>
      </c>
      <c r="J1113" s="33">
        <f t="shared" si="51"/>
        <v>71</v>
      </c>
      <c r="K1113" s="26"/>
      <c r="L1113" s="33"/>
      <c r="M1113" s="38">
        <f t="shared" si="52"/>
        <v>11.1</v>
      </c>
      <c r="N1113" s="39">
        <f t="shared" si="53"/>
        <v>4.394713554</v>
      </c>
      <c r="O1113" s="26"/>
      <c r="P1113" s="31" t="s">
        <v>19</v>
      </c>
    </row>
    <row r="1114" spans="1:16" x14ac:dyDescent="0.25">
      <c r="A1114" s="26">
        <v>1113</v>
      </c>
      <c r="B1114" s="33" t="s">
        <v>2401</v>
      </c>
      <c r="C1114" s="26" t="s">
        <v>2402</v>
      </c>
      <c r="D1114" s="28" t="s">
        <v>2403</v>
      </c>
      <c r="E1114" s="33" t="s">
        <v>18</v>
      </c>
      <c r="F1114" s="33"/>
      <c r="G1114" s="29">
        <v>10.6</v>
      </c>
      <c r="H1114" s="26">
        <v>77</v>
      </c>
      <c r="I1114" s="26">
        <v>59</v>
      </c>
      <c r="J1114" s="33">
        <f t="shared" si="51"/>
        <v>68</v>
      </c>
      <c r="K1114" s="26">
        <v>0.3</v>
      </c>
      <c r="L1114" s="33"/>
      <c r="M1114" s="38">
        <f t="shared" si="52"/>
        <v>10.299999999999999</v>
      </c>
      <c r="N1114" s="39">
        <f t="shared" si="53"/>
        <v>3.7406402879999994</v>
      </c>
      <c r="O1114" s="26" t="s">
        <v>1007</v>
      </c>
      <c r="P1114" s="31" t="s">
        <v>19</v>
      </c>
    </row>
    <row r="1115" spans="1:16" x14ac:dyDescent="0.25">
      <c r="A1115" s="26">
        <v>1114</v>
      </c>
      <c r="B1115" s="33" t="s">
        <v>2404</v>
      </c>
      <c r="C1115" s="26" t="s">
        <v>2405</v>
      </c>
      <c r="D1115" s="28" t="s">
        <v>2406</v>
      </c>
      <c r="E1115" s="33" t="s">
        <v>18</v>
      </c>
      <c r="F1115" s="33"/>
      <c r="G1115" s="29">
        <v>10.7</v>
      </c>
      <c r="H1115" s="26">
        <v>72</v>
      </c>
      <c r="I1115" s="26">
        <v>68</v>
      </c>
      <c r="J1115" s="33">
        <f t="shared" si="51"/>
        <v>70</v>
      </c>
      <c r="K1115" s="26">
        <v>0.5</v>
      </c>
      <c r="L1115" s="33"/>
      <c r="M1115" s="38">
        <f t="shared" si="52"/>
        <v>10.199999999999999</v>
      </c>
      <c r="N1115" s="39">
        <f t="shared" si="53"/>
        <v>3.9254292</v>
      </c>
      <c r="O1115" s="26" t="s">
        <v>1007</v>
      </c>
      <c r="P1115" s="31" t="s">
        <v>19</v>
      </c>
    </row>
    <row r="1116" spans="1:16" x14ac:dyDescent="0.25">
      <c r="A1116" s="26">
        <v>1115</v>
      </c>
      <c r="B1116" s="33" t="s">
        <v>2407</v>
      </c>
      <c r="C1116" s="26" t="s">
        <v>2408</v>
      </c>
      <c r="D1116" s="28">
        <v>4856</v>
      </c>
      <c r="E1116" s="33" t="s">
        <v>18</v>
      </c>
      <c r="F1116" s="33"/>
      <c r="G1116" s="29">
        <v>10.3</v>
      </c>
      <c r="H1116" s="26">
        <v>82</v>
      </c>
      <c r="I1116" s="26">
        <v>71</v>
      </c>
      <c r="J1116" s="33">
        <f t="shared" si="51"/>
        <v>76</v>
      </c>
      <c r="K1116" s="26"/>
      <c r="L1116" s="33"/>
      <c r="M1116" s="38">
        <f t="shared" si="52"/>
        <v>10.3</v>
      </c>
      <c r="N1116" s="39">
        <f t="shared" si="53"/>
        <v>4.6725645120000001</v>
      </c>
      <c r="O1116" s="26"/>
      <c r="P1116" s="31" t="s">
        <v>19</v>
      </c>
    </row>
    <row r="1117" spans="1:16" x14ac:dyDescent="0.25">
      <c r="A1117" s="26">
        <v>1116</v>
      </c>
      <c r="B1117" s="33" t="s">
        <v>2409</v>
      </c>
      <c r="C1117" s="26" t="s">
        <v>2410</v>
      </c>
      <c r="D1117" s="28">
        <v>5105</v>
      </c>
      <c r="E1117" s="33" t="s">
        <v>18</v>
      </c>
      <c r="F1117" s="33"/>
      <c r="G1117" s="29">
        <v>6.1</v>
      </c>
      <c r="H1117" s="26">
        <v>71</v>
      </c>
      <c r="I1117" s="26">
        <v>66</v>
      </c>
      <c r="J1117" s="33">
        <f t="shared" si="51"/>
        <v>68</v>
      </c>
      <c r="K1117" s="26"/>
      <c r="L1117" s="33"/>
      <c r="M1117" s="38">
        <f t="shared" si="52"/>
        <v>6.1</v>
      </c>
      <c r="N1117" s="39">
        <f t="shared" si="53"/>
        <v>2.2153306559999999</v>
      </c>
      <c r="O1117" s="26"/>
      <c r="P1117" s="31" t="s">
        <v>19</v>
      </c>
    </row>
    <row r="1118" spans="1:16" x14ac:dyDescent="0.25">
      <c r="A1118" s="26">
        <v>1117</v>
      </c>
      <c r="B1118" s="33" t="s">
        <v>2411</v>
      </c>
      <c r="C1118" s="26" t="s">
        <v>2412</v>
      </c>
      <c r="D1118" s="28">
        <v>4857</v>
      </c>
      <c r="E1118" s="33" t="s">
        <v>18</v>
      </c>
      <c r="F1118" s="33"/>
      <c r="G1118" s="29">
        <v>13.7</v>
      </c>
      <c r="H1118" s="26">
        <v>71</v>
      </c>
      <c r="I1118" s="26">
        <v>60</v>
      </c>
      <c r="J1118" s="33">
        <f t="shared" si="51"/>
        <v>65</v>
      </c>
      <c r="K1118" s="26"/>
      <c r="L1118" s="33"/>
      <c r="M1118" s="38">
        <f t="shared" si="52"/>
        <v>13.7</v>
      </c>
      <c r="N1118" s="39">
        <f t="shared" si="53"/>
        <v>4.5460915499999999</v>
      </c>
      <c r="O1118" s="26"/>
      <c r="P1118" s="31" t="s">
        <v>30</v>
      </c>
    </row>
    <row r="1119" spans="1:16" x14ac:dyDescent="0.25">
      <c r="A1119" s="26">
        <v>1118</v>
      </c>
      <c r="B1119" s="33" t="s">
        <v>2413</v>
      </c>
      <c r="C1119" s="26" t="s">
        <v>2414</v>
      </c>
      <c r="D1119" s="28">
        <v>5106</v>
      </c>
      <c r="E1119" s="33" t="s">
        <v>18</v>
      </c>
      <c r="F1119" s="33"/>
      <c r="G1119" s="29">
        <v>5.0999999999999996</v>
      </c>
      <c r="H1119" s="26">
        <v>83</v>
      </c>
      <c r="I1119" s="26">
        <v>78</v>
      </c>
      <c r="J1119" s="33">
        <f t="shared" ref="J1119:J1182" si="54">ROUNDDOWN((H1119+I1119)/2,0)</f>
        <v>80</v>
      </c>
      <c r="K1119" s="26"/>
      <c r="L1119" s="33"/>
      <c r="M1119" s="38">
        <f t="shared" si="52"/>
        <v>5.0999999999999996</v>
      </c>
      <c r="N1119" s="39">
        <f t="shared" si="53"/>
        <v>2.5635455999999999</v>
      </c>
      <c r="O1119" s="26"/>
      <c r="P1119" s="31" t="s">
        <v>19</v>
      </c>
    </row>
    <row r="1120" spans="1:16" x14ac:dyDescent="0.25">
      <c r="A1120" s="26">
        <v>1119</v>
      </c>
      <c r="B1120" s="33" t="s">
        <v>2415</v>
      </c>
      <c r="C1120" s="26" t="s">
        <v>2416</v>
      </c>
      <c r="D1120" s="28">
        <v>5107</v>
      </c>
      <c r="E1120" s="33" t="s">
        <v>18</v>
      </c>
      <c r="F1120" s="33"/>
      <c r="G1120" s="29">
        <v>5.4</v>
      </c>
      <c r="H1120" s="26">
        <v>85</v>
      </c>
      <c r="I1120" s="26">
        <v>79</v>
      </c>
      <c r="J1120" s="33">
        <f t="shared" si="54"/>
        <v>82</v>
      </c>
      <c r="K1120" s="26"/>
      <c r="L1120" s="33"/>
      <c r="M1120" s="38">
        <f t="shared" si="52"/>
        <v>5.4</v>
      </c>
      <c r="N1120" s="39">
        <f t="shared" si="53"/>
        <v>2.8517559840000004</v>
      </c>
      <c r="O1120" s="26"/>
      <c r="P1120" s="31" t="s">
        <v>19</v>
      </c>
    </row>
    <row r="1121" spans="1:16" x14ac:dyDescent="0.25">
      <c r="A1121" s="26">
        <v>1120</v>
      </c>
      <c r="B1121" s="33" t="s">
        <v>2417</v>
      </c>
      <c r="C1121" s="26" t="s">
        <v>2418</v>
      </c>
      <c r="D1121" s="28" t="s">
        <v>2419</v>
      </c>
      <c r="E1121" s="33" t="s">
        <v>18</v>
      </c>
      <c r="F1121" s="33"/>
      <c r="G1121" s="29">
        <v>10.4</v>
      </c>
      <c r="H1121" s="26">
        <v>78</v>
      </c>
      <c r="I1121" s="26">
        <v>63</v>
      </c>
      <c r="J1121" s="33">
        <f t="shared" si="54"/>
        <v>70</v>
      </c>
      <c r="K1121" s="26"/>
      <c r="L1121" s="33"/>
      <c r="M1121" s="38">
        <f t="shared" si="52"/>
        <v>10.4</v>
      </c>
      <c r="N1121" s="39">
        <f t="shared" si="53"/>
        <v>4.0023983999999997</v>
      </c>
      <c r="O1121" s="26"/>
      <c r="P1121" s="31" t="s">
        <v>30</v>
      </c>
    </row>
    <row r="1122" spans="1:16" x14ac:dyDescent="0.25">
      <c r="A1122" s="26">
        <v>1121</v>
      </c>
      <c r="B1122" s="33" t="s">
        <v>2420</v>
      </c>
      <c r="C1122" s="32" t="s">
        <v>2421</v>
      </c>
      <c r="D1122" s="28">
        <v>235</v>
      </c>
      <c r="E1122" s="33" t="s">
        <v>18</v>
      </c>
      <c r="F1122" s="33"/>
      <c r="G1122" s="29">
        <v>10.3</v>
      </c>
      <c r="H1122" s="32">
        <v>82</v>
      </c>
      <c r="I1122" s="32">
        <v>78</v>
      </c>
      <c r="J1122" s="33">
        <f t="shared" si="54"/>
        <v>80</v>
      </c>
      <c r="K1122" s="43">
        <v>0.8</v>
      </c>
      <c r="L1122" s="44"/>
      <c r="M1122" s="38">
        <f t="shared" si="52"/>
        <v>9.5</v>
      </c>
      <c r="N1122" s="39">
        <f t="shared" si="53"/>
        <v>4.7752319999999999</v>
      </c>
      <c r="O1122" s="32" t="s">
        <v>53</v>
      </c>
      <c r="P1122" s="31" t="s">
        <v>19</v>
      </c>
    </row>
    <row r="1123" spans="1:16" x14ac:dyDescent="0.25">
      <c r="A1123" s="26">
        <v>1122</v>
      </c>
      <c r="B1123" s="33" t="s">
        <v>2422</v>
      </c>
      <c r="C1123" s="32" t="s">
        <v>2423</v>
      </c>
      <c r="D1123" s="28" t="s">
        <v>2424</v>
      </c>
      <c r="E1123" s="33" t="s">
        <v>18</v>
      </c>
      <c r="F1123" s="33"/>
      <c r="G1123" s="29">
        <v>12.9</v>
      </c>
      <c r="H1123" s="32">
        <v>85</v>
      </c>
      <c r="I1123" s="32">
        <v>71</v>
      </c>
      <c r="J1123" s="33">
        <f t="shared" si="54"/>
        <v>78</v>
      </c>
      <c r="K1123" s="43"/>
      <c r="L1123" s="44"/>
      <c r="M1123" s="38">
        <f t="shared" si="52"/>
        <v>12.9</v>
      </c>
      <c r="N1123" s="39">
        <f t="shared" si="53"/>
        <v>6.1641019440000004</v>
      </c>
      <c r="O1123" s="32"/>
      <c r="P1123" s="31" t="s">
        <v>19</v>
      </c>
    </row>
    <row r="1124" spans="1:16" x14ac:dyDescent="0.25">
      <c r="A1124" s="26">
        <v>1123</v>
      </c>
      <c r="B1124" s="33" t="s">
        <v>2425</v>
      </c>
      <c r="C1124" s="32" t="s">
        <v>2426</v>
      </c>
      <c r="D1124" s="28" t="s">
        <v>2427</v>
      </c>
      <c r="E1124" s="33" t="s">
        <v>18</v>
      </c>
      <c r="F1124" s="33"/>
      <c r="G1124" s="29">
        <v>11</v>
      </c>
      <c r="H1124" s="32">
        <v>85</v>
      </c>
      <c r="I1124" s="32">
        <v>63</v>
      </c>
      <c r="J1124" s="33">
        <f t="shared" si="54"/>
        <v>74</v>
      </c>
      <c r="K1124" s="43">
        <v>0.4</v>
      </c>
      <c r="L1124" s="44"/>
      <c r="M1124" s="38">
        <f t="shared" si="52"/>
        <v>10.6</v>
      </c>
      <c r="N1124" s="39">
        <f t="shared" si="53"/>
        <v>4.5589014240000001</v>
      </c>
      <c r="O1124" s="32" t="s">
        <v>21</v>
      </c>
      <c r="P1124" s="31" t="s">
        <v>30</v>
      </c>
    </row>
    <row r="1125" spans="1:16" x14ac:dyDescent="0.25">
      <c r="A1125" s="26">
        <v>1124</v>
      </c>
      <c r="B1125" s="33" t="s">
        <v>2428</v>
      </c>
      <c r="C1125" s="32" t="s">
        <v>2429</v>
      </c>
      <c r="D1125" s="28" t="s">
        <v>2430</v>
      </c>
      <c r="E1125" s="33" t="s">
        <v>18</v>
      </c>
      <c r="F1125" s="33"/>
      <c r="G1125" s="29">
        <v>11.3</v>
      </c>
      <c r="H1125" s="32">
        <v>98</v>
      </c>
      <c r="I1125" s="32">
        <v>82</v>
      </c>
      <c r="J1125" s="33">
        <f t="shared" si="54"/>
        <v>90</v>
      </c>
      <c r="K1125" s="43"/>
      <c r="L1125" s="44"/>
      <c r="M1125" s="38">
        <f t="shared" si="52"/>
        <v>11.3</v>
      </c>
      <c r="N1125" s="39">
        <f t="shared" si="53"/>
        <v>7.1887661999999999</v>
      </c>
      <c r="O1125" s="32"/>
      <c r="P1125" s="31" t="s">
        <v>19</v>
      </c>
    </row>
    <row r="1126" spans="1:16" x14ac:dyDescent="0.25">
      <c r="A1126" s="26">
        <v>1125</v>
      </c>
      <c r="B1126" s="33" t="s">
        <v>2431</v>
      </c>
      <c r="C1126" s="26" t="s">
        <v>2432</v>
      </c>
      <c r="D1126" s="28" t="s">
        <v>2433</v>
      </c>
      <c r="E1126" s="33" t="s">
        <v>18</v>
      </c>
      <c r="F1126" s="33"/>
      <c r="G1126" s="29">
        <v>11.8</v>
      </c>
      <c r="H1126" s="26">
        <v>82</v>
      </c>
      <c r="I1126" s="26">
        <v>70</v>
      </c>
      <c r="J1126" s="33">
        <f t="shared" si="54"/>
        <v>76</v>
      </c>
      <c r="K1126" s="43">
        <v>0.4</v>
      </c>
      <c r="L1126" s="44"/>
      <c r="M1126" s="38">
        <f t="shared" si="52"/>
        <v>11.4</v>
      </c>
      <c r="N1126" s="39">
        <f t="shared" si="53"/>
        <v>5.1715762560000007</v>
      </c>
      <c r="O1126" s="26" t="s">
        <v>21</v>
      </c>
      <c r="P1126" s="31" t="s">
        <v>19</v>
      </c>
    </row>
    <row r="1127" spans="1:16" x14ac:dyDescent="0.25">
      <c r="A1127" s="26">
        <v>1126</v>
      </c>
      <c r="B1127" s="33" t="s">
        <v>2434</v>
      </c>
      <c r="C1127" s="26" t="s">
        <v>2435</v>
      </c>
      <c r="D1127" s="28" t="s">
        <v>2436</v>
      </c>
      <c r="E1127" s="33" t="s">
        <v>18</v>
      </c>
      <c r="F1127" s="33"/>
      <c r="G1127" s="29">
        <v>11.8</v>
      </c>
      <c r="H1127" s="26">
        <v>82</v>
      </c>
      <c r="I1127" s="26">
        <v>71</v>
      </c>
      <c r="J1127" s="33">
        <f t="shared" si="54"/>
        <v>76</v>
      </c>
      <c r="K1127" s="43"/>
      <c r="L1127" s="44"/>
      <c r="M1127" s="38">
        <f t="shared" si="52"/>
        <v>11.8</v>
      </c>
      <c r="N1127" s="39">
        <f t="shared" si="53"/>
        <v>5.3530350719999999</v>
      </c>
      <c r="O1127" s="26"/>
      <c r="P1127" s="31" t="s">
        <v>19</v>
      </c>
    </row>
    <row r="1128" spans="1:16" x14ac:dyDescent="0.25">
      <c r="A1128" s="26">
        <v>1127</v>
      </c>
      <c r="B1128" s="33" t="s">
        <v>2437</v>
      </c>
      <c r="C1128" s="26" t="s">
        <v>2438</v>
      </c>
      <c r="D1128" s="28" t="s">
        <v>2439</v>
      </c>
      <c r="E1128" s="33" t="s">
        <v>18</v>
      </c>
      <c r="F1128" s="33"/>
      <c r="G1128" s="29">
        <v>12</v>
      </c>
      <c r="H1128" s="26">
        <v>113</v>
      </c>
      <c r="I1128" s="26">
        <v>87</v>
      </c>
      <c r="J1128" s="33">
        <f t="shared" si="54"/>
        <v>100</v>
      </c>
      <c r="K1128" s="43"/>
      <c r="L1128" s="44"/>
      <c r="M1128" s="38">
        <f t="shared" si="52"/>
        <v>12</v>
      </c>
      <c r="N1128" s="39">
        <f t="shared" si="53"/>
        <v>9.4247999999999994</v>
      </c>
      <c r="O1128" s="26"/>
      <c r="P1128" s="31" t="s">
        <v>19</v>
      </c>
    </row>
    <row r="1129" spans="1:16" x14ac:dyDescent="0.25">
      <c r="A1129" s="26">
        <v>1128</v>
      </c>
      <c r="B1129" s="33" t="s">
        <v>2440</v>
      </c>
      <c r="C1129" s="32" t="s">
        <v>2441</v>
      </c>
      <c r="D1129" s="28" t="s">
        <v>2442</v>
      </c>
      <c r="E1129" s="33" t="s">
        <v>18</v>
      </c>
      <c r="F1129" s="33"/>
      <c r="G1129" s="29">
        <v>11.4</v>
      </c>
      <c r="H1129" s="32">
        <v>85</v>
      </c>
      <c r="I1129" s="32">
        <v>82</v>
      </c>
      <c r="J1129" s="33">
        <f t="shared" si="54"/>
        <v>83</v>
      </c>
      <c r="K1129" s="43"/>
      <c r="L1129" s="44"/>
      <c r="M1129" s="38">
        <f t="shared" si="52"/>
        <v>11.4</v>
      </c>
      <c r="N1129" s="39">
        <f t="shared" si="53"/>
        <v>6.1681074840000001</v>
      </c>
      <c r="O1129" s="32"/>
      <c r="P1129" s="31" t="s">
        <v>19</v>
      </c>
    </row>
    <row r="1130" spans="1:16" x14ac:dyDescent="0.25">
      <c r="A1130" s="26">
        <v>1129</v>
      </c>
      <c r="B1130" s="33" t="s">
        <v>2443</v>
      </c>
      <c r="C1130" s="32" t="s">
        <v>2444</v>
      </c>
      <c r="D1130" s="28" t="s">
        <v>2445</v>
      </c>
      <c r="E1130" s="33" t="s">
        <v>18</v>
      </c>
      <c r="F1130" s="33"/>
      <c r="G1130" s="35">
        <v>6.4</v>
      </c>
      <c r="H1130" s="32">
        <v>79</v>
      </c>
      <c r="I1130" s="32">
        <v>69</v>
      </c>
      <c r="J1130" s="33">
        <f t="shared" si="54"/>
        <v>74</v>
      </c>
      <c r="K1130" s="43"/>
      <c r="L1130" s="44"/>
      <c r="M1130" s="38">
        <f t="shared" si="52"/>
        <v>6.4</v>
      </c>
      <c r="N1130" s="39">
        <f t="shared" si="53"/>
        <v>2.7525442559999997</v>
      </c>
      <c r="O1130" s="32"/>
      <c r="P1130" s="31" t="s">
        <v>19</v>
      </c>
    </row>
    <row r="1131" spans="1:16" x14ac:dyDescent="0.25">
      <c r="A1131" s="26">
        <v>1130</v>
      </c>
      <c r="B1131" s="33" t="s">
        <v>2446</v>
      </c>
      <c r="C1131" s="32" t="s">
        <v>2447</v>
      </c>
      <c r="D1131" s="28" t="s">
        <v>2448</v>
      </c>
      <c r="E1131" s="33" t="s">
        <v>18</v>
      </c>
      <c r="F1131" s="33"/>
      <c r="G1131" s="35">
        <v>5.0999999999999996</v>
      </c>
      <c r="H1131" s="32">
        <v>104</v>
      </c>
      <c r="I1131" s="32">
        <v>103</v>
      </c>
      <c r="J1131" s="33">
        <f t="shared" si="54"/>
        <v>103</v>
      </c>
      <c r="K1131" s="43">
        <v>0.6</v>
      </c>
      <c r="L1131" s="44"/>
      <c r="M1131" s="38">
        <f t="shared" si="52"/>
        <v>4.5</v>
      </c>
      <c r="N1131" s="39">
        <f t="shared" si="53"/>
        <v>3.7495388699999994</v>
      </c>
      <c r="O1131" s="32" t="s">
        <v>53</v>
      </c>
      <c r="P1131" s="31" t="s">
        <v>19</v>
      </c>
    </row>
    <row r="1132" spans="1:16" x14ac:dyDescent="0.25">
      <c r="A1132" s="26">
        <v>1131</v>
      </c>
      <c r="B1132" s="33" t="s">
        <v>2449</v>
      </c>
      <c r="C1132" s="26" t="s">
        <v>2450</v>
      </c>
      <c r="D1132" s="28" t="s">
        <v>2451</v>
      </c>
      <c r="E1132" s="33" t="s">
        <v>18</v>
      </c>
      <c r="F1132" s="33"/>
      <c r="G1132" s="29">
        <v>11.8</v>
      </c>
      <c r="H1132" s="26">
        <v>95</v>
      </c>
      <c r="I1132" s="26">
        <v>87</v>
      </c>
      <c r="J1132" s="33">
        <f t="shared" si="54"/>
        <v>91</v>
      </c>
      <c r="K1132" s="43"/>
      <c r="L1132" s="44"/>
      <c r="M1132" s="38">
        <f t="shared" si="52"/>
        <v>11.8</v>
      </c>
      <c r="N1132" s="39">
        <f t="shared" si="53"/>
        <v>7.6745989320000012</v>
      </c>
      <c r="O1132" s="26"/>
      <c r="P1132" s="31" t="s">
        <v>19</v>
      </c>
    </row>
    <row r="1133" spans="1:16" x14ac:dyDescent="0.25">
      <c r="A1133" s="26">
        <v>1132</v>
      </c>
      <c r="B1133" s="33" t="s">
        <v>2452</v>
      </c>
      <c r="C1133" s="32" t="s">
        <v>2453</v>
      </c>
      <c r="D1133" s="28" t="s">
        <v>2454</v>
      </c>
      <c r="E1133" s="33" t="s">
        <v>18</v>
      </c>
      <c r="F1133" s="33"/>
      <c r="G1133" s="35">
        <v>6.5</v>
      </c>
      <c r="H1133" s="32">
        <v>92</v>
      </c>
      <c r="I1133" s="32">
        <v>81</v>
      </c>
      <c r="J1133" s="33">
        <f t="shared" si="54"/>
        <v>86</v>
      </c>
      <c r="K1133" s="43">
        <v>0.5</v>
      </c>
      <c r="L1133" s="44"/>
      <c r="M1133" s="38">
        <f t="shared" si="52"/>
        <v>6</v>
      </c>
      <c r="N1133" s="39">
        <f t="shared" si="53"/>
        <v>3.4852910399999999</v>
      </c>
      <c r="O1133" s="32" t="s">
        <v>53</v>
      </c>
      <c r="P1133" s="31" t="s">
        <v>30</v>
      </c>
    </row>
    <row r="1134" spans="1:16" x14ac:dyDescent="0.25">
      <c r="A1134" s="26">
        <v>1133</v>
      </c>
      <c r="B1134" s="33" t="s">
        <v>2455</v>
      </c>
      <c r="C1134" s="26" t="s">
        <v>2456</v>
      </c>
      <c r="D1134" s="28" t="s">
        <v>2457</v>
      </c>
      <c r="E1134" s="33" t="s">
        <v>18</v>
      </c>
      <c r="F1134" s="33"/>
      <c r="G1134" s="29">
        <v>10.3</v>
      </c>
      <c r="H1134" s="26">
        <v>76</v>
      </c>
      <c r="I1134" s="26">
        <v>66</v>
      </c>
      <c r="J1134" s="33">
        <f t="shared" si="54"/>
        <v>71</v>
      </c>
      <c r="K1134" s="26"/>
      <c r="L1134" s="33"/>
      <c r="M1134" s="38">
        <f t="shared" si="52"/>
        <v>10.3</v>
      </c>
      <c r="N1134" s="39">
        <f t="shared" si="53"/>
        <v>4.0779774419999999</v>
      </c>
      <c r="O1134" s="26"/>
      <c r="P1134" s="31" t="s">
        <v>19</v>
      </c>
    </row>
    <row r="1135" spans="1:16" x14ac:dyDescent="0.25">
      <c r="A1135" s="26">
        <v>1134</v>
      </c>
      <c r="B1135" s="33" t="s">
        <v>2458</v>
      </c>
      <c r="C1135" s="26" t="s">
        <v>2459</v>
      </c>
      <c r="D1135" s="28">
        <v>77</v>
      </c>
      <c r="E1135" s="33" t="s">
        <v>18</v>
      </c>
      <c r="F1135" s="33"/>
      <c r="G1135" s="29">
        <v>5.8</v>
      </c>
      <c r="H1135" s="26">
        <v>100</v>
      </c>
      <c r="I1135" s="26">
        <v>94</v>
      </c>
      <c r="J1135" s="33">
        <f t="shared" si="54"/>
        <v>97</v>
      </c>
      <c r="K1135" s="26">
        <v>1</v>
      </c>
      <c r="L1135" s="33"/>
      <c r="M1135" s="38">
        <f t="shared" si="52"/>
        <v>4.8</v>
      </c>
      <c r="N1135" s="39">
        <f t="shared" si="53"/>
        <v>3.5471177279999995</v>
      </c>
      <c r="O1135" s="26" t="s">
        <v>1007</v>
      </c>
      <c r="P1135" s="31" t="s">
        <v>19</v>
      </c>
    </row>
    <row r="1136" spans="1:16" x14ac:dyDescent="0.25">
      <c r="A1136" s="26">
        <v>1135</v>
      </c>
      <c r="B1136" s="33" t="s">
        <v>2460</v>
      </c>
      <c r="C1136" s="32" t="s">
        <v>2461</v>
      </c>
      <c r="D1136" s="28">
        <v>78</v>
      </c>
      <c r="E1136" s="33" t="s">
        <v>18</v>
      </c>
      <c r="F1136" s="33"/>
      <c r="G1136" s="29">
        <v>6.3</v>
      </c>
      <c r="H1136" s="32">
        <v>89</v>
      </c>
      <c r="I1136" s="32">
        <v>84</v>
      </c>
      <c r="J1136" s="33">
        <f t="shared" si="54"/>
        <v>86</v>
      </c>
      <c r="K1136" s="43"/>
      <c r="L1136" s="44"/>
      <c r="M1136" s="38">
        <f t="shared" si="52"/>
        <v>6.3</v>
      </c>
      <c r="N1136" s="39">
        <f t="shared" si="53"/>
        <v>3.6595555919999998</v>
      </c>
      <c r="O1136" s="32"/>
      <c r="P1136" s="31" t="s">
        <v>30</v>
      </c>
    </row>
    <row r="1137" spans="1:16" x14ac:dyDescent="0.25">
      <c r="A1137" s="26">
        <v>1136</v>
      </c>
      <c r="B1137" s="33" t="s">
        <v>2462</v>
      </c>
      <c r="C1137" s="32" t="s">
        <v>2463</v>
      </c>
      <c r="D1137" s="28">
        <v>79</v>
      </c>
      <c r="E1137" s="33" t="s">
        <v>18</v>
      </c>
      <c r="F1137" s="33"/>
      <c r="G1137" s="29">
        <v>10.6</v>
      </c>
      <c r="H1137" s="32">
        <v>101</v>
      </c>
      <c r="I1137" s="32">
        <v>85</v>
      </c>
      <c r="J1137" s="33">
        <f t="shared" si="54"/>
        <v>93</v>
      </c>
      <c r="K1137" s="43"/>
      <c r="L1137" s="44"/>
      <c r="M1137" s="38">
        <f t="shared" si="52"/>
        <v>10.6</v>
      </c>
      <c r="N1137" s="39">
        <f t="shared" si="53"/>
        <v>7.200500076</v>
      </c>
      <c r="O1137" s="32"/>
      <c r="P1137" s="31" t="s">
        <v>19</v>
      </c>
    </row>
    <row r="1138" spans="1:16" x14ac:dyDescent="0.25">
      <c r="A1138" s="26">
        <v>1137</v>
      </c>
      <c r="B1138" s="33" t="s">
        <v>2464</v>
      </c>
      <c r="C1138" s="26" t="s">
        <v>2465</v>
      </c>
      <c r="D1138" s="28">
        <v>80</v>
      </c>
      <c r="E1138" s="33" t="s">
        <v>18</v>
      </c>
      <c r="F1138" s="33"/>
      <c r="G1138" s="29">
        <v>11.2</v>
      </c>
      <c r="H1138" s="32">
        <v>108</v>
      </c>
      <c r="I1138" s="32">
        <v>98</v>
      </c>
      <c r="J1138" s="33">
        <f t="shared" si="54"/>
        <v>103</v>
      </c>
      <c r="K1138" s="43"/>
      <c r="L1138" s="44"/>
      <c r="M1138" s="38">
        <f t="shared" si="52"/>
        <v>11.2</v>
      </c>
      <c r="N1138" s="39">
        <f t="shared" si="53"/>
        <v>9.3321856319999998</v>
      </c>
      <c r="O1138" s="32"/>
      <c r="P1138" s="31" t="s">
        <v>19</v>
      </c>
    </row>
    <row r="1139" spans="1:16" x14ac:dyDescent="0.25">
      <c r="A1139" s="26">
        <v>1138</v>
      </c>
      <c r="B1139" s="33" t="s">
        <v>2466</v>
      </c>
      <c r="C1139" s="26" t="s">
        <v>2467</v>
      </c>
      <c r="D1139" s="28" t="s">
        <v>2468</v>
      </c>
      <c r="E1139" s="33" t="s">
        <v>18</v>
      </c>
      <c r="F1139" s="33"/>
      <c r="G1139" s="29">
        <v>7.1</v>
      </c>
      <c r="H1139" s="26">
        <v>79</v>
      </c>
      <c r="I1139" s="26">
        <v>77</v>
      </c>
      <c r="J1139" s="33">
        <f t="shared" si="54"/>
        <v>78</v>
      </c>
      <c r="K1139" s="26"/>
      <c r="L1139" s="33"/>
      <c r="M1139" s="38">
        <f t="shared" si="52"/>
        <v>7.1</v>
      </c>
      <c r="N1139" s="39">
        <f t="shared" si="53"/>
        <v>3.3926452559999998</v>
      </c>
      <c r="O1139" s="26"/>
      <c r="P1139" s="31" t="s">
        <v>30</v>
      </c>
    </row>
    <row r="1140" spans="1:16" x14ac:dyDescent="0.25">
      <c r="A1140" s="26">
        <v>1139</v>
      </c>
      <c r="B1140" s="33" t="s">
        <v>2469</v>
      </c>
      <c r="C1140" s="32" t="s">
        <v>2470</v>
      </c>
      <c r="D1140" s="28" t="s">
        <v>2471</v>
      </c>
      <c r="E1140" s="33" t="s">
        <v>18</v>
      </c>
      <c r="F1140" s="33"/>
      <c r="G1140" s="29">
        <v>10</v>
      </c>
      <c r="H1140" s="32">
        <v>107</v>
      </c>
      <c r="I1140" s="32">
        <v>95</v>
      </c>
      <c r="J1140" s="33">
        <f t="shared" si="54"/>
        <v>101</v>
      </c>
      <c r="K1140" s="43">
        <v>0.5</v>
      </c>
      <c r="L1140" s="44"/>
      <c r="M1140" s="38">
        <f t="shared" si="52"/>
        <v>9.5</v>
      </c>
      <c r="N1140" s="39">
        <f t="shared" si="53"/>
        <v>7.6112721300000006</v>
      </c>
      <c r="O1140" s="32" t="s">
        <v>53</v>
      </c>
      <c r="P1140" s="31" t="s">
        <v>19</v>
      </c>
    </row>
    <row r="1141" spans="1:16" x14ac:dyDescent="0.25">
      <c r="A1141" s="26">
        <v>1140</v>
      </c>
      <c r="B1141" s="33" t="s">
        <v>2472</v>
      </c>
      <c r="C1141" s="32" t="s">
        <v>2473</v>
      </c>
      <c r="D1141" s="28" t="s">
        <v>2474</v>
      </c>
      <c r="E1141" s="33" t="s">
        <v>18</v>
      </c>
      <c r="F1141" s="33"/>
      <c r="G1141" s="35">
        <v>10.3</v>
      </c>
      <c r="H1141" s="32">
        <v>94</v>
      </c>
      <c r="I1141" s="32">
        <v>84</v>
      </c>
      <c r="J1141" s="33">
        <f t="shared" si="54"/>
        <v>89</v>
      </c>
      <c r="K1141" s="43"/>
      <c r="L1141" s="44"/>
      <c r="M1141" s="38">
        <f t="shared" si="52"/>
        <v>10.3</v>
      </c>
      <c r="N1141" s="39">
        <f t="shared" si="53"/>
        <v>6.4077880020000002</v>
      </c>
      <c r="O1141" s="32"/>
      <c r="P1141" s="31" t="s">
        <v>19</v>
      </c>
    </row>
    <row r="1142" spans="1:16" x14ac:dyDescent="0.25">
      <c r="A1142" s="26">
        <v>1141</v>
      </c>
      <c r="B1142" s="33" t="s">
        <v>2475</v>
      </c>
      <c r="C1142" s="32" t="s">
        <v>2476</v>
      </c>
      <c r="D1142" s="28" t="s">
        <v>2477</v>
      </c>
      <c r="E1142" s="33" t="s">
        <v>18</v>
      </c>
      <c r="F1142" s="33"/>
      <c r="G1142" s="29">
        <v>5.7</v>
      </c>
      <c r="H1142" s="32">
        <v>85</v>
      </c>
      <c r="I1142" s="32">
        <v>79</v>
      </c>
      <c r="J1142" s="33">
        <f t="shared" si="54"/>
        <v>82</v>
      </c>
      <c r="K1142" s="43"/>
      <c r="L1142" s="44"/>
      <c r="M1142" s="38">
        <f t="shared" si="52"/>
        <v>5.7</v>
      </c>
      <c r="N1142" s="39">
        <f t="shared" si="53"/>
        <v>3.0101868720000002</v>
      </c>
      <c r="O1142" s="32"/>
      <c r="P1142" s="31" t="s">
        <v>19</v>
      </c>
    </row>
    <row r="1143" spans="1:16" x14ac:dyDescent="0.25">
      <c r="A1143" s="26">
        <v>1142</v>
      </c>
      <c r="B1143" s="33" t="s">
        <v>2478</v>
      </c>
      <c r="C1143" s="32" t="s">
        <v>2479</v>
      </c>
      <c r="D1143" s="28">
        <v>84</v>
      </c>
      <c r="E1143" s="33" t="s">
        <v>18</v>
      </c>
      <c r="F1143" s="33"/>
      <c r="G1143" s="29">
        <v>13</v>
      </c>
      <c r="H1143" s="32">
        <v>86</v>
      </c>
      <c r="I1143" s="32">
        <v>71</v>
      </c>
      <c r="J1143" s="33">
        <f t="shared" si="54"/>
        <v>78</v>
      </c>
      <c r="K1143" s="43"/>
      <c r="L1143" s="44"/>
      <c r="M1143" s="38">
        <f t="shared" si="52"/>
        <v>13</v>
      </c>
      <c r="N1143" s="39">
        <f t="shared" si="53"/>
        <v>6.21188568</v>
      </c>
      <c r="O1143" s="32"/>
      <c r="P1143" s="31" t="s">
        <v>19</v>
      </c>
    </row>
    <row r="1144" spans="1:16" x14ac:dyDescent="0.25">
      <c r="A1144" s="26">
        <v>1143</v>
      </c>
      <c r="B1144" s="33" t="s">
        <v>2480</v>
      </c>
      <c r="C1144" s="32" t="s">
        <v>2481</v>
      </c>
      <c r="D1144" s="28" t="s">
        <v>2482</v>
      </c>
      <c r="E1144" s="33" t="s">
        <v>18</v>
      </c>
      <c r="F1144" s="33"/>
      <c r="G1144" s="35">
        <v>13.1</v>
      </c>
      <c r="H1144" s="32">
        <v>111</v>
      </c>
      <c r="I1144" s="32">
        <v>90</v>
      </c>
      <c r="J1144" s="33">
        <f t="shared" si="54"/>
        <v>100</v>
      </c>
      <c r="K1144" s="43"/>
      <c r="L1144" s="44"/>
      <c r="M1144" s="38">
        <f t="shared" si="52"/>
        <v>13.1</v>
      </c>
      <c r="N1144" s="39">
        <f t="shared" si="53"/>
        <v>10.288739999999999</v>
      </c>
      <c r="O1144" s="32"/>
      <c r="P1144" s="31" t="s">
        <v>19</v>
      </c>
    </row>
    <row r="1145" spans="1:16" x14ac:dyDescent="0.25">
      <c r="A1145" s="26">
        <v>1144</v>
      </c>
      <c r="B1145" s="33" t="s">
        <v>2483</v>
      </c>
      <c r="C1145" s="32" t="s">
        <v>2484</v>
      </c>
      <c r="D1145" s="28" t="s">
        <v>2485</v>
      </c>
      <c r="E1145" s="33" t="s">
        <v>18</v>
      </c>
      <c r="F1145" s="33"/>
      <c r="G1145" s="35">
        <v>13.4</v>
      </c>
      <c r="H1145" s="32">
        <v>87</v>
      </c>
      <c r="I1145" s="32">
        <v>73</v>
      </c>
      <c r="J1145" s="33">
        <f t="shared" si="54"/>
        <v>80</v>
      </c>
      <c r="K1145" s="43"/>
      <c r="L1145" s="44"/>
      <c r="M1145" s="38">
        <f t="shared" si="52"/>
        <v>13.4</v>
      </c>
      <c r="N1145" s="39">
        <f t="shared" si="53"/>
        <v>6.7355903999999995</v>
      </c>
      <c r="O1145" s="32"/>
      <c r="P1145" s="31" t="s">
        <v>19</v>
      </c>
    </row>
    <row r="1146" spans="1:16" x14ac:dyDescent="0.25">
      <c r="A1146" s="26">
        <v>1145</v>
      </c>
      <c r="B1146" s="33" t="s">
        <v>2486</v>
      </c>
      <c r="C1146" s="26" t="s">
        <v>2487</v>
      </c>
      <c r="D1146" s="28" t="s">
        <v>2488</v>
      </c>
      <c r="E1146" s="33" t="s">
        <v>18</v>
      </c>
      <c r="F1146" s="33"/>
      <c r="G1146" s="29">
        <v>10.3</v>
      </c>
      <c r="H1146" s="26">
        <v>84</v>
      </c>
      <c r="I1146" s="26">
        <v>76</v>
      </c>
      <c r="J1146" s="33">
        <f t="shared" si="54"/>
        <v>80</v>
      </c>
      <c r="K1146" s="26"/>
      <c r="L1146" s="33"/>
      <c r="M1146" s="38">
        <f t="shared" si="52"/>
        <v>10.3</v>
      </c>
      <c r="N1146" s="39">
        <f t="shared" si="53"/>
        <v>5.1773568000000001</v>
      </c>
      <c r="O1146" s="26"/>
      <c r="P1146" s="31" t="s">
        <v>19</v>
      </c>
    </row>
    <row r="1147" spans="1:16" x14ac:dyDescent="0.25">
      <c r="A1147" s="26">
        <v>1146</v>
      </c>
      <c r="B1147" s="33" t="s">
        <v>2489</v>
      </c>
      <c r="C1147" s="32" t="s">
        <v>2490</v>
      </c>
      <c r="D1147" s="28" t="s">
        <v>2491</v>
      </c>
      <c r="E1147" s="33" t="s">
        <v>18</v>
      </c>
      <c r="F1147" s="33"/>
      <c r="G1147" s="35">
        <v>12.6</v>
      </c>
      <c r="H1147" s="32">
        <v>86</v>
      </c>
      <c r="I1147" s="32">
        <v>74</v>
      </c>
      <c r="J1147" s="33">
        <f t="shared" si="54"/>
        <v>80</v>
      </c>
      <c r="K1147" s="43"/>
      <c r="L1147" s="44"/>
      <c r="M1147" s="38">
        <f t="shared" si="52"/>
        <v>12.6</v>
      </c>
      <c r="N1147" s="39">
        <f t="shared" si="53"/>
        <v>6.3334655999999994</v>
      </c>
      <c r="O1147" s="32"/>
      <c r="P1147" s="31" t="s">
        <v>19</v>
      </c>
    </row>
    <row r="1148" spans="1:16" x14ac:dyDescent="0.25">
      <c r="A1148" s="26">
        <v>1147</v>
      </c>
      <c r="B1148" s="33" t="s">
        <v>2492</v>
      </c>
      <c r="C1148" s="32" t="s">
        <v>2493</v>
      </c>
      <c r="D1148" s="28" t="s">
        <v>2494</v>
      </c>
      <c r="E1148" s="33" t="s">
        <v>18</v>
      </c>
      <c r="F1148" s="33"/>
      <c r="G1148" s="35">
        <v>12.3</v>
      </c>
      <c r="H1148" s="32">
        <v>90</v>
      </c>
      <c r="I1148" s="32">
        <v>75</v>
      </c>
      <c r="J1148" s="33">
        <f t="shared" si="54"/>
        <v>82</v>
      </c>
      <c r="K1148" s="43"/>
      <c r="L1148" s="44"/>
      <c r="M1148" s="38">
        <f t="shared" si="52"/>
        <v>12.3</v>
      </c>
      <c r="N1148" s="39">
        <f t="shared" si="53"/>
        <v>6.4956664080000008</v>
      </c>
      <c r="O1148" s="32"/>
      <c r="P1148" s="31" t="s">
        <v>30</v>
      </c>
    </row>
    <row r="1149" spans="1:16" x14ac:dyDescent="0.25">
      <c r="A1149" s="26">
        <v>1148</v>
      </c>
      <c r="B1149" s="33" t="s">
        <v>2495</v>
      </c>
      <c r="C1149" s="32" t="s">
        <v>2496</v>
      </c>
      <c r="D1149" s="28">
        <v>1271</v>
      </c>
      <c r="E1149" s="33" t="s">
        <v>18</v>
      </c>
      <c r="F1149" s="33"/>
      <c r="G1149" s="29">
        <v>9.1999999999999993</v>
      </c>
      <c r="H1149" s="32">
        <v>95</v>
      </c>
      <c r="I1149" s="32">
        <v>82</v>
      </c>
      <c r="J1149" s="33">
        <f t="shared" si="54"/>
        <v>88</v>
      </c>
      <c r="K1149" s="43"/>
      <c r="L1149" s="44"/>
      <c r="M1149" s="38">
        <f t="shared" si="52"/>
        <v>9.1999999999999993</v>
      </c>
      <c r="N1149" s="39">
        <f t="shared" si="53"/>
        <v>5.5955665919999991</v>
      </c>
      <c r="O1149" s="32"/>
      <c r="P1149" s="31" t="s">
        <v>19</v>
      </c>
    </row>
    <row r="1150" spans="1:16" x14ac:dyDescent="0.25">
      <c r="A1150" s="26">
        <v>1149</v>
      </c>
      <c r="B1150" s="33" t="s">
        <v>2497</v>
      </c>
      <c r="C1150" s="32" t="s">
        <v>2498</v>
      </c>
      <c r="D1150" s="28" t="s">
        <v>2499</v>
      </c>
      <c r="E1150" s="33" t="s">
        <v>18</v>
      </c>
      <c r="F1150" s="33"/>
      <c r="G1150" s="29">
        <v>10.199999999999999</v>
      </c>
      <c r="H1150" s="32">
        <v>103</v>
      </c>
      <c r="I1150" s="32">
        <v>85</v>
      </c>
      <c r="J1150" s="33">
        <f t="shared" si="54"/>
        <v>94</v>
      </c>
      <c r="K1150" s="43"/>
      <c r="L1150" s="44"/>
      <c r="M1150" s="38">
        <f t="shared" si="52"/>
        <v>10.199999999999999</v>
      </c>
      <c r="N1150" s="39">
        <f t="shared" si="53"/>
        <v>7.0785902879999991</v>
      </c>
      <c r="O1150" s="32"/>
      <c r="P1150" s="31" t="s">
        <v>19</v>
      </c>
    </row>
    <row r="1151" spans="1:16" x14ac:dyDescent="0.25">
      <c r="A1151" s="26">
        <v>1150</v>
      </c>
      <c r="B1151" s="33" t="s">
        <v>2500</v>
      </c>
      <c r="C1151" s="32" t="s">
        <v>2501</v>
      </c>
      <c r="D1151" s="28" t="s">
        <v>2502</v>
      </c>
      <c r="E1151" s="33" t="s">
        <v>18</v>
      </c>
      <c r="F1151" s="33"/>
      <c r="G1151" s="35">
        <v>13</v>
      </c>
      <c r="H1151" s="32">
        <v>118</v>
      </c>
      <c r="I1151" s="32">
        <v>104</v>
      </c>
      <c r="J1151" s="33">
        <f t="shared" si="54"/>
        <v>111</v>
      </c>
      <c r="K1151" s="43"/>
      <c r="L1151" s="44"/>
      <c r="M1151" s="38">
        <f t="shared" si="52"/>
        <v>13</v>
      </c>
      <c r="N1151" s="39">
        <f t="shared" si="53"/>
        <v>12.579987419999998</v>
      </c>
      <c r="O1151" s="32"/>
      <c r="P1151" s="31" t="s">
        <v>30</v>
      </c>
    </row>
    <row r="1152" spans="1:16" x14ac:dyDescent="0.25">
      <c r="A1152" s="26">
        <v>1151</v>
      </c>
      <c r="B1152" s="33" t="s">
        <v>2503</v>
      </c>
      <c r="C1152" s="32" t="s">
        <v>2504</v>
      </c>
      <c r="D1152" s="28" t="s">
        <v>2505</v>
      </c>
      <c r="E1152" s="33" t="s">
        <v>18</v>
      </c>
      <c r="F1152" s="33"/>
      <c r="G1152" s="35">
        <v>9.1999999999999993</v>
      </c>
      <c r="H1152" s="32">
        <v>106</v>
      </c>
      <c r="I1152" s="32">
        <v>82</v>
      </c>
      <c r="J1152" s="33">
        <f t="shared" si="54"/>
        <v>94</v>
      </c>
      <c r="K1152" s="43"/>
      <c r="L1152" s="44"/>
      <c r="M1152" s="38">
        <f t="shared" si="52"/>
        <v>9.1999999999999993</v>
      </c>
      <c r="N1152" s="39">
        <f t="shared" si="53"/>
        <v>6.3846108479999995</v>
      </c>
      <c r="O1152" s="32"/>
      <c r="P1152" s="31" t="s">
        <v>19</v>
      </c>
    </row>
    <row r="1153" spans="1:16" x14ac:dyDescent="0.25">
      <c r="A1153" s="26">
        <v>1152</v>
      </c>
      <c r="B1153" s="33" t="s">
        <v>2506</v>
      </c>
      <c r="C1153" s="32" t="s">
        <v>2507</v>
      </c>
      <c r="D1153" s="28" t="s">
        <v>2508</v>
      </c>
      <c r="E1153" s="33" t="s">
        <v>18</v>
      </c>
      <c r="F1153" s="33"/>
      <c r="G1153" s="35">
        <v>9.6999999999999993</v>
      </c>
      <c r="H1153" s="32">
        <v>108</v>
      </c>
      <c r="I1153" s="32">
        <v>99</v>
      </c>
      <c r="J1153" s="33">
        <f t="shared" si="54"/>
        <v>103</v>
      </c>
      <c r="K1153" s="43"/>
      <c r="L1153" s="44"/>
      <c r="M1153" s="38">
        <f t="shared" si="52"/>
        <v>9.6999999999999993</v>
      </c>
      <c r="N1153" s="39">
        <f t="shared" si="53"/>
        <v>8.0823393419999991</v>
      </c>
      <c r="O1153" s="32"/>
      <c r="P1153" s="31" t="s">
        <v>19</v>
      </c>
    </row>
    <row r="1154" spans="1:16" x14ac:dyDescent="0.25">
      <c r="A1154" s="26">
        <v>1153</v>
      </c>
      <c r="B1154" s="33" t="s">
        <v>2509</v>
      </c>
      <c r="C1154" s="32" t="s">
        <v>2510</v>
      </c>
      <c r="D1154" s="28">
        <v>1273</v>
      </c>
      <c r="E1154" s="33" t="s">
        <v>18</v>
      </c>
      <c r="F1154" s="33"/>
      <c r="G1154" s="29">
        <v>10.4</v>
      </c>
      <c r="H1154" s="32">
        <v>107</v>
      </c>
      <c r="I1154" s="32">
        <v>97</v>
      </c>
      <c r="J1154" s="33">
        <f t="shared" si="54"/>
        <v>102</v>
      </c>
      <c r="K1154" s="43"/>
      <c r="L1154" s="44"/>
      <c r="M1154" s="38">
        <f t="shared" ref="M1154:M1217" si="55">G1154-K1154</f>
        <v>10.4</v>
      </c>
      <c r="N1154" s="39">
        <f t="shared" ref="N1154:N1217" si="56">J1154*J1154*M1154*0.7854/10000</f>
        <v>8.4981536640000002</v>
      </c>
      <c r="O1154" s="32"/>
      <c r="P1154" s="31" t="s">
        <v>30</v>
      </c>
    </row>
    <row r="1155" spans="1:16" x14ac:dyDescent="0.25">
      <c r="A1155" s="26">
        <v>1154</v>
      </c>
      <c r="B1155" s="33" t="s">
        <v>2511</v>
      </c>
      <c r="C1155" s="32" t="s">
        <v>2512</v>
      </c>
      <c r="D1155" s="28">
        <v>1274</v>
      </c>
      <c r="E1155" s="33" t="s">
        <v>18</v>
      </c>
      <c r="F1155" s="33"/>
      <c r="G1155" s="29">
        <v>10</v>
      </c>
      <c r="H1155" s="32">
        <v>114</v>
      </c>
      <c r="I1155" s="32">
        <v>105</v>
      </c>
      <c r="J1155" s="33">
        <f t="shared" si="54"/>
        <v>109</v>
      </c>
      <c r="K1155" s="43"/>
      <c r="L1155" s="44"/>
      <c r="M1155" s="38">
        <f t="shared" si="55"/>
        <v>10</v>
      </c>
      <c r="N1155" s="39">
        <f t="shared" si="56"/>
        <v>9.3313373999999989</v>
      </c>
      <c r="O1155" s="32"/>
      <c r="P1155" s="31" t="s">
        <v>19</v>
      </c>
    </row>
    <row r="1156" spans="1:16" x14ac:dyDescent="0.25">
      <c r="A1156" s="26">
        <v>1155</v>
      </c>
      <c r="B1156" s="33" t="s">
        <v>2513</v>
      </c>
      <c r="C1156" s="26" t="s">
        <v>2514</v>
      </c>
      <c r="D1156" s="28" t="s">
        <v>2515</v>
      </c>
      <c r="E1156" s="33" t="s">
        <v>18</v>
      </c>
      <c r="F1156" s="33"/>
      <c r="G1156" s="29">
        <v>11.8</v>
      </c>
      <c r="H1156" s="26">
        <v>82</v>
      </c>
      <c r="I1156" s="26">
        <v>73</v>
      </c>
      <c r="J1156" s="33">
        <f t="shared" si="54"/>
        <v>77</v>
      </c>
      <c r="K1156" s="26">
        <v>0.3</v>
      </c>
      <c r="L1156" s="33"/>
      <c r="M1156" s="38">
        <f t="shared" si="55"/>
        <v>11.5</v>
      </c>
      <c r="N1156" s="39">
        <f t="shared" si="56"/>
        <v>5.3551320899999997</v>
      </c>
      <c r="O1156" s="26" t="s">
        <v>21</v>
      </c>
      <c r="P1156" s="31" t="s">
        <v>19</v>
      </c>
    </row>
    <row r="1157" spans="1:16" x14ac:dyDescent="0.25">
      <c r="A1157" s="26">
        <v>1156</v>
      </c>
      <c r="B1157" s="33" t="s">
        <v>2516</v>
      </c>
      <c r="C1157" s="26" t="s">
        <v>2517</v>
      </c>
      <c r="D1157" s="28" t="s">
        <v>2518</v>
      </c>
      <c r="E1157" s="33" t="s">
        <v>18</v>
      </c>
      <c r="F1157" s="33"/>
      <c r="G1157" s="29">
        <v>11.9</v>
      </c>
      <c r="H1157" s="26">
        <v>97</v>
      </c>
      <c r="I1157" s="26">
        <v>94</v>
      </c>
      <c r="J1157" s="33">
        <f t="shared" si="54"/>
        <v>95</v>
      </c>
      <c r="K1157" s="26"/>
      <c r="L1157" s="33"/>
      <c r="M1157" s="38">
        <f t="shared" si="55"/>
        <v>11.9</v>
      </c>
      <c r="N1157" s="39">
        <f t="shared" si="56"/>
        <v>8.43499965</v>
      </c>
      <c r="O1157" s="26"/>
      <c r="P1157" s="31" t="s">
        <v>19</v>
      </c>
    </row>
    <row r="1158" spans="1:16" x14ac:dyDescent="0.25">
      <c r="A1158" s="26">
        <v>1157</v>
      </c>
      <c r="B1158" s="33" t="s">
        <v>2519</v>
      </c>
      <c r="C1158" s="26" t="s">
        <v>2520</v>
      </c>
      <c r="D1158" s="28">
        <v>1278</v>
      </c>
      <c r="E1158" s="33" t="s">
        <v>18</v>
      </c>
      <c r="F1158" s="33"/>
      <c r="G1158" s="29">
        <v>11.8</v>
      </c>
      <c r="H1158" s="26">
        <v>95</v>
      </c>
      <c r="I1158" s="26">
        <v>94</v>
      </c>
      <c r="J1158" s="33">
        <f t="shared" si="54"/>
        <v>94</v>
      </c>
      <c r="K1158" s="26"/>
      <c r="L1158" s="33"/>
      <c r="M1158" s="38">
        <f t="shared" si="55"/>
        <v>11.8</v>
      </c>
      <c r="N1158" s="39">
        <f t="shared" si="56"/>
        <v>8.1889573919999989</v>
      </c>
      <c r="O1158" s="26"/>
      <c r="P1158" s="31" t="s">
        <v>19</v>
      </c>
    </row>
    <row r="1159" spans="1:16" x14ac:dyDescent="0.25">
      <c r="A1159" s="26">
        <v>1158</v>
      </c>
      <c r="B1159" s="33" t="s">
        <v>2521</v>
      </c>
      <c r="C1159" s="26" t="s">
        <v>2522</v>
      </c>
      <c r="D1159" s="28">
        <v>1279</v>
      </c>
      <c r="E1159" s="33" t="s">
        <v>18</v>
      </c>
      <c r="F1159" s="33"/>
      <c r="G1159" s="29">
        <v>12.4</v>
      </c>
      <c r="H1159" s="26">
        <v>82</v>
      </c>
      <c r="I1159" s="26">
        <v>73</v>
      </c>
      <c r="J1159" s="33">
        <f t="shared" si="54"/>
        <v>77</v>
      </c>
      <c r="K1159" s="26"/>
      <c r="L1159" s="33"/>
      <c r="M1159" s="38">
        <f t="shared" si="55"/>
        <v>12.4</v>
      </c>
      <c r="N1159" s="39">
        <f t="shared" si="56"/>
        <v>5.7742293840000007</v>
      </c>
      <c r="O1159" s="26"/>
      <c r="P1159" s="31" t="s">
        <v>19</v>
      </c>
    </row>
    <row r="1160" spans="1:16" x14ac:dyDescent="0.25">
      <c r="A1160" s="26">
        <v>1159</v>
      </c>
      <c r="B1160" s="33" t="s">
        <v>2523</v>
      </c>
      <c r="C1160" s="33" t="s">
        <v>2524</v>
      </c>
      <c r="D1160" s="28">
        <v>1280</v>
      </c>
      <c r="E1160" s="33" t="s">
        <v>18</v>
      </c>
      <c r="F1160" s="33"/>
      <c r="G1160" s="38">
        <v>5.2</v>
      </c>
      <c r="H1160" s="33">
        <v>111</v>
      </c>
      <c r="I1160" s="33">
        <v>108</v>
      </c>
      <c r="J1160" s="33">
        <f t="shared" si="54"/>
        <v>109</v>
      </c>
      <c r="K1160" s="33">
        <v>0.5</v>
      </c>
      <c r="L1160" s="33"/>
      <c r="M1160" s="38">
        <f t="shared" si="55"/>
        <v>4.7</v>
      </c>
      <c r="N1160" s="39">
        <f t="shared" si="56"/>
        <v>4.3857285780000002</v>
      </c>
      <c r="O1160" s="33" t="s">
        <v>21</v>
      </c>
      <c r="P1160" s="31" t="s">
        <v>19</v>
      </c>
    </row>
    <row r="1161" spans="1:16" x14ac:dyDescent="0.25">
      <c r="A1161" s="26">
        <v>1160</v>
      </c>
      <c r="B1161" s="33" t="s">
        <v>2525</v>
      </c>
      <c r="C1161" s="33" t="s">
        <v>2526</v>
      </c>
      <c r="D1161" s="28">
        <v>1282</v>
      </c>
      <c r="E1161" s="33" t="s">
        <v>18</v>
      </c>
      <c r="F1161" s="33"/>
      <c r="G1161" s="38">
        <v>7.3</v>
      </c>
      <c r="H1161" s="33">
        <v>113</v>
      </c>
      <c r="I1161" s="33">
        <v>109</v>
      </c>
      <c r="J1161" s="33">
        <f t="shared" si="54"/>
        <v>111</v>
      </c>
      <c r="K1161" s="33"/>
      <c r="L1161" s="33"/>
      <c r="M1161" s="38">
        <f t="shared" si="55"/>
        <v>7.3</v>
      </c>
      <c r="N1161" s="39">
        <f t="shared" si="56"/>
        <v>7.0641467820000008</v>
      </c>
      <c r="O1161" s="33"/>
      <c r="P1161" s="31" t="s">
        <v>19</v>
      </c>
    </row>
    <row r="1162" spans="1:16" x14ac:dyDescent="0.25">
      <c r="A1162" s="26">
        <v>1161</v>
      </c>
      <c r="B1162" s="33" t="s">
        <v>2527</v>
      </c>
      <c r="C1162" s="33" t="s">
        <v>2528</v>
      </c>
      <c r="D1162" s="28">
        <v>1283</v>
      </c>
      <c r="E1162" s="33" t="s">
        <v>18</v>
      </c>
      <c r="F1162" s="33"/>
      <c r="G1162" s="38">
        <v>12.9</v>
      </c>
      <c r="H1162" s="33">
        <v>93</v>
      </c>
      <c r="I1162" s="33">
        <v>77</v>
      </c>
      <c r="J1162" s="33">
        <f t="shared" si="54"/>
        <v>85</v>
      </c>
      <c r="K1162" s="33"/>
      <c r="L1162" s="33"/>
      <c r="M1162" s="38">
        <f t="shared" si="55"/>
        <v>12.9</v>
      </c>
      <c r="N1162" s="39">
        <f t="shared" si="56"/>
        <v>7.3201243499999995</v>
      </c>
      <c r="O1162" s="33"/>
      <c r="P1162" s="31" t="s">
        <v>19</v>
      </c>
    </row>
    <row r="1163" spans="1:16" x14ac:dyDescent="0.25">
      <c r="A1163" s="26">
        <v>1162</v>
      </c>
      <c r="B1163" s="33" t="s">
        <v>2529</v>
      </c>
      <c r="C1163" s="33" t="s">
        <v>2530</v>
      </c>
      <c r="D1163" s="28" t="s">
        <v>2531</v>
      </c>
      <c r="E1163" s="33" t="s">
        <v>18</v>
      </c>
      <c r="F1163" s="33"/>
      <c r="G1163" s="38">
        <v>11.8</v>
      </c>
      <c r="H1163" s="33">
        <v>88</v>
      </c>
      <c r="I1163" s="33">
        <v>71</v>
      </c>
      <c r="J1163" s="33">
        <f t="shared" si="54"/>
        <v>79</v>
      </c>
      <c r="K1163" s="33"/>
      <c r="L1163" s="33"/>
      <c r="M1163" s="38">
        <f t="shared" si="55"/>
        <v>11.8</v>
      </c>
      <c r="N1163" s="39">
        <f t="shared" si="56"/>
        <v>5.7839840520000001</v>
      </c>
      <c r="O1163" s="33"/>
      <c r="P1163" s="31" t="s">
        <v>30</v>
      </c>
    </row>
    <row r="1164" spans="1:16" x14ac:dyDescent="0.25">
      <c r="A1164" s="26">
        <v>1163</v>
      </c>
      <c r="B1164" s="33" t="s">
        <v>2532</v>
      </c>
      <c r="C1164" s="33" t="s">
        <v>2533</v>
      </c>
      <c r="D1164" s="28" t="s">
        <v>2534</v>
      </c>
      <c r="E1164" s="33" t="s">
        <v>18</v>
      </c>
      <c r="F1164" s="33"/>
      <c r="G1164" s="38">
        <v>11.3</v>
      </c>
      <c r="H1164" s="33">
        <v>71</v>
      </c>
      <c r="I1164" s="33">
        <v>63</v>
      </c>
      <c r="J1164" s="33">
        <f t="shared" si="54"/>
        <v>67</v>
      </c>
      <c r="K1164" s="33">
        <v>0.3</v>
      </c>
      <c r="L1164" s="33"/>
      <c r="M1164" s="38">
        <f t="shared" si="55"/>
        <v>11</v>
      </c>
      <c r="N1164" s="39">
        <f t="shared" si="56"/>
        <v>3.8782266600000002</v>
      </c>
      <c r="O1164" s="33" t="s">
        <v>1007</v>
      </c>
      <c r="P1164" s="31" t="s">
        <v>19</v>
      </c>
    </row>
    <row r="1165" spans="1:16" x14ac:dyDescent="0.25">
      <c r="A1165" s="26">
        <v>1164</v>
      </c>
      <c r="B1165" s="33" t="s">
        <v>2535</v>
      </c>
      <c r="C1165" s="33" t="s">
        <v>2536</v>
      </c>
      <c r="D1165" s="28" t="s">
        <v>2537</v>
      </c>
      <c r="E1165" s="33" t="s">
        <v>18</v>
      </c>
      <c r="F1165" s="33"/>
      <c r="G1165" s="38">
        <v>12.3</v>
      </c>
      <c r="H1165" s="33">
        <v>90</v>
      </c>
      <c r="I1165" s="33">
        <v>78</v>
      </c>
      <c r="J1165" s="33">
        <f t="shared" si="54"/>
        <v>84</v>
      </c>
      <c r="K1165" s="33"/>
      <c r="L1165" s="33"/>
      <c r="M1165" s="38">
        <f t="shared" si="55"/>
        <v>12.3</v>
      </c>
      <c r="N1165" s="39">
        <f t="shared" si="56"/>
        <v>6.8163923519999994</v>
      </c>
      <c r="O1165" s="33"/>
      <c r="P1165" s="31" t="s">
        <v>19</v>
      </c>
    </row>
    <row r="1166" spans="1:16" x14ac:dyDescent="0.25">
      <c r="A1166" s="26">
        <v>1165</v>
      </c>
      <c r="B1166" s="33" t="s">
        <v>2538</v>
      </c>
      <c r="C1166" s="33" t="s">
        <v>2539</v>
      </c>
      <c r="D1166" s="28" t="s">
        <v>2540</v>
      </c>
      <c r="E1166" s="33" t="s">
        <v>18</v>
      </c>
      <c r="F1166" s="33"/>
      <c r="G1166" s="38">
        <v>11.8</v>
      </c>
      <c r="H1166" s="33">
        <v>80</v>
      </c>
      <c r="I1166" s="33">
        <v>74</v>
      </c>
      <c r="J1166" s="33">
        <f t="shared" si="54"/>
        <v>77</v>
      </c>
      <c r="K1166" s="33">
        <v>0.5</v>
      </c>
      <c r="L1166" s="33"/>
      <c r="M1166" s="38">
        <f t="shared" si="55"/>
        <v>11.3</v>
      </c>
      <c r="N1166" s="39">
        <f t="shared" si="56"/>
        <v>5.2619993579999997</v>
      </c>
      <c r="O1166" s="33" t="s">
        <v>1007</v>
      </c>
      <c r="P1166" s="31" t="s">
        <v>30</v>
      </c>
    </row>
    <row r="1167" spans="1:16" x14ac:dyDescent="0.25">
      <c r="A1167" s="26">
        <v>1166</v>
      </c>
      <c r="B1167" s="33" t="s">
        <v>2541</v>
      </c>
      <c r="C1167" s="33" t="s">
        <v>2542</v>
      </c>
      <c r="D1167" s="28">
        <v>1285</v>
      </c>
      <c r="E1167" s="33" t="s">
        <v>18</v>
      </c>
      <c r="F1167" s="33"/>
      <c r="G1167" s="38">
        <v>11.7</v>
      </c>
      <c r="H1167" s="33">
        <v>80</v>
      </c>
      <c r="I1167" s="33">
        <v>72</v>
      </c>
      <c r="J1167" s="33">
        <f t="shared" si="54"/>
        <v>76</v>
      </c>
      <c r="K1167" s="33">
        <v>0.5</v>
      </c>
      <c r="L1167" s="33"/>
      <c r="M1167" s="38">
        <f t="shared" si="55"/>
        <v>11.2</v>
      </c>
      <c r="N1167" s="39">
        <f t="shared" si="56"/>
        <v>5.0808468479999993</v>
      </c>
      <c r="O1167" s="33" t="s">
        <v>21</v>
      </c>
      <c r="P1167" s="31" t="s">
        <v>19</v>
      </c>
    </row>
    <row r="1168" spans="1:16" x14ac:dyDescent="0.25">
      <c r="A1168" s="26">
        <v>1167</v>
      </c>
      <c r="B1168" s="33" t="s">
        <v>2543</v>
      </c>
      <c r="C1168" s="33" t="s">
        <v>2544</v>
      </c>
      <c r="D1168" s="28" t="s">
        <v>2545</v>
      </c>
      <c r="E1168" s="33" t="s">
        <v>18</v>
      </c>
      <c r="F1168" s="33"/>
      <c r="G1168" s="38">
        <v>12.2</v>
      </c>
      <c r="H1168" s="33">
        <v>73</v>
      </c>
      <c r="I1168" s="33">
        <v>71</v>
      </c>
      <c r="J1168" s="33">
        <f t="shared" si="54"/>
        <v>72</v>
      </c>
      <c r="K1168" s="33"/>
      <c r="L1168" s="33"/>
      <c r="M1168" s="38">
        <f t="shared" si="55"/>
        <v>12.2</v>
      </c>
      <c r="N1168" s="39">
        <f t="shared" si="56"/>
        <v>4.9672465919999995</v>
      </c>
      <c r="O1168" s="33"/>
      <c r="P1168" s="31" t="s">
        <v>19</v>
      </c>
    </row>
    <row r="1169" spans="1:16" x14ac:dyDescent="0.25">
      <c r="A1169" s="26">
        <v>1168</v>
      </c>
      <c r="B1169" s="33" t="s">
        <v>2546</v>
      </c>
      <c r="C1169" s="33" t="s">
        <v>2547</v>
      </c>
      <c r="D1169" s="28" t="s">
        <v>2548</v>
      </c>
      <c r="E1169" s="33" t="s">
        <v>18</v>
      </c>
      <c r="F1169" s="33"/>
      <c r="G1169" s="38">
        <v>13.4</v>
      </c>
      <c r="H1169" s="33">
        <v>85</v>
      </c>
      <c r="I1169" s="33">
        <v>82</v>
      </c>
      <c r="J1169" s="33">
        <f t="shared" si="54"/>
        <v>83</v>
      </c>
      <c r="K1169" s="33"/>
      <c r="L1169" s="33"/>
      <c r="M1169" s="38">
        <f t="shared" si="55"/>
        <v>13.4</v>
      </c>
      <c r="N1169" s="39">
        <f t="shared" si="56"/>
        <v>7.2502316040000006</v>
      </c>
      <c r="O1169" s="33"/>
      <c r="P1169" s="31" t="s">
        <v>30</v>
      </c>
    </row>
    <row r="1170" spans="1:16" x14ac:dyDescent="0.25">
      <c r="A1170" s="26">
        <v>1169</v>
      </c>
      <c r="B1170" s="33" t="s">
        <v>2549</v>
      </c>
      <c r="C1170" s="33" t="s">
        <v>2550</v>
      </c>
      <c r="D1170" s="28" t="s">
        <v>2551</v>
      </c>
      <c r="E1170" s="33" t="s">
        <v>18</v>
      </c>
      <c r="F1170" s="33"/>
      <c r="G1170" s="38">
        <v>13.2</v>
      </c>
      <c r="H1170" s="33">
        <v>82</v>
      </c>
      <c r="I1170" s="33">
        <v>71</v>
      </c>
      <c r="J1170" s="33">
        <f t="shared" si="54"/>
        <v>76</v>
      </c>
      <c r="K1170" s="33"/>
      <c r="L1170" s="33"/>
      <c r="M1170" s="38">
        <f t="shared" si="55"/>
        <v>13.2</v>
      </c>
      <c r="N1170" s="39">
        <f t="shared" si="56"/>
        <v>5.988140928</v>
      </c>
      <c r="O1170" s="33"/>
      <c r="P1170" s="31" t="s">
        <v>19</v>
      </c>
    </row>
    <row r="1171" spans="1:16" x14ac:dyDescent="0.25">
      <c r="A1171" s="26">
        <v>1170</v>
      </c>
      <c r="B1171" s="33" t="s">
        <v>2552</v>
      </c>
      <c r="C1171" s="33" t="s">
        <v>2553</v>
      </c>
      <c r="D1171" s="28" t="s">
        <v>2554</v>
      </c>
      <c r="E1171" s="33" t="s">
        <v>18</v>
      </c>
      <c r="F1171" s="33"/>
      <c r="G1171" s="38">
        <v>8.5</v>
      </c>
      <c r="H1171" s="33">
        <v>86</v>
      </c>
      <c r="I1171" s="33">
        <v>79</v>
      </c>
      <c r="J1171" s="33">
        <f t="shared" si="54"/>
        <v>82</v>
      </c>
      <c r="K1171" s="33">
        <v>0.3</v>
      </c>
      <c r="L1171" s="33"/>
      <c r="M1171" s="38">
        <f t="shared" si="55"/>
        <v>8.1999999999999993</v>
      </c>
      <c r="N1171" s="39">
        <f t="shared" si="56"/>
        <v>4.3304442720000003</v>
      </c>
      <c r="O1171" s="33" t="s">
        <v>21</v>
      </c>
      <c r="P1171" s="31" t="s">
        <v>19</v>
      </c>
    </row>
    <row r="1172" spans="1:16" x14ac:dyDescent="0.25">
      <c r="A1172" s="26">
        <v>1171</v>
      </c>
      <c r="B1172" s="33" t="s">
        <v>2555</v>
      </c>
      <c r="C1172" s="42" t="s">
        <v>2556</v>
      </c>
      <c r="D1172" s="28" t="s">
        <v>2557</v>
      </c>
      <c r="E1172" s="33" t="s">
        <v>18</v>
      </c>
      <c r="F1172" s="33"/>
      <c r="G1172" s="45">
        <v>5.2</v>
      </c>
      <c r="H1172" s="42">
        <v>85</v>
      </c>
      <c r="I1172" s="42">
        <v>83</v>
      </c>
      <c r="J1172" s="33">
        <f t="shared" si="54"/>
        <v>84</v>
      </c>
      <c r="K1172" s="44">
        <v>0.4</v>
      </c>
      <c r="L1172" s="44"/>
      <c r="M1172" s="38">
        <f t="shared" si="55"/>
        <v>4.8</v>
      </c>
      <c r="N1172" s="39">
        <f t="shared" si="56"/>
        <v>2.6600555519999993</v>
      </c>
      <c r="O1172" s="42" t="s">
        <v>21</v>
      </c>
      <c r="P1172" s="31" t="s">
        <v>19</v>
      </c>
    </row>
    <row r="1173" spans="1:16" x14ac:dyDescent="0.25">
      <c r="A1173" s="26">
        <v>1172</v>
      </c>
      <c r="B1173" s="33" t="s">
        <v>2558</v>
      </c>
      <c r="C1173" s="33" t="s">
        <v>2559</v>
      </c>
      <c r="D1173" s="28" t="s">
        <v>2560</v>
      </c>
      <c r="E1173" s="33" t="s">
        <v>18</v>
      </c>
      <c r="F1173" s="33"/>
      <c r="G1173" s="38">
        <v>6.3</v>
      </c>
      <c r="H1173" s="33">
        <v>90</v>
      </c>
      <c r="I1173" s="33">
        <v>85</v>
      </c>
      <c r="J1173" s="33">
        <f t="shared" si="54"/>
        <v>87</v>
      </c>
      <c r="K1173" s="44"/>
      <c r="L1173" s="44"/>
      <c r="M1173" s="38">
        <f t="shared" si="55"/>
        <v>6.3</v>
      </c>
      <c r="N1173" s="39">
        <f t="shared" si="56"/>
        <v>3.7451563380000001</v>
      </c>
      <c r="O1173" s="33"/>
      <c r="P1173" s="31" t="s">
        <v>19</v>
      </c>
    </row>
    <row r="1174" spans="1:16" x14ac:dyDescent="0.25">
      <c r="A1174" s="26">
        <v>1173</v>
      </c>
      <c r="B1174" s="33" t="s">
        <v>2561</v>
      </c>
      <c r="C1174" s="26" t="s">
        <v>2562</v>
      </c>
      <c r="D1174" s="28" t="s">
        <v>2563</v>
      </c>
      <c r="E1174" s="33" t="s">
        <v>18</v>
      </c>
      <c r="F1174" s="33"/>
      <c r="G1174" s="29">
        <v>11.5</v>
      </c>
      <c r="H1174" s="32">
        <v>86</v>
      </c>
      <c r="I1174" s="32">
        <v>78</v>
      </c>
      <c r="J1174" s="33">
        <f t="shared" si="54"/>
        <v>82</v>
      </c>
      <c r="K1174" s="44"/>
      <c r="L1174" s="44"/>
      <c r="M1174" s="38">
        <f t="shared" si="55"/>
        <v>11.5</v>
      </c>
      <c r="N1174" s="39">
        <f t="shared" si="56"/>
        <v>6.0731840400000001</v>
      </c>
      <c r="O1174" s="32" t="s">
        <v>53</v>
      </c>
      <c r="P1174" s="31" t="s">
        <v>19</v>
      </c>
    </row>
    <row r="1175" spans="1:16" x14ac:dyDescent="0.25">
      <c r="A1175" s="26">
        <v>1174</v>
      </c>
      <c r="B1175" s="33" t="s">
        <v>2564</v>
      </c>
      <c r="C1175" s="32" t="s">
        <v>2565</v>
      </c>
      <c r="D1175" s="28" t="s">
        <v>2566</v>
      </c>
      <c r="E1175" s="33" t="s">
        <v>18</v>
      </c>
      <c r="F1175" s="33"/>
      <c r="G1175" s="29">
        <v>7</v>
      </c>
      <c r="H1175" s="32">
        <v>77</v>
      </c>
      <c r="I1175" s="32">
        <v>74</v>
      </c>
      <c r="J1175" s="33">
        <f t="shared" si="54"/>
        <v>75</v>
      </c>
      <c r="K1175" s="44"/>
      <c r="L1175" s="44"/>
      <c r="M1175" s="38">
        <f t="shared" si="55"/>
        <v>7</v>
      </c>
      <c r="N1175" s="39">
        <f t="shared" si="56"/>
        <v>3.0925125000000002</v>
      </c>
      <c r="O1175" s="32"/>
      <c r="P1175" s="31" t="s">
        <v>19</v>
      </c>
    </row>
    <row r="1176" spans="1:16" x14ac:dyDescent="0.25">
      <c r="A1176" s="26">
        <v>1175</v>
      </c>
      <c r="B1176" s="33" t="s">
        <v>2567</v>
      </c>
      <c r="C1176" s="32" t="s">
        <v>2568</v>
      </c>
      <c r="D1176" s="28" t="s">
        <v>2569</v>
      </c>
      <c r="E1176" s="33" t="s">
        <v>18</v>
      </c>
      <c r="F1176" s="33"/>
      <c r="G1176" s="35">
        <v>5.6</v>
      </c>
      <c r="H1176" s="32">
        <v>91</v>
      </c>
      <c r="I1176" s="32">
        <v>88</v>
      </c>
      <c r="J1176" s="33">
        <f t="shared" si="54"/>
        <v>89</v>
      </c>
      <c r="K1176" s="44"/>
      <c r="L1176" s="44"/>
      <c r="M1176" s="38">
        <f t="shared" si="55"/>
        <v>5.6</v>
      </c>
      <c r="N1176" s="39">
        <f t="shared" si="56"/>
        <v>3.4838459040000003</v>
      </c>
      <c r="O1176" s="32"/>
      <c r="P1176" s="31" t="s">
        <v>19</v>
      </c>
    </row>
    <row r="1177" spans="1:16" x14ac:dyDescent="0.25">
      <c r="A1177" s="26">
        <v>1176</v>
      </c>
      <c r="B1177" s="33" t="s">
        <v>2570</v>
      </c>
      <c r="C1177" s="32" t="s">
        <v>2571</v>
      </c>
      <c r="D1177" s="28" t="s">
        <v>2572</v>
      </c>
      <c r="E1177" s="33" t="s">
        <v>18</v>
      </c>
      <c r="F1177" s="33"/>
      <c r="G1177" s="29">
        <v>12</v>
      </c>
      <c r="H1177" s="32">
        <v>103</v>
      </c>
      <c r="I1177" s="32">
        <v>90</v>
      </c>
      <c r="J1177" s="33">
        <f t="shared" si="54"/>
        <v>96</v>
      </c>
      <c r="K1177" s="44"/>
      <c r="L1177" s="44"/>
      <c r="M1177" s="38">
        <f t="shared" si="55"/>
        <v>12</v>
      </c>
      <c r="N1177" s="39">
        <f t="shared" si="56"/>
        <v>8.6858956799999998</v>
      </c>
      <c r="O1177" s="32"/>
      <c r="P1177" s="31" t="s">
        <v>19</v>
      </c>
    </row>
    <row r="1178" spans="1:16" x14ac:dyDescent="0.25">
      <c r="A1178" s="26">
        <v>1177</v>
      </c>
      <c r="B1178" s="33" t="s">
        <v>2573</v>
      </c>
      <c r="C1178" s="32" t="s">
        <v>2574</v>
      </c>
      <c r="D1178" s="28" t="s">
        <v>2575</v>
      </c>
      <c r="E1178" s="33" t="s">
        <v>18</v>
      </c>
      <c r="F1178" s="33"/>
      <c r="G1178" s="29">
        <v>9.1999999999999993</v>
      </c>
      <c r="H1178" s="32">
        <v>87</v>
      </c>
      <c r="I1178" s="32">
        <v>86</v>
      </c>
      <c r="J1178" s="33">
        <f t="shared" si="54"/>
        <v>86</v>
      </c>
      <c r="K1178" s="44"/>
      <c r="L1178" s="44"/>
      <c r="M1178" s="38">
        <f t="shared" si="55"/>
        <v>9.1999999999999993</v>
      </c>
      <c r="N1178" s="39">
        <f t="shared" si="56"/>
        <v>5.3441129279999995</v>
      </c>
      <c r="O1178" s="32"/>
      <c r="P1178" s="31" t="s">
        <v>30</v>
      </c>
    </row>
    <row r="1179" spans="1:16" x14ac:dyDescent="0.25">
      <c r="A1179" s="26">
        <v>1178</v>
      </c>
      <c r="B1179" s="33" t="s">
        <v>2576</v>
      </c>
      <c r="C1179" s="32" t="s">
        <v>2577</v>
      </c>
      <c r="D1179" s="28">
        <v>1446</v>
      </c>
      <c r="E1179" s="33" t="s">
        <v>18</v>
      </c>
      <c r="F1179" s="33"/>
      <c r="G1179" s="29">
        <v>12</v>
      </c>
      <c r="H1179" s="32">
        <v>80</v>
      </c>
      <c r="I1179" s="32">
        <v>75</v>
      </c>
      <c r="J1179" s="33">
        <f t="shared" si="54"/>
        <v>77</v>
      </c>
      <c r="K1179" s="44"/>
      <c r="L1179" s="44"/>
      <c r="M1179" s="38">
        <f t="shared" si="55"/>
        <v>12</v>
      </c>
      <c r="N1179" s="39">
        <f t="shared" si="56"/>
        <v>5.58796392</v>
      </c>
      <c r="O1179" s="32"/>
      <c r="P1179" s="31" t="s">
        <v>19</v>
      </c>
    </row>
    <row r="1180" spans="1:16" x14ac:dyDescent="0.25">
      <c r="A1180" s="26">
        <v>1179</v>
      </c>
      <c r="B1180" s="33" t="s">
        <v>2578</v>
      </c>
      <c r="C1180" s="32" t="s">
        <v>2579</v>
      </c>
      <c r="D1180" s="28" t="s">
        <v>2580</v>
      </c>
      <c r="E1180" s="33" t="s">
        <v>18</v>
      </c>
      <c r="F1180" s="33"/>
      <c r="G1180" s="35">
        <v>6</v>
      </c>
      <c r="H1180" s="32">
        <v>77</v>
      </c>
      <c r="I1180" s="32">
        <v>76</v>
      </c>
      <c r="J1180" s="33">
        <f t="shared" si="54"/>
        <v>76</v>
      </c>
      <c r="K1180" s="44"/>
      <c r="L1180" s="44"/>
      <c r="M1180" s="38">
        <f t="shared" si="55"/>
        <v>6</v>
      </c>
      <c r="N1180" s="39">
        <f t="shared" si="56"/>
        <v>2.7218822400000002</v>
      </c>
      <c r="O1180" s="32"/>
      <c r="P1180" s="31" t="s">
        <v>19</v>
      </c>
    </row>
    <row r="1181" spans="1:16" x14ac:dyDescent="0.25">
      <c r="A1181" s="26">
        <v>1180</v>
      </c>
      <c r="B1181" s="33" t="s">
        <v>2581</v>
      </c>
      <c r="C1181" s="26" t="s">
        <v>2582</v>
      </c>
      <c r="D1181" s="28" t="s">
        <v>2583</v>
      </c>
      <c r="E1181" s="33" t="s">
        <v>18</v>
      </c>
      <c r="F1181" s="33"/>
      <c r="G1181" s="29">
        <v>6.5</v>
      </c>
      <c r="H1181" s="26">
        <v>75</v>
      </c>
      <c r="I1181" s="26">
        <v>75</v>
      </c>
      <c r="J1181" s="33">
        <f t="shared" si="54"/>
        <v>75</v>
      </c>
      <c r="K1181" s="44"/>
      <c r="L1181" s="44"/>
      <c r="M1181" s="38">
        <f t="shared" si="55"/>
        <v>6.5</v>
      </c>
      <c r="N1181" s="39">
        <f t="shared" si="56"/>
        <v>2.8716187500000001</v>
      </c>
      <c r="O1181" s="26"/>
      <c r="P1181" s="31" t="s">
        <v>30</v>
      </c>
    </row>
    <row r="1182" spans="1:16" x14ac:dyDescent="0.25">
      <c r="A1182" s="26">
        <v>1181</v>
      </c>
      <c r="B1182" s="33" t="s">
        <v>2584</v>
      </c>
      <c r="C1182" s="26" t="s">
        <v>2585</v>
      </c>
      <c r="D1182" s="28" t="s">
        <v>2586</v>
      </c>
      <c r="E1182" s="33" t="s">
        <v>18</v>
      </c>
      <c r="F1182" s="33"/>
      <c r="G1182" s="29">
        <v>12.1</v>
      </c>
      <c r="H1182" s="32">
        <v>93</v>
      </c>
      <c r="I1182" s="32">
        <v>75</v>
      </c>
      <c r="J1182" s="33">
        <f t="shared" si="54"/>
        <v>84</v>
      </c>
      <c r="K1182" s="44"/>
      <c r="L1182" s="44"/>
      <c r="M1182" s="38">
        <f t="shared" si="55"/>
        <v>12.1</v>
      </c>
      <c r="N1182" s="39">
        <f t="shared" si="56"/>
        <v>6.7055567039999993</v>
      </c>
      <c r="O1182" s="32"/>
      <c r="P1182" s="31" t="s">
        <v>19</v>
      </c>
    </row>
    <row r="1183" spans="1:16" x14ac:dyDescent="0.25">
      <c r="A1183" s="26">
        <v>1182</v>
      </c>
      <c r="B1183" s="33" t="s">
        <v>2587</v>
      </c>
      <c r="C1183" s="32" t="s">
        <v>2588</v>
      </c>
      <c r="D1183" s="28" t="s">
        <v>2589</v>
      </c>
      <c r="E1183" s="33" t="s">
        <v>18</v>
      </c>
      <c r="F1183" s="33"/>
      <c r="G1183" s="29">
        <v>12.5</v>
      </c>
      <c r="H1183" s="32">
        <v>89</v>
      </c>
      <c r="I1183" s="32">
        <v>80</v>
      </c>
      <c r="J1183" s="33">
        <f t="shared" ref="J1183:J1246" si="57">ROUNDDOWN((H1183+I1183)/2,0)</f>
        <v>84</v>
      </c>
      <c r="K1183" s="44"/>
      <c r="L1183" s="44"/>
      <c r="M1183" s="38">
        <f t="shared" si="55"/>
        <v>12.5</v>
      </c>
      <c r="N1183" s="39">
        <f t="shared" si="56"/>
        <v>6.9272279999999995</v>
      </c>
      <c r="O1183" s="32"/>
      <c r="P1183" s="31" t="s">
        <v>19</v>
      </c>
    </row>
    <row r="1184" spans="1:16" x14ac:dyDescent="0.25">
      <c r="A1184" s="26">
        <v>1183</v>
      </c>
      <c r="B1184" s="33" t="s">
        <v>2590</v>
      </c>
      <c r="C1184" s="26" t="s">
        <v>2591</v>
      </c>
      <c r="D1184" s="28">
        <v>160</v>
      </c>
      <c r="E1184" s="33" t="s">
        <v>18</v>
      </c>
      <c r="F1184" s="33"/>
      <c r="G1184" s="29">
        <v>5.6</v>
      </c>
      <c r="H1184" s="26">
        <v>99</v>
      </c>
      <c r="I1184" s="26">
        <v>96</v>
      </c>
      <c r="J1184" s="33">
        <f t="shared" si="57"/>
        <v>97</v>
      </c>
      <c r="K1184" s="44">
        <v>1</v>
      </c>
      <c r="L1184" s="44"/>
      <c r="M1184" s="38">
        <f t="shared" si="55"/>
        <v>4.5999999999999996</v>
      </c>
      <c r="N1184" s="39">
        <f t="shared" si="56"/>
        <v>3.3993211559999996</v>
      </c>
      <c r="O1184" s="26" t="s">
        <v>53</v>
      </c>
      <c r="P1184" s="31" t="s">
        <v>30</v>
      </c>
    </row>
    <row r="1185" spans="1:16" x14ac:dyDescent="0.25">
      <c r="A1185" s="26">
        <v>1184</v>
      </c>
      <c r="B1185" s="33" t="s">
        <v>2592</v>
      </c>
      <c r="C1185" s="32" t="s">
        <v>2593</v>
      </c>
      <c r="D1185" s="28" t="s">
        <v>2594</v>
      </c>
      <c r="E1185" s="33" t="s">
        <v>18</v>
      </c>
      <c r="F1185" s="33"/>
      <c r="G1185" s="29">
        <v>12.1</v>
      </c>
      <c r="H1185" s="32">
        <v>109</v>
      </c>
      <c r="I1185" s="32">
        <v>99</v>
      </c>
      <c r="J1185" s="33">
        <f t="shared" si="57"/>
        <v>104</v>
      </c>
      <c r="K1185" s="44"/>
      <c r="L1185" s="44"/>
      <c r="M1185" s="38">
        <f t="shared" si="55"/>
        <v>12.1</v>
      </c>
      <c r="N1185" s="39">
        <f t="shared" si="56"/>
        <v>10.278812543999999</v>
      </c>
      <c r="O1185" s="32"/>
      <c r="P1185" s="31" t="s">
        <v>19</v>
      </c>
    </row>
    <row r="1186" spans="1:16" x14ac:dyDescent="0.25">
      <c r="A1186" s="26">
        <v>1185</v>
      </c>
      <c r="B1186" s="33" t="s">
        <v>2595</v>
      </c>
      <c r="C1186" s="32" t="s">
        <v>2596</v>
      </c>
      <c r="D1186" s="28" t="s">
        <v>2597</v>
      </c>
      <c r="E1186" s="33" t="s">
        <v>18</v>
      </c>
      <c r="F1186" s="33"/>
      <c r="G1186" s="29">
        <v>13</v>
      </c>
      <c r="H1186" s="32">
        <v>98</v>
      </c>
      <c r="I1186" s="32">
        <v>87</v>
      </c>
      <c r="J1186" s="33">
        <f t="shared" si="57"/>
        <v>92</v>
      </c>
      <c r="K1186" s="44"/>
      <c r="L1186" s="44"/>
      <c r="M1186" s="38">
        <f t="shared" si="55"/>
        <v>13</v>
      </c>
      <c r="N1186" s="39">
        <f t="shared" si="56"/>
        <v>8.6419132799999989</v>
      </c>
      <c r="O1186" s="32"/>
      <c r="P1186" s="31" t="s">
        <v>19</v>
      </c>
    </row>
    <row r="1187" spans="1:16" x14ac:dyDescent="0.25">
      <c r="A1187" s="26">
        <v>1186</v>
      </c>
      <c r="B1187" s="33" t="s">
        <v>2598</v>
      </c>
      <c r="C1187" s="26" t="s">
        <v>2599</v>
      </c>
      <c r="D1187" s="28" t="s">
        <v>2600</v>
      </c>
      <c r="E1187" s="33" t="s">
        <v>18</v>
      </c>
      <c r="F1187" s="33"/>
      <c r="G1187" s="29">
        <v>11.9</v>
      </c>
      <c r="H1187" s="32">
        <v>90</v>
      </c>
      <c r="I1187" s="32">
        <v>80</v>
      </c>
      <c r="J1187" s="33">
        <f t="shared" si="57"/>
        <v>85</v>
      </c>
      <c r="K1187" s="44"/>
      <c r="L1187" s="44"/>
      <c r="M1187" s="38">
        <f t="shared" si="55"/>
        <v>11.9</v>
      </c>
      <c r="N1187" s="39">
        <f t="shared" si="56"/>
        <v>6.7526728499999997</v>
      </c>
      <c r="O1187" s="32"/>
      <c r="P1187" s="31" t="s">
        <v>19</v>
      </c>
    </row>
    <row r="1188" spans="1:16" x14ac:dyDescent="0.25">
      <c r="A1188" s="26">
        <v>1187</v>
      </c>
      <c r="B1188" s="33" t="s">
        <v>2601</v>
      </c>
      <c r="C1188" s="32" t="s">
        <v>2602</v>
      </c>
      <c r="D1188" s="28" t="s">
        <v>2603</v>
      </c>
      <c r="E1188" s="33" t="s">
        <v>18</v>
      </c>
      <c r="F1188" s="33"/>
      <c r="G1188" s="29">
        <v>10.3</v>
      </c>
      <c r="H1188" s="32">
        <v>106</v>
      </c>
      <c r="I1188" s="32">
        <v>102</v>
      </c>
      <c r="J1188" s="33">
        <f t="shared" si="57"/>
        <v>104</v>
      </c>
      <c r="K1188" s="44">
        <v>0.4</v>
      </c>
      <c r="L1188" s="44"/>
      <c r="M1188" s="38">
        <f t="shared" si="55"/>
        <v>9.9</v>
      </c>
      <c r="N1188" s="39">
        <f t="shared" si="56"/>
        <v>8.409937536000001</v>
      </c>
      <c r="O1188" s="32" t="s">
        <v>53</v>
      </c>
      <c r="P1188" s="31" t="s">
        <v>19</v>
      </c>
    </row>
    <row r="1189" spans="1:16" x14ac:dyDescent="0.25">
      <c r="A1189" s="26">
        <v>1188</v>
      </c>
      <c r="B1189" s="33" t="s">
        <v>2604</v>
      </c>
      <c r="C1189" s="32" t="s">
        <v>2605</v>
      </c>
      <c r="D1189" s="28" t="s">
        <v>2606</v>
      </c>
      <c r="E1189" s="33" t="s">
        <v>18</v>
      </c>
      <c r="F1189" s="33"/>
      <c r="G1189" s="29">
        <v>5.6</v>
      </c>
      <c r="H1189" s="32">
        <v>87</v>
      </c>
      <c r="I1189" s="32">
        <v>84</v>
      </c>
      <c r="J1189" s="33">
        <f t="shared" si="57"/>
        <v>85</v>
      </c>
      <c r="K1189" s="44"/>
      <c r="L1189" s="44"/>
      <c r="M1189" s="38">
        <f t="shared" si="55"/>
        <v>5.6</v>
      </c>
      <c r="N1189" s="39">
        <f t="shared" si="56"/>
        <v>3.1777283999999999</v>
      </c>
      <c r="O1189" s="32"/>
      <c r="P1189" s="31" t="s">
        <v>19</v>
      </c>
    </row>
    <row r="1190" spans="1:16" x14ac:dyDescent="0.25">
      <c r="A1190" s="26">
        <v>1189</v>
      </c>
      <c r="B1190" s="33" t="s">
        <v>2607</v>
      </c>
      <c r="C1190" s="32" t="s">
        <v>2608</v>
      </c>
      <c r="D1190" s="28" t="s">
        <v>2609</v>
      </c>
      <c r="E1190" s="33" t="s">
        <v>18</v>
      </c>
      <c r="F1190" s="33"/>
      <c r="G1190" s="35">
        <v>8.1999999999999993</v>
      </c>
      <c r="H1190" s="32">
        <v>99</v>
      </c>
      <c r="I1190" s="32">
        <v>98</v>
      </c>
      <c r="J1190" s="33">
        <f t="shared" si="57"/>
        <v>98</v>
      </c>
      <c r="K1190" s="44"/>
      <c r="L1190" s="44"/>
      <c r="M1190" s="38">
        <f t="shared" si="55"/>
        <v>8.1999999999999993</v>
      </c>
      <c r="N1190" s="39">
        <f t="shared" si="56"/>
        <v>6.185244911999999</v>
      </c>
      <c r="O1190" s="32"/>
      <c r="P1190" s="31" t="s">
        <v>19</v>
      </c>
    </row>
    <row r="1191" spans="1:16" x14ac:dyDescent="0.25">
      <c r="A1191" s="26">
        <v>1190</v>
      </c>
      <c r="B1191" s="33" t="s">
        <v>2610</v>
      </c>
      <c r="C1191" s="32" t="s">
        <v>2611</v>
      </c>
      <c r="D1191" s="28" t="s">
        <v>2612</v>
      </c>
      <c r="E1191" s="33" t="s">
        <v>18</v>
      </c>
      <c r="F1191" s="33"/>
      <c r="G1191" s="29">
        <v>12.1</v>
      </c>
      <c r="H1191" s="32">
        <v>103</v>
      </c>
      <c r="I1191" s="32">
        <v>100</v>
      </c>
      <c r="J1191" s="33">
        <f t="shared" si="57"/>
        <v>101</v>
      </c>
      <c r="K1191" s="44"/>
      <c r="L1191" s="44"/>
      <c r="M1191" s="38">
        <f t="shared" si="55"/>
        <v>12.1</v>
      </c>
      <c r="N1191" s="39">
        <f t="shared" si="56"/>
        <v>9.6943571339999988</v>
      </c>
      <c r="O1191" s="32"/>
      <c r="P1191" s="31" t="s">
        <v>19</v>
      </c>
    </row>
    <row r="1192" spans="1:16" x14ac:dyDescent="0.25">
      <c r="A1192" s="26">
        <v>1191</v>
      </c>
      <c r="B1192" s="33" t="s">
        <v>2613</v>
      </c>
      <c r="C1192" s="32" t="s">
        <v>2614</v>
      </c>
      <c r="D1192" s="28" t="s">
        <v>2615</v>
      </c>
      <c r="E1192" s="33" t="s">
        <v>18</v>
      </c>
      <c r="F1192" s="33"/>
      <c r="G1192" s="29">
        <v>12</v>
      </c>
      <c r="H1192" s="32">
        <v>87</v>
      </c>
      <c r="I1192" s="32">
        <v>78</v>
      </c>
      <c r="J1192" s="33">
        <f t="shared" si="57"/>
        <v>82</v>
      </c>
      <c r="K1192" s="44">
        <v>0.5</v>
      </c>
      <c r="L1192" s="44"/>
      <c r="M1192" s="38">
        <f t="shared" si="55"/>
        <v>11.5</v>
      </c>
      <c r="N1192" s="39">
        <f t="shared" si="56"/>
        <v>6.0731840400000001</v>
      </c>
      <c r="O1192" s="32" t="s">
        <v>53</v>
      </c>
      <c r="P1192" s="31" t="s">
        <v>19</v>
      </c>
    </row>
    <row r="1193" spans="1:16" x14ac:dyDescent="0.25">
      <c r="A1193" s="26">
        <v>1192</v>
      </c>
      <c r="B1193" s="33" t="s">
        <v>2616</v>
      </c>
      <c r="C1193" s="32" t="s">
        <v>2617</v>
      </c>
      <c r="D1193" s="28" t="s">
        <v>2618</v>
      </c>
      <c r="E1193" s="33" t="s">
        <v>18</v>
      </c>
      <c r="F1193" s="33"/>
      <c r="G1193" s="29">
        <v>6</v>
      </c>
      <c r="H1193" s="32">
        <v>85</v>
      </c>
      <c r="I1193" s="32">
        <v>84</v>
      </c>
      <c r="J1193" s="33">
        <f t="shared" si="57"/>
        <v>84</v>
      </c>
      <c r="K1193" s="44">
        <v>0.4</v>
      </c>
      <c r="L1193" s="44"/>
      <c r="M1193" s="38">
        <f t="shared" si="55"/>
        <v>5.6</v>
      </c>
      <c r="N1193" s="39">
        <f t="shared" si="56"/>
        <v>3.1033981439999998</v>
      </c>
      <c r="O1193" s="32" t="s">
        <v>53</v>
      </c>
      <c r="P1193" s="31" t="s">
        <v>30</v>
      </c>
    </row>
    <row r="1194" spans="1:16" x14ac:dyDescent="0.25">
      <c r="A1194" s="26">
        <v>1193</v>
      </c>
      <c r="B1194" s="33" t="s">
        <v>2619</v>
      </c>
      <c r="C1194" s="32" t="s">
        <v>2620</v>
      </c>
      <c r="D1194" s="28" t="s">
        <v>2621</v>
      </c>
      <c r="E1194" s="33" t="s">
        <v>18</v>
      </c>
      <c r="F1194" s="33"/>
      <c r="G1194" s="29">
        <v>10.4</v>
      </c>
      <c r="H1194" s="32">
        <v>106</v>
      </c>
      <c r="I1194" s="32">
        <v>96</v>
      </c>
      <c r="J1194" s="33">
        <f t="shared" si="57"/>
        <v>101</v>
      </c>
      <c r="K1194" s="44">
        <v>0.4</v>
      </c>
      <c r="L1194" s="44"/>
      <c r="M1194" s="38">
        <f t="shared" si="55"/>
        <v>10</v>
      </c>
      <c r="N1194" s="39">
        <f t="shared" si="56"/>
        <v>8.0118653999999996</v>
      </c>
      <c r="O1194" s="32" t="s">
        <v>53</v>
      </c>
      <c r="P1194" s="31" t="s">
        <v>19</v>
      </c>
    </row>
    <row r="1195" spans="1:16" x14ac:dyDescent="0.25">
      <c r="A1195" s="26">
        <v>1194</v>
      </c>
      <c r="B1195" s="33" t="s">
        <v>2622</v>
      </c>
      <c r="C1195" s="32" t="s">
        <v>2623</v>
      </c>
      <c r="D1195" s="28">
        <v>5100</v>
      </c>
      <c r="E1195" s="33" t="s">
        <v>18</v>
      </c>
      <c r="F1195" s="33"/>
      <c r="G1195" s="29">
        <v>9.8000000000000007</v>
      </c>
      <c r="H1195" s="32">
        <v>95</v>
      </c>
      <c r="I1195" s="32">
        <v>86</v>
      </c>
      <c r="J1195" s="33">
        <f t="shared" si="57"/>
        <v>90</v>
      </c>
      <c r="K1195" s="44"/>
      <c r="L1195" s="44"/>
      <c r="M1195" s="38">
        <f t="shared" si="55"/>
        <v>9.8000000000000007</v>
      </c>
      <c r="N1195" s="39">
        <f t="shared" si="56"/>
        <v>6.2345051999999992</v>
      </c>
      <c r="O1195" s="32"/>
      <c r="P1195" s="31" t="s">
        <v>19</v>
      </c>
    </row>
    <row r="1196" spans="1:16" x14ac:dyDescent="0.25">
      <c r="A1196" s="26">
        <v>1195</v>
      </c>
      <c r="B1196" s="33" t="s">
        <v>2624</v>
      </c>
      <c r="C1196" s="32" t="s">
        <v>2625</v>
      </c>
      <c r="D1196" s="28">
        <v>1130</v>
      </c>
      <c r="E1196" s="33" t="s">
        <v>18</v>
      </c>
      <c r="F1196" s="33"/>
      <c r="G1196" s="35">
        <v>6.3</v>
      </c>
      <c r="H1196" s="32">
        <v>83</v>
      </c>
      <c r="I1196" s="32">
        <v>80</v>
      </c>
      <c r="J1196" s="33">
        <f t="shared" si="57"/>
        <v>81</v>
      </c>
      <c r="K1196" s="44"/>
      <c r="L1196" s="44"/>
      <c r="M1196" s="38">
        <f t="shared" si="55"/>
        <v>6.3</v>
      </c>
      <c r="N1196" s="39">
        <f t="shared" si="56"/>
        <v>3.2463959219999996</v>
      </c>
      <c r="O1196" s="32"/>
      <c r="P1196" s="31" t="s">
        <v>30</v>
      </c>
    </row>
    <row r="1197" spans="1:16" x14ac:dyDescent="0.25">
      <c r="A1197" s="26">
        <v>1196</v>
      </c>
      <c r="B1197" s="33" t="s">
        <v>2626</v>
      </c>
      <c r="C1197" s="32" t="s">
        <v>2627</v>
      </c>
      <c r="D1197" s="28">
        <v>5101</v>
      </c>
      <c r="E1197" s="33" t="s">
        <v>18</v>
      </c>
      <c r="F1197" s="33"/>
      <c r="G1197" s="35">
        <v>14</v>
      </c>
      <c r="H1197" s="32">
        <v>85</v>
      </c>
      <c r="I1197" s="32">
        <v>64</v>
      </c>
      <c r="J1197" s="33">
        <f t="shared" si="57"/>
        <v>74</v>
      </c>
      <c r="K1197" s="44"/>
      <c r="L1197" s="44"/>
      <c r="M1197" s="38">
        <f t="shared" si="55"/>
        <v>14</v>
      </c>
      <c r="N1197" s="39">
        <f t="shared" si="56"/>
        <v>6.02119056</v>
      </c>
      <c r="O1197" s="32"/>
      <c r="P1197" s="31" t="s">
        <v>19</v>
      </c>
    </row>
    <row r="1198" spans="1:16" x14ac:dyDescent="0.25">
      <c r="A1198" s="26">
        <v>1197</v>
      </c>
      <c r="B1198" s="33" t="s">
        <v>2628</v>
      </c>
      <c r="C1198" s="32" t="s">
        <v>2629</v>
      </c>
      <c r="D1198" s="28" t="s">
        <v>2630</v>
      </c>
      <c r="E1198" s="33" t="s">
        <v>18</v>
      </c>
      <c r="F1198" s="33"/>
      <c r="G1198" s="29">
        <v>9.8000000000000007</v>
      </c>
      <c r="H1198" s="32">
        <v>127</v>
      </c>
      <c r="I1198" s="32">
        <v>117</v>
      </c>
      <c r="J1198" s="33">
        <f t="shared" si="57"/>
        <v>122</v>
      </c>
      <c r="K1198" s="44">
        <v>0.4</v>
      </c>
      <c r="L1198" s="44"/>
      <c r="M1198" s="38">
        <f t="shared" si="55"/>
        <v>9.4</v>
      </c>
      <c r="N1198" s="39">
        <f t="shared" si="56"/>
        <v>10.988499984000001</v>
      </c>
      <c r="O1198" s="32" t="s">
        <v>53</v>
      </c>
      <c r="P1198" s="31" t="s">
        <v>19</v>
      </c>
    </row>
    <row r="1199" spans="1:16" x14ac:dyDescent="0.25">
      <c r="A1199" s="26">
        <v>1198</v>
      </c>
      <c r="B1199" s="33" t="s">
        <v>2631</v>
      </c>
      <c r="C1199" s="26" t="s">
        <v>2632</v>
      </c>
      <c r="D1199" s="28">
        <v>4727</v>
      </c>
      <c r="E1199" s="33" t="s">
        <v>18</v>
      </c>
      <c r="F1199" s="33"/>
      <c r="G1199" s="29">
        <v>6.1</v>
      </c>
      <c r="H1199" s="32">
        <v>117</v>
      </c>
      <c r="I1199" s="32">
        <v>107</v>
      </c>
      <c r="J1199" s="33">
        <f t="shared" si="57"/>
        <v>112</v>
      </c>
      <c r="K1199" s="44"/>
      <c r="L1199" s="44"/>
      <c r="M1199" s="38">
        <f t="shared" si="55"/>
        <v>6.1</v>
      </c>
      <c r="N1199" s="39">
        <f t="shared" si="56"/>
        <v>6.0097551359999999</v>
      </c>
      <c r="O1199" s="32"/>
      <c r="P1199" s="31" t="s">
        <v>30</v>
      </c>
    </row>
    <row r="1200" spans="1:16" x14ac:dyDescent="0.25">
      <c r="A1200" s="26">
        <v>1199</v>
      </c>
      <c r="B1200" s="33" t="s">
        <v>2633</v>
      </c>
      <c r="C1200" s="32" t="s">
        <v>2634</v>
      </c>
      <c r="D1200" s="28" t="s">
        <v>2635</v>
      </c>
      <c r="E1200" s="33" t="s">
        <v>18</v>
      </c>
      <c r="F1200" s="33"/>
      <c r="G1200" s="29">
        <v>11.7</v>
      </c>
      <c r="H1200" s="32">
        <v>112</v>
      </c>
      <c r="I1200" s="32">
        <v>80</v>
      </c>
      <c r="J1200" s="33">
        <f t="shared" si="57"/>
        <v>96</v>
      </c>
      <c r="K1200" s="44"/>
      <c r="L1200" s="44"/>
      <c r="M1200" s="38">
        <f t="shared" si="55"/>
        <v>11.7</v>
      </c>
      <c r="N1200" s="39">
        <f t="shared" si="56"/>
        <v>8.4687482880000005</v>
      </c>
      <c r="O1200" s="32"/>
      <c r="P1200" s="31" t="s">
        <v>19</v>
      </c>
    </row>
    <row r="1201" spans="1:16" x14ac:dyDescent="0.25">
      <c r="A1201" s="26">
        <v>1200</v>
      </c>
      <c r="B1201" s="33" t="s">
        <v>2636</v>
      </c>
      <c r="C1201" s="26" t="s">
        <v>2637</v>
      </c>
      <c r="D1201" s="28" t="s">
        <v>2638</v>
      </c>
      <c r="E1201" s="33" t="s">
        <v>18</v>
      </c>
      <c r="F1201" s="33"/>
      <c r="G1201" s="29">
        <v>6.1</v>
      </c>
      <c r="H1201" s="32">
        <v>80</v>
      </c>
      <c r="I1201" s="32">
        <v>77</v>
      </c>
      <c r="J1201" s="33">
        <f t="shared" si="57"/>
        <v>78</v>
      </c>
      <c r="K1201" s="44"/>
      <c r="L1201" s="44"/>
      <c r="M1201" s="38">
        <f t="shared" si="55"/>
        <v>6.1</v>
      </c>
      <c r="N1201" s="39">
        <f t="shared" si="56"/>
        <v>2.9148078959999997</v>
      </c>
      <c r="O1201" s="32"/>
      <c r="P1201" s="31" t="s">
        <v>19</v>
      </c>
    </row>
    <row r="1202" spans="1:16" x14ac:dyDescent="0.25">
      <c r="A1202" s="26">
        <v>1201</v>
      </c>
      <c r="B1202" s="33" t="s">
        <v>2639</v>
      </c>
      <c r="C1202" s="32" t="s">
        <v>2640</v>
      </c>
      <c r="D1202" s="28" t="s">
        <v>2641</v>
      </c>
      <c r="E1202" s="33" t="s">
        <v>18</v>
      </c>
      <c r="F1202" s="33"/>
      <c r="G1202" s="35">
        <v>13.3</v>
      </c>
      <c r="H1202" s="32">
        <v>90</v>
      </c>
      <c r="I1202" s="32">
        <v>74</v>
      </c>
      <c r="J1202" s="33">
        <f t="shared" si="57"/>
        <v>82</v>
      </c>
      <c r="K1202" s="44"/>
      <c r="L1202" s="44"/>
      <c r="M1202" s="38">
        <f t="shared" si="55"/>
        <v>13.3</v>
      </c>
      <c r="N1202" s="39">
        <f t="shared" si="56"/>
        <v>7.0237693680000008</v>
      </c>
      <c r="O1202" s="32"/>
      <c r="P1202" s="31" t="s">
        <v>19</v>
      </c>
    </row>
    <row r="1203" spans="1:16" x14ac:dyDescent="0.25">
      <c r="A1203" s="26">
        <v>1202</v>
      </c>
      <c r="B1203" s="33" t="s">
        <v>2642</v>
      </c>
      <c r="C1203" s="32" t="s">
        <v>2643</v>
      </c>
      <c r="D1203" s="28">
        <v>135</v>
      </c>
      <c r="E1203" s="33" t="s">
        <v>18</v>
      </c>
      <c r="F1203" s="33"/>
      <c r="G1203" s="35">
        <v>11.4</v>
      </c>
      <c r="H1203" s="32">
        <v>91</v>
      </c>
      <c r="I1203" s="32">
        <v>69</v>
      </c>
      <c r="J1203" s="33">
        <f t="shared" si="57"/>
        <v>80</v>
      </c>
      <c r="K1203" s="44"/>
      <c r="L1203" s="44"/>
      <c r="M1203" s="38">
        <f t="shared" si="55"/>
        <v>11.4</v>
      </c>
      <c r="N1203" s="39">
        <f t="shared" si="56"/>
        <v>5.7302783999999996</v>
      </c>
      <c r="O1203" s="32"/>
      <c r="P1203" s="31" t="s">
        <v>19</v>
      </c>
    </row>
    <row r="1204" spans="1:16" x14ac:dyDescent="0.25">
      <c r="A1204" s="26">
        <v>1203</v>
      </c>
      <c r="B1204" s="33" t="s">
        <v>2644</v>
      </c>
      <c r="C1204" s="32" t="s">
        <v>2645</v>
      </c>
      <c r="D1204" s="28" t="s">
        <v>2646</v>
      </c>
      <c r="E1204" s="33" t="s">
        <v>18</v>
      </c>
      <c r="F1204" s="33"/>
      <c r="G1204" s="35">
        <v>6.4</v>
      </c>
      <c r="H1204" s="32">
        <v>96</v>
      </c>
      <c r="I1204" s="32">
        <v>89</v>
      </c>
      <c r="J1204" s="33">
        <f t="shared" si="57"/>
        <v>92</v>
      </c>
      <c r="K1204" s="44">
        <v>0.4</v>
      </c>
      <c r="L1204" s="44"/>
      <c r="M1204" s="38">
        <f t="shared" si="55"/>
        <v>6</v>
      </c>
      <c r="N1204" s="39">
        <f t="shared" si="56"/>
        <v>3.9885753599999996</v>
      </c>
      <c r="O1204" s="32" t="s">
        <v>21</v>
      </c>
      <c r="P1204" s="31" t="s">
        <v>19</v>
      </c>
    </row>
    <row r="1205" spans="1:16" x14ac:dyDescent="0.25">
      <c r="A1205" s="26">
        <v>1204</v>
      </c>
      <c r="B1205" s="33" t="s">
        <v>2647</v>
      </c>
      <c r="C1205" s="32" t="s">
        <v>2648</v>
      </c>
      <c r="D1205" s="28" t="s">
        <v>2649</v>
      </c>
      <c r="E1205" s="33" t="s">
        <v>18</v>
      </c>
      <c r="F1205" s="33"/>
      <c r="G1205" s="35">
        <v>11.4</v>
      </c>
      <c r="H1205" s="32">
        <v>105</v>
      </c>
      <c r="I1205" s="32">
        <v>91</v>
      </c>
      <c r="J1205" s="33">
        <f t="shared" si="57"/>
        <v>98</v>
      </c>
      <c r="K1205" s="44"/>
      <c r="L1205" s="44"/>
      <c r="M1205" s="38">
        <f t="shared" si="55"/>
        <v>11.4</v>
      </c>
      <c r="N1205" s="39">
        <f t="shared" si="56"/>
        <v>8.5989990239999994</v>
      </c>
      <c r="O1205" s="32"/>
      <c r="P1205" s="31" t="s">
        <v>19</v>
      </c>
    </row>
    <row r="1206" spans="1:16" x14ac:dyDescent="0.25">
      <c r="A1206" s="26">
        <v>1205</v>
      </c>
      <c r="B1206" s="33" t="s">
        <v>2650</v>
      </c>
      <c r="C1206" s="26" t="s">
        <v>2651</v>
      </c>
      <c r="D1206" s="28" t="s">
        <v>2652</v>
      </c>
      <c r="E1206" s="33" t="s">
        <v>18</v>
      </c>
      <c r="F1206" s="33"/>
      <c r="G1206" s="29">
        <v>5.3</v>
      </c>
      <c r="H1206" s="26">
        <v>81</v>
      </c>
      <c r="I1206" s="26">
        <v>80</v>
      </c>
      <c r="J1206" s="33">
        <f t="shared" si="57"/>
        <v>80</v>
      </c>
      <c r="K1206" s="33"/>
      <c r="L1206" s="33"/>
      <c r="M1206" s="38">
        <f t="shared" si="55"/>
        <v>5.3</v>
      </c>
      <c r="N1206" s="39">
        <f t="shared" si="56"/>
        <v>2.6640768000000001</v>
      </c>
      <c r="O1206" s="26"/>
      <c r="P1206" s="31" t="s">
        <v>19</v>
      </c>
    </row>
    <row r="1207" spans="1:16" x14ac:dyDescent="0.25">
      <c r="A1207" s="26">
        <v>1206</v>
      </c>
      <c r="B1207" s="33" t="s">
        <v>2653</v>
      </c>
      <c r="C1207" s="26" t="s">
        <v>2654</v>
      </c>
      <c r="D1207" s="28" t="s">
        <v>2655</v>
      </c>
      <c r="E1207" s="33" t="s">
        <v>18</v>
      </c>
      <c r="F1207" s="33"/>
      <c r="G1207" s="29">
        <v>12.3</v>
      </c>
      <c r="H1207" s="26">
        <v>76</v>
      </c>
      <c r="I1207" s="26">
        <v>57</v>
      </c>
      <c r="J1207" s="33">
        <f t="shared" si="57"/>
        <v>66</v>
      </c>
      <c r="K1207" s="33">
        <v>1.5</v>
      </c>
      <c r="L1207" s="33"/>
      <c r="M1207" s="38">
        <f t="shared" si="55"/>
        <v>10.8</v>
      </c>
      <c r="N1207" s="39">
        <f t="shared" si="56"/>
        <v>3.6948985919999999</v>
      </c>
      <c r="O1207" s="26" t="s">
        <v>53</v>
      </c>
      <c r="P1207" s="31" t="s">
        <v>19</v>
      </c>
    </row>
    <row r="1208" spans="1:16" x14ac:dyDescent="0.25">
      <c r="A1208" s="26">
        <v>1207</v>
      </c>
      <c r="B1208" s="33" t="s">
        <v>2656</v>
      </c>
      <c r="C1208" s="26" t="s">
        <v>2657</v>
      </c>
      <c r="D1208" s="28" t="s">
        <v>2658</v>
      </c>
      <c r="E1208" s="33" t="s">
        <v>18</v>
      </c>
      <c r="F1208" s="33"/>
      <c r="G1208" s="29">
        <v>11.8</v>
      </c>
      <c r="H1208" s="26">
        <v>82</v>
      </c>
      <c r="I1208" s="26">
        <v>72</v>
      </c>
      <c r="J1208" s="33">
        <f t="shared" si="57"/>
        <v>77</v>
      </c>
      <c r="K1208" s="33">
        <v>0.3</v>
      </c>
      <c r="L1208" s="33"/>
      <c r="M1208" s="38">
        <f t="shared" si="55"/>
        <v>11.5</v>
      </c>
      <c r="N1208" s="39">
        <f t="shared" si="56"/>
        <v>5.3551320899999997</v>
      </c>
      <c r="O1208" s="26" t="s">
        <v>21</v>
      </c>
      <c r="P1208" s="31" t="s">
        <v>30</v>
      </c>
    </row>
    <row r="1209" spans="1:16" x14ac:dyDescent="0.25">
      <c r="A1209" s="26">
        <v>1208</v>
      </c>
      <c r="B1209" s="33" t="s">
        <v>2659</v>
      </c>
      <c r="C1209" s="32" t="s">
        <v>2660</v>
      </c>
      <c r="D1209" s="28" t="s">
        <v>2661</v>
      </c>
      <c r="E1209" s="33" t="s">
        <v>18</v>
      </c>
      <c r="F1209" s="33"/>
      <c r="G1209" s="35">
        <v>13.7</v>
      </c>
      <c r="H1209" s="32">
        <v>98</v>
      </c>
      <c r="I1209" s="32">
        <v>78</v>
      </c>
      <c r="J1209" s="33">
        <f t="shared" si="57"/>
        <v>88</v>
      </c>
      <c r="K1209" s="44"/>
      <c r="L1209" s="44"/>
      <c r="M1209" s="38">
        <f t="shared" si="55"/>
        <v>13.7</v>
      </c>
      <c r="N1209" s="39">
        <f t="shared" si="56"/>
        <v>8.3325285119999979</v>
      </c>
      <c r="O1209" s="32"/>
      <c r="P1209" s="31" t="s">
        <v>19</v>
      </c>
    </row>
    <row r="1210" spans="1:16" x14ac:dyDescent="0.25">
      <c r="A1210" s="26">
        <v>1209</v>
      </c>
      <c r="B1210" s="33" t="s">
        <v>2662</v>
      </c>
      <c r="C1210" s="32" t="s">
        <v>2663</v>
      </c>
      <c r="D1210" s="28">
        <v>149</v>
      </c>
      <c r="E1210" s="33" t="s">
        <v>18</v>
      </c>
      <c r="F1210" s="33"/>
      <c r="G1210" s="35">
        <v>12.3</v>
      </c>
      <c r="H1210" s="32">
        <v>101</v>
      </c>
      <c r="I1210" s="32">
        <v>93</v>
      </c>
      <c r="J1210" s="33">
        <f t="shared" si="57"/>
        <v>97</v>
      </c>
      <c r="K1210" s="44"/>
      <c r="L1210" s="44"/>
      <c r="M1210" s="38">
        <f t="shared" si="55"/>
        <v>12.3</v>
      </c>
      <c r="N1210" s="39">
        <f t="shared" si="56"/>
        <v>9.0894891780000009</v>
      </c>
      <c r="O1210" s="32"/>
      <c r="P1210" s="31" t="s">
        <v>19</v>
      </c>
    </row>
    <row r="1211" spans="1:16" x14ac:dyDescent="0.25">
      <c r="A1211" s="26">
        <v>1210</v>
      </c>
      <c r="B1211" s="33" t="s">
        <v>2664</v>
      </c>
      <c r="C1211" s="32" t="s">
        <v>2665</v>
      </c>
      <c r="D1211" s="28" t="s">
        <v>2666</v>
      </c>
      <c r="E1211" s="33" t="s">
        <v>18</v>
      </c>
      <c r="F1211" s="33"/>
      <c r="G1211" s="35">
        <v>10.9</v>
      </c>
      <c r="H1211" s="32">
        <v>93</v>
      </c>
      <c r="I1211" s="32">
        <v>85</v>
      </c>
      <c r="J1211" s="33">
        <f t="shared" si="57"/>
        <v>89</v>
      </c>
      <c r="K1211" s="44"/>
      <c r="L1211" s="44"/>
      <c r="M1211" s="38">
        <f t="shared" si="55"/>
        <v>10.9</v>
      </c>
      <c r="N1211" s="39">
        <f t="shared" si="56"/>
        <v>6.7810572060000007</v>
      </c>
      <c r="O1211" s="32"/>
      <c r="P1211" s="31" t="s">
        <v>30</v>
      </c>
    </row>
    <row r="1212" spans="1:16" x14ac:dyDescent="0.25">
      <c r="A1212" s="26">
        <v>1211</v>
      </c>
      <c r="B1212" s="33" t="s">
        <v>2667</v>
      </c>
      <c r="C1212" s="32" t="s">
        <v>2668</v>
      </c>
      <c r="D1212" s="28" t="s">
        <v>2669</v>
      </c>
      <c r="E1212" s="33" t="s">
        <v>18</v>
      </c>
      <c r="F1212" s="33"/>
      <c r="G1212" s="35">
        <v>13.1</v>
      </c>
      <c r="H1212" s="32">
        <v>111</v>
      </c>
      <c r="I1212" s="32">
        <v>88</v>
      </c>
      <c r="J1212" s="33">
        <f t="shared" si="57"/>
        <v>99</v>
      </c>
      <c r="K1212" s="44"/>
      <c r="L1212" s="44"/>
      <c r="M1212" s="38">
        <f t="shared" si="55"/>
        <v>13.1</v>
      </c>
      <c r="N1212" s="39">
        <f t="shared" si="56"/>
        <v>10.083994074</v>
      </c>
      <c r="O1212" s="32"/>
      <c r="P1212" s="31" t="s">
        <v>19</v>
      </c>
    </row>
    <row r="1213" spans="1:16" x14ac:dyDescent="0.25">
      <c r="A1213" s="26">
        <v>1212</v>
      </c>
      <c r="B1213" s="33" t="s">
        <v>2670</v>
      </c>
      <c r="C1213" s="32" t="s">
        <v>2671</v>
      </c>
      <c r="D1213" s="28" t="s">
        <v>2672</v>
      </c>
      <c r="E1213" s="33" t="s">
        <v>18</v>
      </c>
      <c r="F1213" s="33"/>
      <c r="G1213" s="29">
        <v>5.8</v>
      </c>
      <c r="H1213" s="32">
        <v>90</v>
      </c>
      <c r="I1213" s="32">
        <v>89</v>
      </c>
      <c r="J1213" s="33">
        <f t="shared" si="57"/>
        <v>89</v>
      </c>
      <c r="K1213" s="44"/>
      <c r="L1213" s="44"/>
      <c r="M1213" s="38">
        <f t="shared" si="55"/>
        <v>5.8</v>
      </c>
      <c r="N1213" s="39">
        <f t="shared" si="56"/>
        <v>3.6082689719999994</v>
      </c>
      <c r="O1213" s="32"/>
      <c r="P1213" s="31" t="s">
        <v>19</v>
      </c>
    </row>
    <row r="1214" spans="1:16" x14ac:dyDescent="0.25">
      <c r="A1214" s="26">
        <v>1213</v>
      </c>
      <c r="B1214" s="33" t="s">
        <v>2673</v>
      </c>
      <c r="C1214" s="32" t="s">
        <v>2674</v>
      </c>
      <c r="D1214" s="28" t="s">
        <v>2675</v>
      </c>
      <c r="E1214" s="33" t="s">
        <v>18</v>
      </c>
      <c r="F1214" s="33"/>
      <c r="G1214" s="35">
        <v>11.9</v>
      </c>
      <c r="H1214" s="32">
        <v>99</v>
      </c>
      <c r="I1214" s="32">
        <v>77</v>
      </c>
      <c r="J1214" s="33">
        <f t="shared" si="57"/>
        <v>88</v>
      </c>
      <c r="K1214" s="44"/>
      <c r="L1214" s="44"/>
      <c r="M1214" s="38">
        <f t="shared" si="55"/>
        <v>11.9</v>
      </c>
      <c r="N1214" s="39">
        <f t="shared" si="56"/>
        <v>7.2377437440000012</v>
      </c>
      <c r="O1214" s="32"/>
      <c r="P1214" s="31" t="s">
        <v>30</v>
      </c>
    </row>
    <row r="1215" spans="1:16" x14ac:dyDescent="0.25">
      <c r="A1215" s="26">
        <v>1214</v>
      </c>
      <c r="B1215" s="33" t="s">
        <v>2676</v>
      </c>
      <c r="C1215" s="32" t="s">
        <v>2677</v>
      </c>
      <c r="D1215" s="28">
        <v>1140</v>
      </c>
      <c r="E1215" s="33" t="s">
        <v>18</v>
      </c>
      <c r="F1215" s="33"/>
      <c r="G1215" s="35">
        <v>11.9</v>
      </c>
      <c r="H1215" s="32">
        <v>77</v>
      </c>
      <c r="I1215" s="32">
        <v>68</v>
      </c>
      <c r="J1215" s="33">
        <f t="shared" si="57"/>
        <v>72</v>
      </c>
      <c r="K1215" s="44"/>
      <c r="L1215" s="44"/>
      <c r="M1215" s="38">
        <f t="shared" si="55"/>
        <v>11.9</v>
      </c>
      <c r="N1215" s="39">
        <f t="shared" si="56"/>
        <v>4.8451011839999998</v>
      </c>
      <c r="O1215" s="32"/>
      <c r="P1215" s="31" t="s">
        <v>19</v>
      </c>
    </row>
    <row r="1216" spans="1:16" x14ac:dyDescent="0.25">
      <c r="A1216" s="26">
        <v>1215</v>
      </c>
      <c r="B1216" s="33" t="s">
        <v>2678</v>
      </c>
      <c r="C1216" s="26" t="s">
        <v>2679</v>
      </c>
      <c r="D1216" s="28" t="s">
        <v>2680</v>
      </c>
      <c r="E1216" s="33" t="s">
        <v>18</v>
      </c>
      <c r="F1216" s="33"/>
      <c r="G1216" s="29">
        <v>11.9</v>
      </c>
      <c r="H1216" s="26">
        <v>92</v>
      </c>
      <c r="I1216" s="26">
        <v>86</v>
      </c>
      <c r="J1216" s="33">
        <f t="shared" si="57"/>
        <v>89</v>
      </c>
      <c r="K1216" s="44">
        <v>0.5</v>
      </c>
      <c r="L1216" s="44"/>
      <c r="M1216" s="38">
        <f t="shared" si="55"/>
        <v>11.4</v>
      </c>
      <c r="N1216" s="39">
        <f t="shared" si="56"/>
        <v>7.092114876000001</v>
      </c>
      <c r="O1216" s="26" t="s">
        <v>53</v>
      </c>
      <c r="P1216" s="31" t="s">
        <v>19</v>
      </c>
    </row>
    <row r="1217" spans="1:16" x14ac:dyDescent="0.25">
      <c r="A1217" s="26">
        <v>1216</v>
      </c>
      <c r="B1217" s="33" t="s">
        <v>2681</v>
      </c>
      <c r="C1217" s="26" t="s">
        <v>2682</v>
      </c>
      <c r="D1217" s="28" t="s">
        <v>2683</v>
      </c>
      <c r="E1217" s="33" t="s">
        <v>18</v>
      </c>
      <c r="F1217" s="33"/>
      <c r="G1217" s="29">
        <v>10.3</v>
      </c>
      <c r="H1217" s="26">
        <v>105</v>
      </c>
      <c r="I1217" s="26">
        <v>97</v>
      </c>
      <c r="J1217" s="33">
        <f t="shared" si="57"/>
        <v>101</v>
      </c>
      <c r="K1217" s="44"/>
      <c r="L1217" s="44"/>
      <c r="M1217" s="38">
        <f t="shared" si="55"/>
        <v>10.3</v>
      </c>
      <c r="N1217" s="39">
        <f t="shared" si="56"/>
        <v>8.2522213620000002</v>
      </c>
      <c r="O1217" s="26"/>
      <c r="P1217" s="31" t="s">
        <v>19</v>
      </c>
    </row>
    <row r="1218" spans="1:16" x14ac:dyDescent="0.25">
      <c r="A1218" s="26">
        <v>1217</v>
      </c>
      <c r="B1218" s="33" t="s">
        <v>2684</v>
      </c>
      <c r="C1218" s="32" t="s">
        <v>2685</v>
      </c>
      <c r="D1218" s="28" t="s">
        <v>2686</v>
      </c>
      <c r="E1218" s="33" t="s">
        <v>18</v>
      </c>
      <c r="F1218" s="33"/>
      <c r="G1218" s="29">
        <v>5.9</v>
      </c>
      <c r="H1218" s="32">
        <v>98</v>
      </c>
      <c r="I1218" s="32">
        <v>95</v>
      </c>
      <c r="J1218" s="33">
        <f t="shared" si="57"/>
        <v>96</v>
      </c>
      <c r="K1218" s="44"/>
      <c r="L1218" s="44"/>
      <c r="M1218" s="38">
        <f t="shared" ref="M1218:M1267" si="58">G1218-K1218</f>
        <v>5.9</v>
      </c>
      <c r="N1218" s="39">
        <f t="shared" ref="N1218:N1267" si="59">J1218*J1218*M1218*0.7854/10000</f>
        <v>4.2705653760000004</v>
      </c>
      <c r="O1218" s="32"/>
      <c r="P1218" s="31" t="s">
        <v>19</v>
      </c>
    </row>
    <row r="1219" spans="1:16" x14ac:dyDescent="0.25">
      <c r="A1219" s="26">
        <v>1218</v>
      </c>
      <c r="B1219" s="33" t="s">
        <v>2687</v>
      </c>
      <c r="C1219" s="32" t="s">
        <v>2688</v>
      </c>
      <c r="D1219" s="28" t="s">
        <v>2689</v>
      </c>
      <c r="E1219" s="33" t="s">
        <v>18</v>
      </c>
      <c r="F1219" s="33"/>
      <c r="G1219" s="35">
        <v>10.9</v>
      </c>
      <c r="H1219" s="32">
        <v>110</v>
      </c>
      <c r="I1219" s="32">
        <v>97</v>
      </c>
      <c r="J1219" s="33">
        <f t="shared" si="57"/>
        <v>103</v>
      </c>
      <c r="K1219" s="44"/>
      <c r="L1219" s="44"/>
      <c r="M1219" s="38">
        <f t="shared" si="58"/>
        <v>10.9</v>
      </c>
      <c r="N1219" s="39">
        <f t="shared" si="59"/>
        <v>9.0822163739999997</v>
      </c>
      <c r="O1219" s="32"/>
      <c r="P1219" s="31" t="s">
        <v>19</v>
      </c>
    </row>
    <row r="1220" spans="1:16" x14ac:dyDescent="0.25">
      <c r="A1220" s="26">
        <v>1219</v>
      </c>
      <c r="B1220" s="33" t="s">
        <v>2690</v>
      </c>
      <c r="C1220" s="32" t="s">
        <v>2691</v>
      </c>
      <c r="D1220" s="28">
        <v>4778</v>
      </c>
      <c r="E1220" s="33" t="s">
        <v>18</v>
      </c>
      <c r="F1220" s="33"/>
      <c r="G1220" s="35">
        <v>11.3</v>
      </c>
      <c r="H1220" s="32">
        <v>108</v>
      </c>
      <c r="I1220" s="32">
        <v>105</v>
      </c>
      <c r="J1220" s="33">
        <f t="shared" si="57"/>
        <v>106</v>
      </c>
      <c r="K1220" s="44"/>
      <c r="L1220" s="44"/>
      <c r="M1220" s="38">
        <f t="shared" si="58"/>
        <v>11.3</v>
      </c>
      <c r="N1220" s="39">
        <f t="shared" si="59"/>
        <v>9.9719724719999991</v>
      </c>
      <c r="O1220" s="32"/>
      <c r="P1220" s="31" t="s">
        <v>19</v>
      </c>
    </row>
    <row r="1221" spans="1:16" x14ac:dyDescent="0.25">
      <c r="A1221" s="26">
        <v>1220</v>
      </c>
      <c r="B1221" s="33" t="s">
        <v>2692</v>
      </c>
      <c r="C1221" s="32" t="s">
        <v>2693</v>
      </c>
      <c r="D1221" s="28" t="s">
        <v>2694</v>
      </c>
      <c r="E1221" s="33" t="s">
        <v>18</v>
      </c>
      <c r="F1221" s="33"/>
      <c r="G1221" s="29">
        <v>5.9</v>
      </c>
      <c r="H1221" s="32">
        <v>105</v>
      </c>
      <c r="I1221" s="32">
        <v>98</v>
      </c>
      <c r="J1221" s="33">
        <f t="shared" si="57"/>
        <v>101</v>
      </c>
      <c r="K1221" s="44"/>
      <c r="L1221" s="44"/>
      <c r="M1221" s="38">
        <f t="shared" si="58"/>
        <v>5.9</v>
      </c>
      <c r="N1221" s="39">
        <f t="shared" si="59"/>
        <v>4.7270005859999999</v>
      </c>
      <c r="O1221" s="32"/>
      <c r="P1221" s="31" t="s">
        <v>19</v>
      </c>
    </row>
    <row r="1222" spans="1:16" x14ac:dyDescent="0.25">
      <c r="A1222" s="26">
        <v>1221</v>
      </c>
      <c r="B1222" s="33" t="s">
        <v>2695</v>
      </c>
      <c r="C1222" s="32" t="s">
        <v>2696</v>
      </c>
      <c r="D1222" s="28">
        <v>3</v>
      </c>
      <c r="E1222" s="33" t="s">
        <v>18</v>
      </c>
      <c r="F1222" s="33"/>
      <c r="G1222" s="35">
        <v>10.5</v>
      </c>
      <c r="H1222" s="32">
        <v>103</v>
      </c>
      <c r="I1222" s="32">
        <v>87</v>
      </c>
      <c r="J1222" s="33">
        <f t="shared" si="57"/>
        <v>95</v>
      </c>
      <c r="K1222" s="44">
        <v>0.4</v>
      </c>
      <c r="L1222" s="44"/>
      <c r="M1222" s="38">
        <f t="shared" si="58"/>
        <v>10.1</v>
      </c>
      <c r="N1222" s="39">
        <f t="shared" si="59"/>
        <v>7.1591173500000007</v>
      </c>
      <c r="O1222" s="32" t="s">
        <v>53</v>
      </c>
      <c r="P1222" s="31" t="s">
        <v>19</v>
      </c>
    </row>
    <row r="1223" spans="1:16" x14ac:dyDescent="0.25">
      <c r="A1223" s="26">
        <v>1222</v>
      </c>
      <c r="B1223" s="33" t="s">
        <v>2697</v>
      </c>
      <c r="C1223" s="32" t="s">
        <v>2698</v>
      </c>
      <c r="D1223" s="28" t="s">
        <v>2699</v>
      </c>
      <c r="E1223" s="33" t="s">
        <v>18</v>
      </c>
      <c r="F1223" s="33"/>
      <c r="G1223" s="35">
        <v>9.1999999999999993</v>
      </c>
      <c r="H1223" s="32">
        <v>86</v>
      </c>
      <c r="I1223" s="32">
        <v>80</v>
      </c>
      <c r="J1223" s="33">
        <f t="shared" si="57"/>
        <v>83</v>
      </c>
      <c r="K1223" s="44">
        <v>0.4</v>
      </c>
      <c r="L1223" s="44"/>
      <c r="M1223" s="38">
        <f t="shared" si="58"/>
        <v>8.7999999999999989</v>
      </c>
      <c r="N1223" s="39">
        <f t="shared" si="59"/>
        <v>4.7613461279999987</v>
      </c>
      <c r="O1223" s="32" t="s">
        <v>21</v>
      </c>
      <c r="P1223" s="31" t="s">
        <v>30</v>
      </c>
    </row>
    <row r="1224" spans="1:16" x14ac:dyDescent="0.25">
      <c r="A1224" s="26">
        <v>1223</v>
      </c>
      <c r="B1224" s="33" t="s">
        <v>2700</v>
      </c>
      <c r="C1224" s="26" t="s">
        <v>2701</v>
      </c>
      <c r="D1224" s="28">
        <v>4842</v>
      </c>
      <c r="E1224" s="33" t="s">
        <v>18</v>
      </c>
      <c r="F1224" s="33"/>
      <c r="G1224" s="29">
        <v>10.6</v>
      </c>
      <c r="H1224" s="26">
        <v>113</v>
      </c>
      <c r="I1224" s="26">
        <v>111</v>
      </c>
      <c r="J1224" s="33">
        <f t="shared" si="57"/>
        <v>112</v>
      </c>
      <c r="K1224" s="44"/>
      <c r="L1224" s="44"/>
      <c r="M1224" s="38">
        <f t="shared" si="58"/>
        <v>10.6</v>
      </c>
      <c r="N1224" s="39">
        <f t="shared" si="59"/>
        <v>10.443181056</v>
      </c>
      <c r="O1224" s="26"/>
      <c r="P1224" s="31" t="s">
        <v>19</v>
      </c>
    </row>
    <row r="1225" spans="1:16" x14ac:dyDescent="0.25">
      <c r="A1225" s="26">
        <v>1224</v>
      </c>
      <c r="B1225" s="33" t="s">
        <v>2702</v>
      </c>
      <c r="C1225" s="32" t="s">
        <v>2703</v>
      </c>
      <c r="D1225" s="28" t="s">
        <v>2704</v>
      </c>
      <c r="E1225" s="33" t="s">
        <v>18</v>
      </c>
      <c r="F1225" s="33"/>
      <c r="G1225" s="35">
        <v>10.3</v>
      </c>
      <c r="H1225" s="32">
        <v>114</v>
      </c>
      <c r="I1225" s="32">
        <v>106</v>
      </c>
      <c r="J1225" s="33">
        <f t="shared" si="57"/>
        <v>110</v>
      </c>
      <c r="K1225" s="44"/>
      <c r="L1225" s="44"/>
      <c r="M1225" s="38">
        <f t="shared" si="58"/>
        <v>10.3</v>
      </c>
      <c r="N1225" s="39">
        <f t="shared" si="59"/>
        <v>9.7884402000000019</v>
      </c>
      <c r="O1225" s="32"/>
      <c r="P1225" s="31" t="s">
        <v>19</v>
      </c>
    </row>
    <row r="1226" spans="1:16" x14ac:dyDescent="0.25">
      <c r="A1226" s="26">
        <v>1225</v>
      </c>
      <c r="B1226" s="33" t="s">
        <v>2705</v>
      </c>
      <c r="C1226" s="32" t="s">
        <v>2706</v>
      </c>
      <c r="D1226" s="28" t="s">
        <v>2707</v>
      </c>
      <c r="E1226" s="33" t="s">
        <v>18</v>
      </c>
      <c r="F1226" s="33"/>
      <c r="G1226" s="29">
        <v>10.3</v>
      </c>
      <c r="H1226" s="32">
        <v>111</v>
      </c>
      <c r="I1226" s="32">
        <v>100</v>
      </c>
      <c r="J1226" s="33">
        <f t="shared" si="57"/>
        <v>105</v>
      </c>
      <c r="K1226" s="44">
        <v>0.4</v>
      </c>
      <c r="L1226" s="44"/>
      <c r="M1226" s="38">
        <f t="shared" si="58"/>
        <v>9.9</v>
      </c>
      <c r="N1226" s="39">
        <f t="shared" si="59"/>
        <v>8.5724446500000013</v>
      </c>
      <c r="O1226" s="32" t="s">
        <v>21</v>
      </c>
      <c r="P1226" s="31" t="s">
        <v>30</v>
      </c>
    </row>
    <row r="1227" spans="1:16" x14ac:dyDescent="0.25">
      <c r="A1227" s="26">
        <v>1226</v>
      </c>
      <c r="B1227" s="33" t="s">
        <v>2708</v>
      </c>
      <c r="C1227" s="32" t="s">
        <v>2709</v>
      </c>
      <c r="D1227" s="28">
        <v>4784</v>
      </c>
      <c r="E1227" s="33" t="s">
        <v>18</v>
      </c>
      <c r="F1227" s="33"/>
      <c r="G1227" s="29">
        <v>9.3000000000000007</v>
      </c>
      <c r="H1227" s="32">
        <v>112</v>
      </c>
      <c r="I1227" s="32">
        <v>110</v>
      </c>
      <c r="J1227" s="33">
        <f t="shared" si="57"/>
        <v>111</v>
      </c>
      <c r="K1227" s="44"/>
      <c r="L1227" s="44"/>
      <c r="M1227" s="38">
        <f t="shared" si="58"/>
        <v>9.3000000000000007</v>
      </c>
      <c r="N1227" s="39">
        <f t="shared" si="59"/>
        <v>8.9995294619999999</v>
      </c>
      <c r="O1227" s="32"/>
      <c r="P1227" s="31" t="s">
        <v>19</v>
      </c>
    </row>
    <row r="1228" spans="1:16" x14ac:dyDescent="0.25">
      <c r="A1228" s="26">
        <v>1227</v>
      </c>
      <c r="B1228" s="33" t="s">
        <v>2710</v>
      </c>
      <c r="C1228" s="32" t="s">
        <v>2711</v>
      </c>
      <c r="D1228" s="28" t="s">
        <v>2712</v>
      </c>
      <c r="E1228" s="33" t="s">
        <v>18</v>
      </c>
      <c r="F1228" s="33"/>
      <c r="G1228" s="29">
        <v>11.9</v>
      </c>
      <c r="H1228" s="32">
        <v>99</v>
      </c>
      <c r="I1228" s="32">
        <v>78</v>
      </c>
      <c r="J1228" s="33">
        <f t="shared" si="57"/>
        <v>88</v>
      </c>
      <c r="K1228" s="44"/>
      <c r="L1228" s="44"/>
      <c r="M1228" s="38">
        <f t="shared" si="58"/>
        <v>11.9</v>
      </c>
      <c r="N1228" s="39">
        <f t="shared" si="59"/>
        <v>7.2377437440000012</v>
      </c>
      <c r="O1228" s="32"/>
      <c r="P1228" s="31" t="s">
        <v>19</v>
      </c>
    </row>
    <row r="1229" spans="1:16" x14ac:dyDescent="0.25">
      <c r="A1229" s="26">
        <v>1228</v>
      </c>
      <c r="B1229" s="33" t="s">
        <v>2713</v>
      </c>
      <c r="C1229" s="32" t="s">
        <v>2714</v>
      </c>
      <c r="D1229" s="28" t="s">
        <v>2715</v>
      </c>
      <c r="E1229" s="33" t="s">
        <v>18</v>
      </c>
      <c r="F1229" s="33"/>
      <c r="G1229" s="35">
        <v>6.1</v>
      </c>
      <c r="H1229" s="32">
        <v>81</v>
      </c>
      <c r="I1229" s="32">
        <v>74</v>
      </c>
      <c r="J1229" s="33">
        <f t="shared" si="57"/>
        <v>77</v>
      </c>
      <c r="K1229" s="44"/>
      <c r="L1229" s="44"/>
      <c r="M1229" s="38">
        <f t="shared" si="58"/>
        <v>6.1</v>
      </c>
      <c r="N1229" s="39">
        <f t="shared" si="59"/>
        <v>2.840548326</v>
      </c>
      <c r="O1229" s="32"/>
      <c r="P1229" s="31" t="s">
        <v>30</v>
      </c>
    </row>
    <row r="1230" spans="1:16" x14ac:dyDescent="0.25">
      <c r="A1230" s="26">
        <v>1229</v>
      </c>
      <c r="B1230" s="33" t="s">
        <v>2716</v>
      </c>
      <c r="C1230" s="32" t="s">
        <v>2717</v>
      </c>
      <c r="D1230" s="28" t="s">
        <v>2718</v>
      </c>
      <c r="E1230" s="33" t="s">
        <v>18</v>
      </c>
      <c r="F1230" s="33"/>
      <c r="G1230" s="35">
        <v>10.199999999999999</v>
      </c>
      <c r="H1230" s="32">
        <v>102</v>
      </c>
      <c r="I1230" s="32">
        <v>86</v>
      </c>
      <c r="J1230" s="33">
        <f t="shared" si="57"/>
        <v>94</v>
      </c>
      <c r="K1230" s="44"/>
      <c r="L1230" s="44"/>
      <c r="M1230" s="38">
        <f t="shared" si="58"/>
        <v>10.199999999999999</v>
      </c>
      <c r="N1230" s="39">
        <f t="shared" si="59"/>
        <v>7.0785902879999991</v>
      </c>
      <c r="O1230" s="32"/>
      <c r="P1230" s="31" t="s">
        <v>19</v>
      </c>
    </row>
    <row r="1231" spans="1:16" x14ac:dyDescent="0.25">
      <c r="A1231" s="26">
        <v>1230</v>
      </c>
      <c r="B1231" s="33" t="s">
        <v>2719</v>
      </c>
      <c r="C1231" s="26" t="s">
        <v>2720</v>
      </c>
      <c r="D1231" s="28">
        <v>4786</v>
      </c>
      <c r="E1231" s="33" t="s">
        <v>18</v>
      </c>
      <c r="F1231" s="33"/>
      <c r="G1231" s="29">
        <v>11.1</v>
      </c>
      <c r="H1231" s="26">
        <v>106</v>
      </c>
      <c r="I1231" s="26">
        <v>99</v>
      </c>
      <c r="J1231" s="33">
        <f t="shared" si="57"/>
        <v>102</v>
      </c>
      <c r="K1231" s="44">
        <v>0.5</v>
      </c>
      <c r="L1231" s="44"/>
      <c r="M1231" s="38">
        <f t="shared" si="58"/>
        <v>10.6</v>
      </c>
      <c r="N1231" s="39">
        <f t="shared" si="59"/>
        <v>8.6615796959999987</v>
      </c>
      <c r="O1231" s="26" t="s">
        <v>53</v>
      </c>
      <c r="P1231" s="31" t="s">
        <v>19</v>
      </c>
    </row>
    <row r="1232" spans="1:16" x14ac:dyDescent="0.25">
      <c r="A1232" s="26">
        <v>1231</v>
      </c>
      <c r="B1232" s="33" t="s">
        <v>2721</v>
      </c>
      <c r="C1232" s="32" t="s">
        <v>2722</v>
      </c>
      <c r="D1232" s="28" t="s">
        <v>2723</v>
      </c>
      <c r="E1232" s="33" t="s">
        <v>18</v>
      </c>
      <c r="F1232" s="33"/>
      <c r="G1232" s="29">
        <v>12.3</v>
      </c>
      <c r="H1232" s="32">
        <v>90</v>
      </c>
      <c r="I1232" s="32">
        <v>68</v>
      </c>
      <c r="J1232" s="33">
        <f t="shared" si="57"/>
        <v>79</v>
      </c>
      <c r="K1232" s="44"/>
      <c r="L1232" s="44"/>
      <c r="M1232" s="38">
        <f t="shared" si="58"/>
        <v>12.3</v>
      </c>
      <c r="N1232" s="39">
        <f t="shared" si="59"/>
        <v>6.029068122</v>
      </c>
      <c r="O1232" s="32"/>
      <c r="P1232" s="31" t="s">
        <v>19</v>
      </c>
    </row>
    <row r="1233" spans="1:16" x14ac:dyDescent="0.25">
      <c r="A1233" s="26">
        <v>1232</v>
      </c>
      <c r="B1233" s="33" t="s">
        <v>2724</v>
      </c>
      <c r="C1233" s="32" t="s">
        <v>2725</v>
      </c>
      <c r="D1233" s="28">
        <v>4819</v>
      </c>
      <c r="E1233" s="33" t="s">
        <v>18</v>
      </c>
      <c r="F1233" s="33"/>
      <c r="G1233" s="29">
        <v>10.199999999999999</v>
      </c>
      <c r="H1233" s="32">
        <v>107</v>
      </c>
      <c r="I1233" s="32">
        <v>95</v>
      </c>
      <c r="J1233" s="33">
        <f t="shared" si="57"/>
        <v>101</v>
      </c>
      <c r="K1233" s="44">
        <v>0.8</v>
      </c>
      <c r="L1233" s="44"/>
      <c r="M1233" s="38">
        <f t="shared" si="58"/>
        <v>9.3999999999999986</v>
      </c>
      <c r="N1233" s="39">
        <f t="shared" si="59"/>
        <v>7.5311534759999983</v>
      </c>
      <c r="O1233" s="32" t="s">
        <v>53</v>
      </c>
      <c r="P1233" s="31" t="s">
        <v>19</v>
      </c>
    </row>
    <row r="1234" spans="1:16" x14ac:dyDescent="0.25">
      <c r="A1234" s="26">
        <v>1233</v>
      </c>
      <c r="B1234" s="33" t="s">
        <v>2726</v>
      </c>
      <c r="C1234" s="26" t="s">
        <v>2727</v>
      </c>
      <c r="D1234" s="28">
        <v>1152</v>
      </c>
      <c r="E1234" s="33" t="s">
        <v>18</v>
      </c>
      <c r="F1234" s="33"/>
      <c r="G1234" s="29">
        <v>6</v>
      </c>
      <c r="H1234" s="26">
        <v>87</v>
      </c>
      <c r="I1234" s="26">
        <v>83</v>
      </c>
      <c r="J1234" s="33">
        <f t="shared" si="57"/>
        <v>85</v>
      </c>
      <c r="K1234" s="44"/>
      <c r="L1234" s="44"/>
      <c r="M1234" s="38">
        <f t="shared" si="58"/>
        <v>6</v>
      </c>
      <c r="N1234" s="39">
        <f t="shared" si="59"/>
        <v>3.4047089999999995</v>
      </c>
      <c r="O1234" s="26"/>
      <c r="P1234" s="31" t="s">
        <v>19</v>
      </c>
    </row>
    <row r="1235" spans="1:16" x14ac:dyDescent="0.25">
      <c r="A1235" s="26">
        <v>1234</v>
      </c>
      <c r="B1235" s="33" t="s">
        <v>2728</v>
      </c>
      <c r="C1235" s="32" t="s">
        <v>2729</v>
      </c>
      <c r="D1235" s="28">
        <v>11</v>
      </c>
      <c r="E1235" s="33" t="s">
        <v>18</v>
      </c>
      <c r="F1235" s="33"/>
      <c r="G1235" s="35">
        <v>11.3</v>
      </c>
      <c r="H1235" s="32">
        <v>89</v>
      </c>
      <c r="I1235" s="32">
        <v>77</v>
      </c>
      <c r="J1235" s="33">
        <f t="shared" si="57"/>
        <v>83</v>
      </c>
      <c r="K1235" s="44"/>
      <c r="L1235" s="44"/>
      <c r="M1235" s="38">
        <f t="shared" si="58"/>
        <v>11.3</v>
      </c>
      <c r="N1235" s="39">
        <f t="shared" si="59"/>
        <v>6.1140012780000008</v>
      </c>
      <c r="O1235" s="32"/>
      <c r="P1235" s="31" t="s">
        <v>19</v>
      </c>
    </row>
    <row r="1236" spans="1:16" x14ac:dyDescent="0.25">
      <c r="A1236" s="26">
        <v>1235</v>
      </c>
      <c r="B1236" s="33" t="s">
        <v>2730</v>
      </c>
      <c r="C1236" s="26" t="s">
        <v>2731</v>
      </c>
      <c r="D1236" s="28" t="s">
        <v>2732</v>
      </c>
      <c r="E1236" s="33" t="s">
        <v>18</v>
      </c>
      <c r="F1236" s="33"/>
      <c r="G1236" s="29">
        <v>11.3</v>
      </c>
      <c r="H1236" s="32">
        <v>86</v>
      </c>
      <c r="I1236" s="32">
        <v>70</v>
      </c>
      <c r="J1236" s="33">
        <f t="shared" si="57"/>
        <v>78</v>
      </c>
      <c r="K1236" s="44"/>
      <c r="L1236" s="44"/>
      <c r="M1236" s="38">
        <f t="shared" si="58"/>
        <v>11.3</v>
      </c>
      <c r="N1236" s="39">
        <f t="shared" si="59"/>
        <v>5.3995621679999992</v>
      </c>
      <c r="O1236" s="32"/>
      <c r="P1236" s="31" t="s">
        <v>19</v>
      </c>
    </row>
    <row r="1237" spans="1:16" x14ac:dyDescent="0.25">
      <c r="A1237" s="26">
        <v>1236</v>
      </c>
      <c r="B1237" s="33" t="s">
        <v>2733</v>
      </c>
      <c r="C1237" s="32" t="s">
        <v>2734</v>
      </c>
      <c r="D1237" s="28" t="s">
        <v>2735</v>
      </c>
      <c r="E1237" s="33" t="s">
        <v>18</v>
      </c>
      <c r="F1237" s="33"/>
      <c r="G1237" s="35">
        <v>11.3</v>
      </c>
      <c r="H1237" s="32">
        <v>87</v>
      </c>
      <c r="I1237" s="32">
        <v>81</v>
      </c>
      <c r="J1237" s="33">
        <f t="shared" si="57"/>
        <v>84</v>
      </c>
      <c r="K1237" s="44"/>
      <c r="L1237" s="44"/>
      <c r="M1237" s="38">
        <f t="shared" si="58"/>
        <v>11.3</v>
      </c>
      <c r="N1237" s="39">
        <f t="shared" si="59"/>
        <v>6.2622141119999997</v>
      </c>
      <c r="O1237" s="32"/>
      <c r="P1237" s="31" t="s">
        <v>19</v>
      </c>
    </row>
    <row r="1238" spans="1:16" x14ac:dyDescent="0.25">
      <c r="A1238" s="26">
        <v>1237</v>
      </c>
      <c r="B1238" s="33" t="s">
        <v>2736</v>
      </c>
      <c r="C1238" s="32" t="s">
        <v>2737</v>
      </c>
      <c r="D1238" s="28" t="s">
        <v>2738</v>
      </c>
      <c r="E1238" s="33" t="s">
        <v>18</v>
      </c>
      <c r="F1238" s="33"/>
      <c r="G1238" s="29">
        <v>10.3</v>
      </c>
      <c r="H1238" s="32">
        <v>83</v>
      </c>
      <c r="I1238" s="32">
        <v>75</v>
      </c>
      <c r="J1238" s="33">
        <f t="shared" si="57"/>
        <v>79</v>
      </c>
      <c r="K1238" s="44"/>
      <c r="L1238" s="44"/>
      <c r="M1238" s="38">
        <f t="shared" si="58"/>
        <v>10.3</v>
      </c>
      <c r="N1238" s="39">
        <f t="shared" si="59"/>
        <v>5.0487318420000005</v>
      </c>
      <c r="O1238" s="32"/>
      <c r="P1238" s="31" t="s">
        <v>30</v>
      </c>
    </row>
    <row r="1239" spans="1:16" x14ac:dyDescent="0.25">
      <c r="A1239" s="26">
        <v>1238</v>
      </c>
      <c r="B1239" s="33" t="s">
        <v>2739</v>
      </c>
      <c r="C1239" s="32" t="s">
        <v>2740</v>
      </c>
      <c r="D1239" s="28" t="s">
        <v>2741</v>
      </c>
      <c r="E1239" s="33" t="s">
        <v>18</v>
      </c>
      <c r="F1239" s="33"/>
      <c r="G1239" s="35">
        <v>11</v>
      </c>
      <c r="H1239" s="32">
        <v>107</v>
      </c>
      <c r="I1239" s="32">
        <v>100</v>
      </c>
      <c r="J1239" s="33">
        <f t="shared" si="57"/>
        <v>103</v>
      </c>
      <c r="K1239" s="44"/>
      <c r="L1239" s="44"/>
      <c r="M1239" s="38">
        <f t="shared" si="58"/>
        <v>11</v>
      </c>
      <c r="N1239" s="39">
        <f t="shared" si="59"/>
        <v>9.1655394599999997</v>
      </c>
      <c r="O1239" s="32"/>
      <c r="P1239" s="31" t="s">
        <v>19</v>
      </c>
    </row>
    <row r="1240" spans="1:16" x14ac:dyDescent="0.25">
      <c r="A1240" s="26">
        <v>1239</v>
      </c>
      <c r="B1240" s="33" t="s">
        <v>2742</v>
      </c>
      <c r="C1240" s="32" t="s">
        <v>2743</v>
      </c>
      <c r="D1240" s="28" t="s">
        <v>2744</v>
      </c>
      <c r="E1240" s="33" t="s">
        <v>18</v>
      </c>
      <c r="F1240" s="33"/>
      <c r="G1240" s="35">
        <v>11</v>
      </c>
      <c r="H1240" s="32">
        <v>104</v>
      </c>
      <c r="I1240" s="32">
        <v>94</v>
      </c>
      <c r="J1240" s="33">
        <f t="shared" si="57"/>
        <v>99</v>
      </c>
      <c r="K1240" s="44"/>
      <c r="L1240" s="44"/>
      <c r="M1240" s="38">
        <f t="shared" si="58"/>
        <v>11</v>
      </c>
      <c r="N1240" s="39">
        <f t="shared" si="59"/>
        <v>8.4674759399999999</v>
      </c>
      <c r="O1240" s="32"/>
      <c r="P1240" s="31" t="s">
        <v>19</v>
      </c>
    </row>
    <row r="1241" spans="1:16" x14ac:dyDescent="0.25">
      <c r="A1241" s="26">
        <v>1240</v>
      </c>
      <c r="B1241" s="33" t="s">
        <v>2745</v>
      </c>
      <c r="C1241" s="26" t="s">
        <v>2746</v>
      </c>
      <c r="D1241" s="28" t="s">
        <v>2747</v>
      </c>
      <c r="E1241" s="33" t="s">
        <v>18</v>
      </c>
      <c r="F1241" s="33"/>
      <c r="G1241" s="29">
        <v>12.2</v>
      </c>
      <c r="H1241" s="26">
        <v>88</v>
      </c>
      <c r="I1241" s="26">
        <v>72</v>
      </c>
      <c r="J1241" s="33">
        <f t="shared" si="57"/>
        <v>80</v>
      </c>
      <c r="K1241" s="33">
        <v>0.5</v>
      </c>
      <c r="L1241" s="33"/>
      <c r="M1241" s="38">
        <f t="shared" si="58"/>
        <v>11.7</v>
      </c>
      <c r="N1241" s="39">
        <f t="shared" si="59"/>
        <v>5.8810751999999997</v>
      </c>
      <c r="O1241" s="26" t="s">
        <v>53</v>
      </c>
      <c r="P1241" s="31" t="s">
        <v>30</v>
      </c>
    </row>
    <row r="1242" spans="1:16" x14ac:dyDescent="0.25">
      <c r="A1242" s="26">
        <v>1241</v>
      </c>
      <c r="B1242" s="33" t="s">
        <v>2748</v>
      </c>
      <c r="C1242" s="26" t="s">
        <v>2749</v>
      </c>
      <c r="D1242" s="28" t="s">
        <v>2750</v>
      </c>
      <c r="E1242" s="33" t="s">
        <v>18</v>
      </c>
      <c r="F1242" s="33"/>
      <c r="G1242" s="29">
        <v>9</v>
      </c>
      <c r="H1242" s="26">
        <v>74</v>
      </c>
      <c r="I1242" s="26">
        <v>67</v>
      </c>
      <c r="J1242" s="33">
        <f t="shared" si="57"/>
        <v>70</v>
      </c>
      <c r="K1242" s="33"/>
      <c r="L1242" s="33"/>
      <c r="M1242" s="38">
        <f t="shared" si="58"/>
        <v>9</v>
      </c>
      <c r="N1242" s="39">
        <f t="shared" si="59"/>
        <v>3.4636139999999997</v>
      </c>
      <c r="O1242" s="26"/>
      <c r="P1242" s="31" t="s">
        <v>19</v>
      </c>
    </row>
    <row r="1243" spans="1:16" x14ac:dyDescent="0.25">
      <c r="A1243" s="26">
        <v>1242</v>
      </c>
      <c r="B1243" s="33" t="s">
        <v>2751</v>
      </c>
      <c r="C1243" s="26" t="s">
        <v>2752</v>
      </c>
      <c r="D1243" s="28" t="s">
        <v>2753</v>
      </c>
      <c r="E1243" s="33" t="s">
        <v>18</v>
      </c>
      <c r="F1243" s="33"/>
      <c r="G1243" s="29">
        <v>5.7</v>
      </c>
      <c r="H1243" s="26">
        <v>68</v>
      </c>
      <c r="I1243" s="26">
        <v>65</v>
      </c>
      <c r="J1243" s="33">
        <f t="shared" si="57"/>
        <v>66</v>
      </c>
      <c r="K1243" s="33"/>
      <c r="L1243" s="33"/>
      <c r="M1243" s="38">
        <f t="shared" si="58"/>
        <v>5.7</v>
      </c>
      <c r="N1243" s="39">
        <f t="shared" si="59"/>
        <v>1.9500853680000001</v>
      </c>
      <c r="O1243" s="26"/>
      <c r="P1243" s="31" t="s">
        <v>19</v>
      </c>
    </row>
    <row r="1244" spans="1:16" x14ac:dyDescent="0.25">
      <c r="A1244" s="26">
        <v>1243</v>
      </c>
      <c r="B1244" s="33" t="s">
        <v>2754</v>
      </c>
      <c r="C1244" s="26" t="s">
        <v>2755</v>
      </c>
      <c r="D1244" s="28" t="s">
        <v>2756</v>
      </c>
      <c r="E1244" s="33" t="s">
        <v>18</v>
      </c>
      <c r="F1244" s="33"/>
      <c r="G1244" s="29">
        <v>13.5</v>
      </c>
      <c r="H1244" s="26">
        <v>66</v>
      </c>
      <c r="I1244" s="26">
        <v>61</v>
      </c>
      <c r="J1244" s="33">
        <f t="shared" si="57"/>
        <v>63</v>
      </c>
      <c r="K1244" s="33">
        <v>1.5</v>
      </c>
      <c r="L1244" s="33"/>
      <c r="M1244" s="38">
        <f t="shared" si="58"/>
        <v>12</v>
      </c>
      <c r="N1244" s="39">
        <f t="shared" si="59"/>
        <v>3.7407031199999996</v>
      </c>
      <c r="O1244" s="26" t="s">
        <v>53</v>
      </c>
      <c r="P1244" s="31" t="s">
        <v>30</v>
      </c>
    </row>
    <row r="1245" spans="1:16" x14ac:dyDescent="0.25">
      <c r="A1245" s="26">
        <v>1244</v>
      </c>
      <c r="B1245" s="33" t="s">
        <v>2757</v>
      </c>
      <c r="C1245" s="26" t="s">
        <v>2758</v>
      </c>
      <c r="D1245" s="28" t="s">
        <v>2759</v>
      </c>
      <c r="E1245" s="33" t="s">
        <v>18</v>
      </c>
      <c r="F1245" s="33"/>
      <c r="G1245" s="29">
        <v>10.3</v>
      </c>
      <c r="H1245" s="26">
        <v>95</v>
      </c>
      <c r="I1245" s="26">
        <v>85</v>
      </c>
      <c r="J1245" s="33">
        <f t="shared" si="57"/>
        <v>90</v>
      </c>
      <c r="K1245" s="33"/>
      <c r="L1245" s="33"/>
      <c r="M1245" s="38">
        <f t="shared" si="58"/>
        <v>10.3</v>
      </c>
      <c r="N1245" s="39">
        <f t="shared" si="59"/>
        <v>6.5525921999999994</v>
      </c>
      <c r="O1245" s="26"/>
      <c r="P1245" s="31" t="s">
        <v>19</v>
      </c>
    </row>
    <row r="1246" spans="1:16" x14ac:dyDescent="0.25">
      <c r="A1246" s="26">
        <v>1245</v>
      </c>
      <c r="B1246" s="33" t="s">
        <v>2760</v>
      </c>
      <c r="C1246" s="26" t="s">
        <v>2761</v>
      </c>
      <c r="D1246" s="28" t="s">
        <v>2762</v>
      </c>
      <c r="E1246" s="33" t="s">
        <v>18</v>
      </c>
      <c r="F1246" s="33"/>
      <c r="G1246" s="29">
        <v>9.5</v>
      </c>
      <c r="H1246" s="26">
        <v>88</v>
      </c>
      <c r="I1246" s="26">
        <v>85</v>
      </c>
      <c r="J1246" s="33">
        <f t="shared" si="57"/>
        <v>86</v>
      </c>
      <c r="K1246" s="33"/>
      <c r="L1246" s="33"/>
      <c r="M1246" s="38">
        <f t="shared" si="58"/>
        <v>9.5</v>
      </c>
      <c r="N1246" s="39">
        <f t="shared" si="59"/>
        <v>5.5183774799999998</v>
      </c>
      <c r="O1246" s="26"/>
      <c r="P1246" s="31" t="s">
        <v>19</v>
      </c>
    </row>
    <row r="1247" spans="1:16" x14ac:dyDescent="0.25">
      <c r="A1247" s="26">
        <v>1246</v>
      </c>
      <c r="B1247" s="33" t="s">
        <v>2763</v>
      </c>
      <c r="C1247" s="32" t="s">
        <v>2764</v>
      </c>
      <c r="D1247" s="28" t="s">
        <v>2765</v>
      </c>
      <c r="E1247" s="33" t="s">
        <v>18</v>
      </c>
      <c r="F1247" s="33"/>
      <c r="G1247" s="35">
        <v>13.1</v>
      </c>
      <c r="H1247" s="32">
        <v>77</v>
      </c>
      <c r="I1247" s="32">
        <v>73</v>
      </c>
      <c r="J1247" s="33">
        <f t="shared" ref="J1247:J1267" si="60">ROUNDDOWN((H1247+I1247)/2,0)</f>
        <v>75</v>
      </c>
      <c r="K1247" s="44"/>
      <c r="L1247" s="44"/>
      <c r="M1247" s="38">
        <f t="shared" si="58"/>
        <v>13.1</v>
      </c>
      <c r="N1247" s="39">
        <f t="shared" si="59"/>
        <v>5.7874162499999997</v>
      </c>
      <c r="O1247" s="32"/>
      <c r="P1247" s="31" t="s">
        <v>19</v>
      </c>
    </row>
    <row r="1248" spans="1:16" x14ac:dyDescent="0.25">
      <c r="A1248" s="26">
        <v>1247</v>
      </c>
      <c r="B1248" s="33" t="s">
        <v>2766</v>
      </c>
      <c r="C1248" s="26" t="s">
        <v>2767</v>
      </c>
      <c r="D1248" s="28">
        <v>4791</v>
      </c>
      <c r="E1248" s="33" t="s">
        <v>18</v>
      </c>
      <c r="F1248" s="33"/>
      <c r="G1248" s="29">
        <v>11.3</v>
      </c>
      <c r="H1248" s="26">
        <v>98</v>
      </c>
      <c r="I1248" s="26">
        <v>92</v>
      </c>
      <c r="J1248" s="33">
        <f t="shared" si="60"/>
        <v>95</v>
      </c>
      <c r="K1248" s="44"/>
      <c r="L1248" s="44"/>
      <c r="M1248" s="38">
        <f t="shared" si="58"/>
        <v>11.3</v>
      </c>
      <c r="N1248" s="39">
        <f t="shared" si="59"/>
        <v>8.0097055499999996</v>
      </c>
      <c r="O1248" s="26"/>
      <c r="P1248" s="31" t="s">
        <v>19</v>
      </c>
    </row>
    <row r="1249" spans="1:16" x14ac:dyDescent="0.25">
      <c r="A1249" s="26">
        <v>1248</v>
      </c>
      <c r="B1249" s="33" t="s">
        <v>2768</v>
      </c>
      <c r="C1249" s="32" t="s">
        <v>2769</v>
      </c>
      <c r="D1249" s="28">
        <v>27</v>
      </c>
      <c r="E1249" s="33" t="s">
        <v>18</v>
      </c>
      <c r="F1249" s="33"/>
      <c r="G1249" s="29">
        <v>11.2</v>
      </c>
      <c r="H1249" s="32">
        <v>108</v>
      </c>
      <c r="I1249" s="32">
        <v>86</v>
      </c>
      <c r="J1249" s="33">
        <f t="shared" si="60"/>
        <v>97</v>
      </c>
      <c r="K1249" s="44"/>
      <c r="L1249" s="44"/>
      <c r="M1249" s="38">
        <f t="shared" si="58"/>
        <v>11.2</v>
      </c>
      <c r="N1249" s="39">
        <f t="shared" si="59"/>
        <v>8.2766080319999986</v>
      </c>
      <c r="O1249" s="32"/>
      <c r="P1249" s="31" t="s">
        <v>19</v>
      </c>
    </row>
    <row r="1250" spans="1:16" x14ac:dyDescent="0.25">
      <c r="A1250" s="26">
        <v>1249</v>
      </c>
      <c r="B1250" s="33" t="s">
        <v>2770</v>
      </c>
      <c r="C1250" s="32" t="s">
        <v>2771</v>
      </c>
      <c r="D1250" s="28" t="s">
        <v>2772</v>
      </c>
      <c r="E1250" s="33" t="s">
        <v>18</v>
      </c>
      <c r="F1250" s="33"/>
      <c r="G1250" s="29">
        <v>11.6</v>
      </c>
      <c r="H1250" s="32">
        <v>106</v>
      </c>
      <c r="I1250" s="32">
        <v>88</v>
      </c>
      <c r="J1250" s="33">
        <f t="shared" si="60"/>
        <v>97</v>
      </c>
      <c r="K1250" s="44"/>
      <c r="L1250" s="44"/>
      <c r="M1250" s="38">
        <f t="shared" si="58"/>
        <v>11.6</v>
      </c>
      <c r="N1250" s="39">
        <f t="shared" si="59"/>
        <v>8.5722011760000001</v>
      </c>
      <c r="O1250" s="32"/>
      <c r="P1250" s="31" t="s">
        <v>19</v>
      </c>
    </row>
    <row r="1251" spans="1:16" x14ac:dyDescent="0.25">
      <c r="A1251" s="26">
        <v>1250</v>
      </c>
      <c r="B1251" s="33" t="s">
        <v>2773</v>
      </c>
      <c r="C1251" s="26" t="s">
        <v>2774</v>
      </c>
      <c r="D1251" s="28" t="s">
        <v>2775</v>
      </c>
      <c r="E1251" s="33" t="s">
        <v>18</v>
      </c>
      <c r="F1251" s="33"/>
      <c r="G1251" s="29">
        <v>11.8</v>
      </c>
      <c r="H1251" s="26">
        <v>87</v>
      </c>
      <c r="I1251" s="26">
        <v>80</v>
      </c>
      <c r="J1251" s="33">
        <f t="shared" si="60"/>
        <v>83</v>
      </c>
      <c r="K1251" s="44">
        <v>0.5</v>
      </c>
      <c r="L1251" s="44"/>
      <c r="M1251" s="38">
        <f t="shared" si="58"/>
        <v>11.3</v>
      </c>
      <c r="N1251" s="39">
        <f t="shared" si="59"/>
        <v>6.1140012780000008</v>
      </c>
      <c r="O1251" s="26" t="s">
        <v>21</v>
      </c>
      <c r="P1251" s="31" t="s">
        <v>19</v>
      </c>
    </row>
    <row r="1252" spans="1:16" x14ac:dyDescent="0.25">
      <c r="A1252" s="26">
        <v>1251</v>
      </c>
      <c r="B1252" s="33" t="s">
        <v>2776</v>
      </c>
      <c r="C1252" s="32" t="s">
        <v>2777</v>
      </c>
      <c r="D1252" s="28" t="s">
        <v>2778</v>
      </c>
      <c r="E1252" s="33" t="s">
        <v>18</v>
      </c>
      <c r="F1252" s="33"/>
      <c r="G1252" s="29">
        <v>8.1</v>
      </c>
      <c r="H1252" s="32">
        <v>77</v>
      </c>
      <c r="I1252" s="32">
        <v>74</v>
      </c>
      <c r="J1252" s="33">
        <f t="shared" si="60"/>
        <v>75</v>
      </c>
      <c r="K1252" s="44"/>
      <c r="L1252" s="44"/>
      <c r="M1252" s="38">
        <f t="shared" si="58"/>
        <v>8.1</v>
      </c>
      <c r="N1252" s="39">
        <f t="shared" si="59"/>
        <v>3.5784787499999999</v>
      </c>
      <c r="O1252" s="32"/>
      <c r="P1252" s="31" t="s">
        <v>19</v>
      </c>
    </row>
    <row r="1253" spans="1:16" x14ac:dyDescent="0.25">
      <c r="A1253" s="26">
        <v>1252</v>
      </c>
      <c r="B1253" s="33" t="s">
        <v>2779</v>
      </c>
      <c r="C1253" s="32" t="s">
        <v>2780</v>
      </c>
      <c r="D1253" s="28" t="s">
        <v>2781</v>
      </c>
      <c r="E1253" s="33" t="s">
        <v>18</v>
      </c>
      <c r="F1253" s="33"/>
      <c r="G1253" s="29">
        <v>12.5</v>
      </c>
      <c r="H1253" s="32">
        <v>80</v>
      </c>
      <c r="I1253" s="32">
        <v>73</v>
      </c>
      <c r="J1253" s="33">
        <f t="shared" si="60"/>
        <v>76</v>
      </c>
      <c r="K1253" s="44"/>
      <c r="L1253" s="44"/>
      <c r="M1253" s="38">
        <f t="shared" si="58"/>
        <v>12.5</v>
      </c>
      <c r="N1253" s="39">
        <f t="shared" si="59"/>
        <v>5.6705879999999995</v>
      </c>
      <c r="O1253" s="32"/>
      <c r="P1253" s="31" t="s">
        <v>30</v>
      </c>
    </row>
    <row r="1254" spans="1:16" x14ac:dyDescent="0.25">
      <c r="A1254" s="26">
        <v>1253</v>
      </c>
      <c r="B1254" s="33" t="s">
        <v>2782</v>
      </c>
      <c r="C1254" s="32" t="s">
        <v>2783</v>
      </c>
      <c r="D1254" s="28" t="s">
        <v>2784</v>
      </c>
      <c r="E1254" s="33" t="s">
        <v>18</v>
      </c>
      <c r="F1254" s="33"/>
      <c r="G1254" s="29">
        <v>11.3</v>
      </c>
      <c r="H1254" s="32">
        <v>102</v>
      </c>
      <c r="I1254" s="32">
        <v>78</v>
      </c>
      <c r="J1254" s="33">
        <f t="shared" si="60"/>
        <v>90</v>
      </c>
      <c r="K1254" s="44"/>
      <c r="L1254" s="44"/>
      <c r="M1254" s="38">
        <f t="shared" si="58"/>
        <v>11.3</v>
      </c>
      <c r="N1254" s="39">
        <f t="shared" si="59"/>
        <v>7.1887661999999999</v>
      </c>
      <c r="O1254" s="32"/>
      <c r="P1254" s="31" t="s">
        <v>19</v>
      </c>
    </row>
    <row r="1255" spans="1:16" x14ac:dyDescent="0.25">
      <c r="A1255" s="26">
        <v>1254</v>
      </c>
      <c r="B1255" s="33" t="s">
        <v>2785</v>
      </c>
      <c r="C1255" s="32" t="s">
        <v>2786</v>
      </c>
      <c r="D1255" s="28" t="s">
        <v>2787</v>
      </c>
      <c r="E1255" s="33" t="s">
        <v>18</v>
      </c>
      <c r="F1255" s="33"/>
      <c r="G1255" s="35">
        <v>10.199999999999999</v>
      </c>
      <c r="H1255" s="32">
        <v>80</v>
      </c>
      <c r="I1255" s="32">
        <v>71</v>
      </c>
      <c r="J1255" s="33">
        <f t="shared" si="60"/>
        <v>75</v>
      </c>
      <c r="K1255" s="44"/>
      <c r="L1255" s="44"/>
      <c r="M1255" s="38">
        <f t="shared" si="58"/>
        <v>10.199999999999999</v>
      </c>
      <c r="N1255" s="39">
        <f t="shared" si="59"/>
        <v>4.5062324999999994</v>
      </c>
      <c r="O1255" s="32"/>
      <c r="P1255" s="31" t="s">
        <v>19</v>
      </c>
    </row>
    <row r="1256" spans="1:16" x14ac:dyDescent="0.25">
      <c r="A1256" s="26">
        <v>1255</v>
      </c>
      <c r="B1256" s="33" t="s">
        <v>2788</v>
      </c>
      <c r="C1256" s="32" t="s">
        <v>2789</v>
      </c>
      <c r="D1256" s="28" t="s">
        <v>2790</v>
      </c>
      <c r="E1256" s="33" t="s">
        <v>18</v>
      </c>
      <c r="F1256" s="33"/>
      <c r="G1256" s="29">
        <v>10.3</v>
      </c>
      <c r="H1256" s="32">
        <v>86</v>
      </c>
      <c r="I1256" s="32">
        <v>85</v>
      </c>
      <c r="J1256" s="33">
        <f t="shared" si="60"/>
        <v>85</v>
      </c>
      <c r="K1256" s="44"/>
      <c r="L1256" s="44"/>
      <c r="M1256" s="38">
        <f t="shared" si="58"/>
        <v>10.3</v>
      </c>
      <c r="N1256" s="39">
        <f t="shared" si="59"/>
        <v>5.8447504499999994</v>
      </c>
      <c r="O1256" s="32"/>
      <c r="P1256" s="31" t="s">
        <v>30</v>
      </c>
    </row>
    <row r="1257" spans="1:16" x14ac:dyDescent="0.25">
      <c r="A1257" s="26">
        <v>1256</v>
      </c>
      <c r="B1257" s="33" t="s">
        <v>2791</v>
      </c>
      <c r="C1257" s="32" t="s">
        <v>2792</v>
      </c>
      <c r="D1257" s="28" t="s">
        <v>2793</v>
      </c>
      <c r="E1257" s="33" t="s">
        <v>18</v>
      </c>
      <c r="F1257" s="33"/>
      <c r="G1257" s="29">
        <v>6.2</v>
      </c>
      <c r="H1257" s="32">
        <v>86</v>
      </c>
      <c r="I1257" s="32">
        <v>84</v>
      </c>
      <c r="J1257" s="33">
        <f t="shared" si="60"/>
        <v>85</v>
      </c>
      <c r="K1257" s="44"/>
      <c r="L1257" s="44"/>
      <c r="M1257" s="38">
        <f t="shared" si="58"/>
        <v>6.2</v>
      </c>
      <c r="N1257" s="39">
        <f t="shared" si="59"/>
        <v>3.5181993</v>
      </c>
      <c r="O1257" s="32"/>
      <c r="P1257" s="31" t="s">
        <v>19</v>
      </c>
    </row>
    <row r="1258" spans="1:16" x14ac:dyDescent="0.25">
      <c r="A1258" s="26">
        <v>1257</v>
      </c>
      <c r="B1258" s="33" t="s">
        <v>2794</v>
      </c>
      <c r="C1258" s="32" t="s">
        <v>2795</v>
      </c>
      <c r="D1258" s="28" t="s">
        <v>2796</v>
      </c>
      <c r="E1258" s="33" t="s">
        <v>18</v>
      </c>
      <c r="F1258" s="33"/>
      <c r="G1258" s="29">
        <v>10.5</v>
      </c>
      <c r="H1258" s="32">
        <v>79</v>
      </c>
      <c r="I1258" s="32">
        <v>66</v>
      </c>
      <c r="J1258" s="33">
        <f t="shared" si="60"/>
        <v>72</v>
      </c>
      <c r="K1258" s="44"/>
      <c r="L1258" s="44"/>
      <c r="M1258" s="38">
        <f t="shared" si="58"/>
        <v>10.5</v>
      </c>
      <c r="N1258" s="39">
        <f t="shared" si="59"/>
        <v>4.2750892800000004</v>
      </c>
      <c r="O1258" s="32"/>
      <c r="P1258" s="31" t="s">
        <v>19</v>
      </c>
    </row>
    <row r="1259" spans="1:16" x14ac:dyDescent="0.25">
      <c r="A1259" s="26">
        <v>1258</v>
      </c>
      <c r="B1259" s="33" t="s">
        <v>2797</v>
      </c>
      <c r="C1259" s="26" t="s">
        <v>2798</v>
      </c>
      <c r="D1259" s="28" t="s">
        <v>2799</v>
      </c>
      <c r="E1259" s="33" t="s">
        <v>18</v>
      </c>
      <c r="F1259" s="33"/>
      <c r="G1259" s="29">
        <v>9.8000000000000007</v>
      </c>
      <c r="H1259" s="26">
        <v>73</v>
      </c>
      <c r="I1259" s="26">
        <v>61</v>
      </c>
      <c r="J1259" s="33">
        <f t="shared" si="60"/>
        <v>67</v>
      </c>
      <c r="K1259" s="33">
        <v>0.3</v>
      </c>
      <c r="L1259" s="33"/>
      <c r="M1259" s="38">
        <f t="shared" si="58"/>
        <v>9.5</v>
      </c>
      <c r="N1259" s="39">
        <f t="shared" si="59"/>
        <v>3.3493775699999997</v>
      </c>
      <c r="O1259" s="26" t="s">
        <v>1007</v>
      </c>
      <c r="P1259" s="31" t="s">
        <v>30</v>
      </c>
    </row>
    <row r="1260" spans="1:16" x14ac:dyDescent="0.25">
      <c r="A1260" s="26">
        <v>1259</v>
      </c>
      <c r="B1260" s="33" t="s">
        <v>2800</v>
      </c>
      <c r="C1260" s="26" t="s">
        <v>2801</v>
      </c>
      <c r="D1260" s="28">
        <v>4792</v>
      </c>
      <c r="E1260" s="33" t="s">
        <v>18</v>
      </c>
      <c r="F1260" s="33"/>
      <c r="G1260" s="29">
        <v>12.6</v>
      </c>
      <c r="H1260" s="26">
        <v>78</v>
      </c>
      <c r="I1260" s="26">
        <v>65</v>
      </c>
      <c r="J1260" s="33">
        <f t="shared" si="60"/>
        <v>71</v>
      </c>
      <c r="K1260" s="33"/>
      <c r="L1260" s="33"/>
      <c r="M1260" s="38">
        <f t="shared" si="58"/>
        <v>12.6</v>
      </c>
      <c r="N1260" s="39">
        <f t="shared" si="59"/>
        <v>4.988593764</v>
      </c>
      <c r="O1260" s="26"/>
      <c r="P1260" s="31" t="s">
        <v>19</v>
      </c>
    </row>
    <row r="1261" spans="1:16" x14ac:dyDescent="0.25">
      <c r="A1261" s="26">
        <v>1260</v>
      </c>
      <c r="B1261" s="33" t="s">
        <v>2802</v>
      </c>
      <c r="C1261" s="26" t="s">
        <v>2803</v>
      </c>
      <c r="D1261" s="28" t="s">
        <v>2804</v>
      </c>
      <c r="E1261" s="33" t="s">
        <v>18</v>
      </c>
      <c r="F1261" s="33"/>
      <c r="G1261" s="29">
        <v>11.6</v>
      </c>
      <c r="H1261" s="26">
        <v>93</v>
      </c>
      <c r="I1261" s="26">
        <v>77</v>
      </c>
      <c r="J1261" s="33">
        <f t="shared" si="60"/>
        <v>85</v>
      </c>
      <c r="K1261" s="33">
        <v>1</v>
      </c>
      <c r="L1261" s="33"/>
      <c r="M1261" s="38">
        <f t="shared" si="58"/>
        <v>10.6</v>
      </c>
      <c r="N1261" s="39">
        <f t="shared" si="59"/>
        <v>6.0149859000000001</v>
      </c>
      <c r="O1261" s="26" t="s">
        <v>53</v>
      </c>
      <c r="P1261" s="31" t="s">
        <v>19</v>
      </c>
    </row>
    <row r="1262" spans="1:16" x14ac:dyDescent="0.25">
      <c r="A1262" s="26">
        <v>1261</v>
      </c>
      <c r="B1262" s="33" t="s">
        <v>2805</v>
      </c>
      <c r="C1262" s="26" t="s">
        <v>2806</v>
      </c>
      <c r="D1262" s="28" t="s">
        <v>2807</v>
      </c>
      <c r="E1262" s="33" t="s">
        <v>18</v>
      </c>
      <c r="F1262" s="33"/>
      <c r="G1262" s="29">
        <v>13.3</v>
      </c>
      <c r="H1262" s="26">
        <v>82</v>
      </c>
      <c r="I1262" s="26">
        <v>71</v>
      </c>
      <c r="J1262" s="33">
        <f t="shared" si="60"/>
        <v>76</v>
      </c>
      <c r="K1262" s="33"/>
      <c r="L1262" s="33"/>
      <c r="M1262" s="38">
        <f t="shared" si="58"/>
        <v>13.3</v>
      </c>
      <c r="N1262" s="39">
        <f t="shared" si="59"/>
        <v>6.0335056320000007</v>
      </c>
      <c r="O1262" s="26"/>
      <c r="P1262" s="31" t="s">
        <v>19</v>
      </c>
    </row>
    <row r="1263" spans="1:16" x14ac:dyDescent="0.25">
      <c r="A1263" s="26">
        <v>1262</v>
      </c>
      <c r="B1263" s="33" t="s">
        <v>2808</v>
      </c>
      <c r="C1263" s="26" t="s">
        <v>2809</v>
      </c>
      <c r="D1263" s="28">
        <v>4793</v>
      </c>
      <c r="E1263" s="33" t="s">
        <v>18</v>
      </c>
      <c r="F1263" s="33"/>
      <c r="G1263" s="29">
        <v>12.3</v>
      </c>
      <c r="H1263" s="26">
        <v>87</v>
      </c>
      <c r="I1263" s="26">
        <v>63</v>
      </c>
      <c r="J1263" s="33">
        <f t="shared" si="60"/>
        <v>75</v>
      </c>
      <c r="K1263" s="33">
        <v>0.3</v>
      </c>
      <c r="L1263" s="33"/>
      <c r="M1263" s="38">
        <f t="shared" si="58"/>
        <v>12</v>
      </c>
      <c r="N1263" s="39">
        <f t="shared" si="59"/>
        <v>5.30145</v>
      </c>
      <c r="O1263" s="26"/>
      <c r="P1263" s="31" t="s">
        <v>19</v>
      </c>
    </row>
    <row r="1264" spans="1:16" x14ac:dyDescent="0.25">
      <c r="A1264" s="26">
        <v>1263</v>
      </c>
      <c r="B1264" s="33" t="s">
        <v>2810</v>
      </c>
      <c r="C1264" s="26" t="s">
        <v>2811</v>
      </c>
      <c r="D1264" s="28" t="s">
        <v>2812</v>
      </c>
      <c r="E1264" s="33" t="s">
        <v>18</v>
      </c>
      <c r="F1264" s="33"/>
      <c r="G1264" s="29">
        <v>12.8</v>
      </c>
      <c r="H1264" s="26">
        <v>106</v>
      </c>
      <c r="I1264" s="26">
        <v>92</v>
      </c>
      <c r="J1264" s="33">
        <f t="shared" si="60"/>
        <v>99</v>
      </c>
      <c r="K1264" s="33"/>
      <c r="L1264" s="33"/>
      <c r="M1264" s="38">
        <f t="shared" si="58"/>
        <v>12.8</v>
      </c>
      <c r="N1264" s="39">
        <f t="shared" si="59"/>
        <v>9.8530629120000004</v>
      </c>
      <c r="O1264" s="26"/>
      <c r="P1264" s="31" t="s">
        <v>19</v>
      </c>
    </row>
    <row r="1265" spans="1:16" x14ac:dyDescent="0.25">
      <c r="A1265" s="26">
        <v>1264</v>
      </c>
      <c r="B1265" s="33" t="s">
        <v>2813</v>
      </c>
      <c r="C1265" s="26" t="s">
        <v>2814</v>
      </c>
      <c r="D1265" s="28" t="s">
        <v>2815</v>
      </c>
      <c r="E1265" s="33" t="s">
        <v>18</v>
      </c>
      <c r="F1265" s="33"/>
      <c r="G1265" s="29">
        <v>8.8000000000000007</v>
      </c>
      <c r="H1265" s="26">
        <v>94</v>
      </c>
      <c r="I1265" s="26">
        <v>81</v>
      </c>
      <c r="J1265" s="33">
        <f t="shared" si="60"/>
        <v>87</v>
      </c>
      <c r="K1265" s="33">
        <v>0.5</v>
      </c>
      <c r="L1265" s="33"/>
      <c r="M1265" s="38">
        <f t="shared" si="58"/>
        <v>8.3000000000000007</v>
      </c>
      <c r="N1265" s="39">
        <f t="shared" si="59"/>
        <v>4.9340948580000008</v>
      </c>
      <c r="O1265" s="26" t="s">
        <v>35</v>
      </c>
      <c r="P1265" s="31" t="s">
        <v>19</v>
      </c>
    </row>
    <row r="1266" spans="1:16" x14ac:dyDescent="0.25">
      <c r="A1266" s="26">
        <v>1265</v>
      </c>
      <c r="B1266" s="33" t="s">
        <v>2816</v>
      </c>
      <c r="C1266" s="26" t="s">
        <v>2817</v>
      </c>
      <c r="D1266" s="28" t="s">
        <v>2818</v>
      </c>
      <c r="E1266" s="33" t="s">
        <v>18</v>
      </c>
      <c r="F1266" s="33"/>
      <c r="G1266" s="29">
        <v>9</v>
      </c>
      <c r="H1266" s="26">
        <v>73</v>
      </c>
      <c r="I1266" s="26">
        <v>66</v>
      </c>
      <c r="J1266" s="33">
        <f t="shared" si="60"/>
        <v>69</v>
      </c>
      <c r="K1266" s="33"/>
      <c r="L1266" s="33"/>
      <c r="M1266" s="38">
        <f t="shared" si="58"/>
        <v>9</v>
      </c>
      <c r="N1266" s="39">
        <f t="shared" si="59"/>
        <v>3.3653604599999998</v>
      </c>
      <c r="O1266" s="26"/>
      <c r="P1266" s="31" t="s">
        <v>19</v>
      </c>
    </row>
    <row r="1267" spans="1:16" x14ac:dyDescent="0.25">
      <c r="A1267" s="26">
        <v>1266</v>
      </c>
      <c r="B1267" s="33" t="s">
        <v>2819</v>
      </c>
      <c r="C1267" s="26" t="s">
        <v>2820</v>
      </c>
      <c r="D1267" s="28" t="s">
        <v>2821</v>
      </c>
      <c r="E1267" s="33" t="s">
        <v>18</v>
      </c>
      <c r="F1267" s="33"/>
      <c r="G1267" s="29">
        <v>10.4</v>
      </c>
      <c r="H1267" s="26">
        <v>108</v>
      </c>
      <c r="I1267" s="26">
        <v>100</v>
      </c>
      <c r="J1267" s="33">
        <f t="shared" si="60"/>
        <v>104</v>
      </c>
      <c r="K1267" s="33"/>
      <c r="L1267" s="33"/>
      <c r="M1267" s="38">
        <f t="shared" si="58"/>
        <v>10.4</v>
      </c>
      <c r="N1267" s="39">
        <f t="shared" si="59"/>
        <v>8.8346818559999996</v>
      </c>
      <c r="O1267" s="26"/>
      <c r="P1267" s="31" t="s">
        <v>19</v>
      </c>
    </row>
    <row r="1268" spans="1:16" x14ac:dyDescent="0.25">
      <c r="D1268" s="25"/>
      <c r="N1268" s="46">
        <f>SUM(N2:N1267)</f>
        <v>8001.8923358220027</v>
      </c>
    </row>
  </sheetData>
  <conditionalFormatting sqref="C607:D610">
    <cfRule type="duplicateValues" dxfId="168" priority="172"/>
    <cfRule type="duplicateValues" dxfId="167" priority="173"/>
    <cfRule type="duplicateValues" dxfId="166" priority="174"/>
  </conditionalFormatting>
  <conditionalFormatting sqref="C607:D747 C749:D781">
    <cfRule type="duplicateValues" dxfId="165" priority="116"/>
    <cfRule type="duplicateValues" dxfId="164" priority="117"/>
    <cfRule type="duplicateValues" dxfId="163" priority="122"/>
  </conditionalFormatting>
  <conditionalFormatting sqref="C607:D747">
    <cfRule type="duplicateValues" dxfId="162" priority="118"/>
  </conditionalFormatting>
  <conditionalFormatting sqref="C611:D628">
    <cfRule type="duplicateValues" dxfId="161" priority="169"/>
    <cfRule type="duplicateValues" dxfId="160" priority="170"/>
    <cfRule type="duplicateValues" dxfId="159" priority="171"/>
  </conditionalFormatting>
  <conditionalFormatting sqref="C629:D641">
    <cfRule type="duplicateValues" dxfId="158" priority="163"/>
    <cfRule type="duplicateValues" dxfId="157" priority="164"/>
    <cfRule type="duplicateValues" dxfId="156" priority="165"/>
  </conditionalFormatting>
  <conditionalFormatting sqref="C630:D630">
    <cfRule type="duplicateValues" dxfId="155" priority="166"/>
    <cfRule type="duplicateValues" dxfId="154" priority="167"/>
    <cfRule type="duplicateValues" dxfId="153" priority="168"/>
  </conditionalFormatting>
  <conditionalFormatting sqref="C642:D659">
    <cfRule type="duplicateValues" dxfId="152" priority="160"/>
    <cfRule type="duplicateValues" dxfId="151" priority="161"/>
    <cfRule type="duplicateValues" dxfId="150" priority="162"/>
  </conditionalFormatting>
  <conditionalFormatting sqref="C660:D747 C749:D781">
    <cfRule type="duplicateValues" dxfId="149" priority="119"/>
    <cfRule type="duplicateValues" dxfId="148" priority="120"/>
    <cfRule type="duplicateValues" dxfId="147" priority="121"/>
  </conditionalFormatting>
  <conditionalFormatting sqref="C670:D698">
    <cfRule type="duplicateValues" dxfId="146" priority="157"/>
    <cfRule type="duplicateValues" dxfId="145" priority="158"/>
    <cfRule type="duplicateValues" dxfId="144" priority="159"/>
  </conditionalFormatting>
  <conditionalFormatting sqref="C699:D705">
    <cfRule type="duplicateValues" dxfId="143" priority="154"/>
    <cfRule type="duplicateValues" dxfId="142" priority="155"/>
    <cfRule type="duplicateValues" dxfId="141" priority="156"/>
  </conditionalFormatting>
  <conditionalFormatting sqref="C706:D724">
    <cfRule type="duplicateValues" dxfId="140" priority="151"/>
    <cfRule type="duplicateValues" dxfId="139" priority="152"/>
    <cfRule type="duplicateValues" dxfId="138" priority="153"/>
  </conditionalFormatting>
  <conditionalFormatting sqref="C736:D743">
    <cfRule type="duplicateValues" dxfId="137" priority="148"/>
    <cfRule type="duplicateValues" dxfId="136" priority="149"/>
    <cfRule type="duplicateValues" dxfId="135" priority="150"/>
  </conditionalFormatting>
  <conditionalFormatting sqref="C748:D748">
    <cfRule type="duplicateValues" dxfId="134" priority="129"/>
    <cfRule type="duplicateValues" dxfId="133" priority="130"/>
    <cfRule type="duplicateValues" dxfId="132" priority="131"/>
  </conditionalFormatting>
  <conditionalFormatting sqref="C749:D749 C725:D735">
    <cfRule type="duplicateValues" dxfId="131" priority="126"/>
    <cfRule type="duplicateValues" dxfId="130" priority="127"/>
    <cfRule type="duplicateValues" dxfId="129" priority="128"/>
  </conditionalFormatting>
  <conditionalFormatting sqref="C750:D759 C744:D747">
    <cfRule type="duplicateValues" dxfId="128" priority="123"/>
    <cfRule type="duplicateValues" dxfId="127" priority="124"/>
    <cfRule type="duplicateValues" dxfId="126" priority="125"/>
  </conditionalFormatting>
  <conditionalFormatting sqref="C754:D754">
    <cfRule type="duplicateValues" dxfId="125" priority="145"/>
    <cfRule type="duplicateValues" dxfId="124" priority="146"/>
    <cfRule type="duplicateValues" dxfId="123" priority="147"/>
  </conditionalFormatting>
  <conditionalFormatting sqref="C760:D769">
    <cfRule type="duplicateValues" dxfId="122" priority="142"/>
    <cfRule type="duplicateValues" dxfId="121" priority="143"/>
    <cfRule type="duplicateValues" dxfId="120" priority="144"/>
  </conditionalFormatting>
  <conditionalFormatting sqref="C770:D771">
    <cfRule type="duplicateValues" dxfId="119" priority="135"/>
    <cfRule type="duplicateValues" dxfId="118" priority="136"/>
    <cfRule type="duplicateValues" dxfId="117" priority="137"/>
    <cfRule type="duplicateValues" dxfId="116" priority="138"/>
  </conditionalFormatting>
  <conditionalFormatting sqref="C772:D779">
    <cfRule type="duplicateValues" dxfId="115" priority="139"/>
    <cfRule type="duplicateValues" dxfId="114" priority="140"/>
    <cfRule type="duplicateValues" dxfId="113" priority="141"/>
  </conditionalFormatting>
  <conditionalFormatting sqref="C780:D781">
    <cfRule type="duplicateValues" dxfId="112" priority="132"/>
    <cfRule type="duplicateValues" dxfId="111" priority="133"/>
    <cfRule type="duplicateValues" dxfId="110" priority="134"/>
  </conditionalFormatting>
  <conditionalFormatting sqref="C782:D784">
    <cfRule type="duplicateValues" dxfId="109" priority="115"/>
  </conditionalFormatting>
  <conditionalFormatting sqref="C782:D936">
    <cfRule type="duplicateValues" dxfId="108" priority="90"/>
    <cfRule type="duplicateValues" dxfId="107" priority="91"/>
    <cfRule type="duplicateValues" dxfId="106" priority="92"/>
    <cfRule type="duplicateValues" dxfId="105" priority="93"/>
    <cfRule type="duplicateValues" dxfId="104" priority="97"/>
  </conditionalFormatting>
  <conditionalFormatting sqref="C785:D786">
    <cfRule type="duplicateValues" dxfId="103" priority="114"/>
  </conditionalFormatting>
  <conditionalFormatting sqref="C787:D792">
    <cfRule type="duplicateValues" dxfId="102" priority="113"/>
  </conditionalFormatting>
  <conditionalFormatting sqref="C797:D808">
    <cfRule type="duplicateValues" dxfId="101" priority="112"/>
  </conditionalFormatting>
  <conditionalFormatting sqref="C813:D832">
    <cfRule type="duplicateValues" dxfId="100" priority="111"/>
  </conditionalFormatting>
  <conditionalFormatting sqref="C833:D850">
    <cfRule type="duplicateValues" dxfId="99" priority="110"/>
  </conditionalFormatting>
  <conditionalFormatting sqref="C851:D855">
    <cfRule type="duplicateValues" dxfId="98" priority="107"/>
    <cfRule type="duplicateValues" dxfId="97" priority="108"/>
    <cfRule type="duplicateValues" dxfId="96" priority="109"/>
  </conditionalFormatting>
  <conditionalFormatting sqref="C856:D885">
    <cfRule type="duplicateValues" dxfId="95" priority="104"/>
    <cfRule type="duplicateValues" dxfId="94" priority="105"/>
    <cfRule type="duplicateValues" dxfId="93" priority="106"/>
  </conditionalFormatting>
  <conditionalFormatting sqref="C886:D936">
    <cfRule type="duplicateValues" dxfId="92" priority="94"/>
    <cfRule type="duplicateValues" dxfId="91" priority="95"/>
    <cfRule type="duplicateValues" dxfId="90" priority="96"/>
  </conditionalFormatting>
  <conditionalFormatting sqref="C900:D924">
    <cfRule type="duplicateValues" dxfId="89" priority="101"/>
    <cfRule type="duplicateValues" dxfId="88" priority="102"/>
    <cfRule type="duplicateValues" dxfId="87" priority="103"/>
  </conditionalFormatting>
  <conditionalFormatting sqref="C925:D936">
    <cfRule type="duplicateValues" dxfId="86" priority="98"/>
    <cfRule type="duplicateValues" dxfId="85" priority="99"/>
    <cfRule type="duplicateValues" dxfId="84" priority="100"/>
  </conditionalFormatting>
  <conditionalFormatting sqref="C937:D949">
    <cfRule type="duplicateValues" dxfId="83" priority="84"/>
    <cfRule type="duplicateValues" dxfId="82" priority="85"/>
    <cfRule type="duplicateValues" dxfId="81" priority="86"/>
  </conditionalFormatting>
  <conditionalFormatting sqref="C937:D957">
    <cfRule type="duplicateValues" dxfId="80" priority="87"/>
    <cfRule type="duplicateValues" dxfId="79" priority="88"/>
    <cfRule type="duplicateValues" dxfId="78" priority="89"/>
  </conditionalFormatting>
  <conditionalFormatting sqref="C950:D957">
    <cfRule type="duplicateValues" dxfId="77" priority="81"/>
    <cfRule type="duplicateValues" dxfId="76" priority="82"/>
    <cfRule type="duplicateValues" dxfId="75" priority="83"/>
  </conditionalFormatting>
  <conditionalFormatting sqref="C958:D972">
    <cfRule type="duplicateValues" dxfId="74" priority="78"/>
    <cfRule type="duplicateValues" dxfId="73" priority="79"/>
    <cfRule type="duplicateValues" dxfId="72" priority="80"/>
  </conditionalFormatting>
  <conditionalFormatting sqref="C973:D974">
    <cfRule type="duplicateValues" dxfId="71" priority="75"/>
    <cfRule type="duplicateValues" dxfId="70" priority="76"/>
    <cfRule type="duplicateValues" dxfId="69" priority="77"/>
  </conditionalFormatting>
  <conditionalFormatting sqref="C975:D978">
    <cfRule type="duplicateValues" dxfId="68" priority="72"/>
    <cfRule type="duplicateValues" dxfId="67" priority="73"/>
    <cfRule type="duplicateValues" dxfId="66" priority="74"/>
  </conditionalFormatting>
  <conditionalFormatting sqref="C975:D1067">
    <cfRule type="duplicateValues" dxfId="65" priority="57"/>
    <cfRule type="duplicateValues" dxfId="64" priority="58"/>
    <cfRule type="duplicateValues" dxfId="63" priority="59"/>
  </conditionalFormatting>
  <conditionalFormatting sqref="C982:D986">
    <cfRule type="duplicateValues" dxfId="62" priority="69"/>
    <cfRule type="duplicateValues" dxfId="61" priority="70"/>
    <cfRule type="duplicateValues" dxfId="60" priority="71"/>
  </conditionalFormatting>
  <conditionalFormatting sqref="C987:D992">
    <cfRule type="duplicateValues" dxfId="59" priority="66"/>
    <cfRule type="duplicateValues" dxfId="58" priority="67"/>
    <cfRule type="duplicateValues" dxfId="57" priority="68"/>
  </conditionalFormatting>
  <conditionalFormatting sqref="C993:D1008">
    <cfRule type="duplicateValues" dxfId="56" priority="63"/>
    <cfRule type="duplicateValues" dxfId="55" priority="64"/>
    <cfRule type="duplicateValues" dxfId="54" priority="65"/>
  </conditionalFormatting>
  <conditionalFormatting sqref="C1009:D1038">
    <cfRule type="duplicateValues" dxfId="53" priority="60"/>
    <cfRule type="duplicateValues" dxfId="52" priority="61"/>
    <cfRule type="duplicateValues" dxfId="51" priority="62"/>
  </conditionalFormatting>
  <conditionalFormatting sqref="C1039:D1067">
    <cfRule type="duplicateValues" dxfId="50" priority="54"/>
    <cfRule type="duplicateValues" dxfId="49" priority="55"/>
    <cfRule type="duplicateValues" dxfId="48" priority="56"/>
  </conditionalFormatting>
  <conditionalFormatting sqref="C1068:D1083">
    <cfRule type="duplicateValues" dxfId="47" priority="50"/>
    <cfRule type="duplicateValues" dxfId="46" priority="51"/>
    <cfRule type="duplicateValues" dxfId="45" priority="52"/>
  </conditionalFormatting>
  <conditionalFormatting sqref="C1074:D1074">
    <cfRule type="duplicateValues" dxfId="44" priority="53"/>
  </conditionalFormatting>
  <conditionalFormatting sqref="C1084:D1096">
    <cfRule type="duplicateValues" dxfId="43" priority="33"/>
    <cfRule type="duplicateValues" dxfId="42" priority="34"/>
    <cfRule type="duplicateValues" dxfId="41" priority="35"/>
  </conditionalFormatting>
  <conditionalFormatting sqref="C1084:D1104">
    <cfRule type="duplicateValues" dxfId="40" priority="36"/>
    <cfRule type="duplicateValues" dxfId="39" priority="37"/>
    <cfRule type="duplicateValues" dxfId="38" priority="38"/>
  </conditionalFormatting>
  <conditionalFormatting sqref="C1084:D1159">
    <cfRule type="duplicateValues" dxfId="37" priority="13"/>
    <cfRule type="duplicateValues" dxfId="36" priority="14"/>
  </conditionalFormatting>
  <conditionalFormatting sqref="C1084:D1267">
    <cfRule type="duplicateValues" dxfId="35" priority="48"/>
  </conditionalFormatting>
  <conditionalFormatting sqref="C1097:D1104">
    <cfRule type="duplicateValues" dxfId="34" priority="30"/>
    <cfRule type="duplicateValues" dxfId="33" priority="31"/>
    <cfRule type="duplicateValues" dxfId="32" priority="32"/>
  </conditionalFormatting>
  <conditionalFormatting sqref="C1105:D1116">
    <cfRule type="duplicateValues" dxfId="31" priority="27"/>
    <cfRule type="duplicateValues" dxfId="30" priority="28"/>
    <cfRule type="duplicateValues" dxfId="29" priority="29"/>
  </conditionalFormatting>
  <conditionalFormatting sqref="C1117:D1141">
    <cfRule type="duplicateValues" dxfId="28" priority="18"/>
    <cfRule type="duplicateValues" dxfId="27" priority="19"/>
    <cfRule type="duplicateValues" dxfId="26" priority="20"/>
  </conditionalFormatting>
  <conditionalFormatting sqref="C1142:D1143">
    <cfRule type="duplicateValues" dxfId="25" priority="21"/>
    <cfRule type="duplicateValues" dxfId="24" priority="22"/>
    <cfRule type="duplicateValues" dxfId="23" priority="23"/>
  </conditionalFormatting>
  <conditionalFormatting sqref="C1142:D1159">
    <cfRule type="duplicateValues" dxfId="22" priority="15"/>
    <cfRule type="duplicateValues" dxfId="21" priority="16"/>
    <cfRule type="duplicateValues" dxfId="20" priority="17"/>
  </conditionalFormatting>
  <conditionalFormatting sqref="C1144:D1159">
    <cfRule type="duplicateValues" dxfId="19" priority="24"/>
    <cfRule type="duplicateValues" dxfId="18" priority="25"/>
    <cfRule type="duplicateValues" dxfId="17" priority="26"/>
    <cfRule type="duplicateValues" dxfId="16" priority="39"/>
    <cfRule type="duplicateValues" dxfId="15" priority="40"/>
    <cfRule type="duplicateValues" dxfId="14" priority="41"/>
  </conditionalFormatting>
  <conditionalFormatting sqref="C1160:D1163 C1168:D1267">
    <cfRule type="duplicateValues" dxfId="13" priority="46"/>
  </conditionalFormatting>
  <conditionalFormatting sqref="C1160:D1267">
    <cfRule type="duplicateValues" dxfId="12" priority="42"/>
    <cfRule type="duplicateValues" dxfId="11" priority="47"/>
    <cfRule type="duplicateValues" dxfId="10" priority="49"/>
  </conditionalFormatting>
  <conditionalFormatting sqref="C1164:D1165">
    <cfRule type="duplicateValues" dxfId="9" priority="43"/>
  </conditionalFormatting>
  <conditionalFormatting sqref="C1166:D1167">
    <cfRule type="duplicateValues" dxfId="8" priority="44"/>
  </conditionalFormatting>
  <conditionalFormatting sqref="C1224:D1226">
    <cfRule type="duplicateValues" dxfId="7" priority="45"/>
  </conditionalFormatting>
  <conditionalFormatting sqref="C1261:D1261">
    <cfRule type="duplicateValues" dxfId="6" priority="12"/>
  </conditionalFormatting>
  <conditionalFormatting sqref="C1262:D1262">
    <cfRule type="duplicateValues" dxfId="5" priority="11"/>
  </conditionalFormatting>
  <conditionalFormatting sqref="C1263:D1263">
    <cfRule type="duplicateValues" dxfId="4" priority="10"/>
  </conditionalFormatting>
  <conditionalFormatting sqref="C1264:D1264">
    <cfRule type="duplicateValues" dxfId="3" priority="9"/>
  </conditionalFormatting>
  <conditionalFormatting sqref="C1265:D1265">
    <cfRule type="duplicateValues" dxfId="2" priority="8"/>
  </conditionalFormatting>
  <conditionalFormatting sqref="C1266:D1267">
    <cfRule type="duplicateValues" dxfId="1" priority="7"/>
  </conditionalFormatting>
  <conditionalFormatting sqref="C1267:D1267"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5D086-7A97-4EF1-AE1E-C3F3DD7B6CD7}">
  <dimension ref="A1:O1294"/>
  <sheetViews>
    <sheetView topLeftCell="A1247" workbookViewId="0">
      <selection activeCell="I1273" sqref="I1273"/>
    </sheetView>
  </sheetViews>
  <sheetFormatPr defaultColWidth="9.140625" defaultRowHeight="15.75" x14ac:dyDescent="0.25"/>
  <cols>
    <col min="1" max="1" width="7.7109375" style="14" bestFit="1" customWidth="1"/>
    <col min="2" max="2" width="8" style="14" bestFit="1" customWidth="1"/>
    <col min="3" max="3" width="14" style="14" bestFit="1" customWidth="1"/>
    <col min="4" max="4" width="9.140625" style="14" bestFit="1" customWidth="1"/>
    <col min="5" max="5" width="15.28515625" style="14" bestFit="1" customWidth="1"/>
    <col min="6" max="6" width="10.42578125" style="14" bestFit="1" customWidth="1"/>
    <col min="7" max="7" width="10.28515625" style="14" bestFit="1" customWidth="1"/>
    <col min="8" max="8" width="5.42578125" style="14" bestFit="1" customWidth="1"/>
    <col min="9" max="9" width="12.28515625" style="14" bestFit="1" customWidth="1"/>
    <col min="10" max="10" width="7.42578125" style="14" bestFit="1" customWidth="1"/>
    <col min="11" max="11" width="10" style="14" bestFit="1" customWidth="1"/>
    <col min="12" max="12" width="22.85546875" style="14" bestFit="1" customWidth="1"/>
    <col min="13" max="13" width="17.140625" style="14" bestFit="1" customWidth="1"/>
    <col min="14" max="14" width="12.140625" style="12" bestFit="1" customWidth="1"/>
    <col min="15" max="15" width="22.85546875" style="4" bestFit="1" customWidth="1"/>
    <col min="16" max="16384" width="9.140625" style="15"/>
  </cols>
  <sheetData>
    <row r="1" spans="1:15" x14ac:dyDescent="0.25">
      <c r="A1" s="1" t="s">
        <v>0</v>
      </c>
      <c r="B1" s="3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9</v>
      </c>
      <c r="I1" s="3" t="s">
        <v>2824</v>
      </c>
      <c r="J1" s="2" t="s">
        <v>10</v>
      </c>
      <c r="K1" s="2" t="s">
        <v>11</v>
      </c>
      <c r="L1" s="1" t="s">
        <v>12</v>
      </c>
      <c r="M1" s="2" t="s">
        <v>2825</v>
      </c>
      <c r="N1" s="2" t="s">
        <v>14</v>
      </c>
      <c r="O1" s="2" t="s">
        <v>15</v>
      </c>
    </row>
    <row r="2" spans="1:15" x14ac:dyDescent="0.25">
      <c r="A2" s="13">
        <v>1</v>
      </c>
      <c r="B2" s="16">
        <v>1</v>
      </c>
      <c r="C2" s="13" t="s">
        <v>2826</v>
      </c>
      <c r="D2" s="6" t="s">
        <v>17</v>
      </c>
      <c r="E2" s="13" t="s">
        <v>2827</v>
      </c>
      <c r="F2" s="13"/>
      <c r="G2" s="17">
        <v>4.5</v>
      </c>
      <c r="H2" s="16">
        <v>78</v>
      </c>
      <c r="I2" s="18">
        <v>2.15</v>
      </c>
      <c r="J2" s="13"/>
      <c r="K2" s="13"/>
      <c r="L2" s="17">
        <f>G2-J2</f>
        <v>4.5</v>
      </c>
      <c r="M2" s="18">
        <f>L2*(H2*H2)*0.7854/10000</f>
        <v>2.1502681199999998</v>
      </c>
      <c r="N2" s="5"/>
      <c r="O2" s="8" t="s">
        <v>19</v>
      </c>
    </row>
    <row r="3" spans="1:15" x14ac:dyDescent="0.25">
      <c r="A3" s="13">
        <v>2</v>
      </c>
      <c r="B3" s="16">
        <v>2</v>
      </c>
      <c r="C3" s="13" t="s">
        <v>2828</v>
      </c>
      <c r="D3" s="6">
        <v>4417</v>
      </c>
      <c r="E3" s="13" t="s">
        <v>2827</v>
      </c>
      <c r="F3" s="13"/>
      <c r="G3" s="17">
        <v>7.7</v>
      </c>
      <c r="H3" s="16">
        <v>82</v>
      </c>
      <c r="I3" s="18">
        <v>4.0659999999999998</v>
      </c>
      <c r="J3" s="13">
        <v>0.6</v>
      </c>
      <c r="K3" s="13"/>
      <c r="L3" s="17">
        <f>G3-J3</f>
        <v>7.1000000000000005</v>
      </c>
      <c r="M3" s="18">
        <f>L3*(H3*H3)*0.7854/10000</f>
        <v>3.7495310160000002</v>
      </c>
      <c r="N3" s="5" t="s">
        <v>21</v>
      </c>
      <c r="O3" s="8" t="s">
        <v>19</v>
      </c>
    </row>
    <row r="4" spans="1:15" x14ac:dyDescent="0.25">
      <c r="A4" s="13">
        <v>3</v>
      </c>
      <c r="B4" s="16">
        <v>3</v>
      </c>
      <c r="C4" s="13" t="s">
        <v>2829</v>
      </c>
      <c r="D4" s="6">
        <v>4249</v>
      </c>
      <c r="E4" s="13" t="s">
        <v>2830</v>
      </c>
      <c r="F4" s="13"/>
      <c r="G4" s="17">
        <v>10.7</v>
      </c>
      <c r="H4" s="16">
        <v>82</v>
      </c>
      <c r="I4" s="18">
        <v>5.6509999999999998</v>
      </c>
      <c r="J4" s="13"/>
      <c r="K4" s="13"/>
      <c r="L4" s="17">
        <f>G4-J4</f>
        <v>10.7</v>
      </c>
      <c r="M4" s="18">
        <f>L4*(H4*H4)*0.7854/10000</f>
        <v>5.6507016719999994</v>
      </c>
      <c r="N4" s="5"/>
      <c r="O4" s="8" t="s">
        <v>19</v>
      </c>
    </row>
    <row r="5" spans="1:15" x14ac:dyDescent="0.25">
      <c r="A5" s="13">
        <v>4</v>
      </c>
      <c r="B5" s="16">
        <v>4</v>
      </c>
      <c r="C5" s="13" t="s">
        <v>2831</v>
      </c>
      <c r="D5" s="6">
        <v>4240</v>
      </c>
      <c r="E5" s="13" t="s">
        <v>2830</v>
      </c>
      <c r="F5" s="13"/>
      <c r="G5" s="17">
        <v>12.1</v>
      </c>
      <c r="H5" s="16">
        <v>108</v>
      </c>
      <c r="I5" s="18">
        <v>11.085000000000001</v>
      </c>
      <c r="J5" s="13">
        <v>0.3</v>
      </c>
      <c r="K5" s="13"/>
      <c r="L5" s="17">
        <f>G5-J5</f>
        <v>11.799999999999999</v>
      </c>
      <c r="M5" s="18">
        <f>L5*(H5*H5)*0.7854/10000</f>
        <v>10.809868607999999</v>
      </c>
      <c r="N5" s="5"/>
      <c r="O5" s="8" t="s">
        <v>19</v>
      </c>
    </row>
    <row r="6" spans="1:15" x14ac:dyDescent="0.25">
      <c r="A6" s="13">
        <v>5</v>
      </c>
      <c r="B6" s="16">
        <v>5</v>
      </c>
      <c r="C6" s="13" t="s">
        <v>2832</v>
      </c>
      <c r="D6" s="6" t="s">
        <v>25</v>
      </c>
      <c r="E6" s="13" t="s">
        <v>2830</v>
      </c>
      <c r="F6" s="13"/>
      <c r="G6" s="17">
        <v>9.1999999999999993</v>
      </c>
      <c r="H6" s="16">
        <v>74</v>
      </c>
      <c r="I6" s="18">
        <v>3.9569999999999999</v>
      </c>
      <c r="J6" s="13"/>
      <c r="K6" s="13"/>
      <c r="L6" s="17">
        <f>G6-J6</f>
        <v>9.1999999999999993</v>
      </c>
      <c r="M6" s="18">
        <f>L6*(H6*H6)*0.7854/10000</f>
        <v>3.9567823679999994</v>
      </c>
      <c r="N6" s="5"/>
      <c r="O6" s="8" t="s">
        <v>19</v>
      </c>
    </row>
    <row r="7" spans="1:15" x14ac:dyDescent="0.25">
      <c r="A7" s="13">
        <v>6</v>
      </c>
      <c r="B7" s="16">
        <v>6</v>
      </c>
      <c r="C7" s="13" t="s">
        <v>2833</v>
      </c>
      <c r="D7" s="6" t="s">
        <v>27</v>
      </c>
      <c r="E7" s="13" t="s">
        <v>2830</v>
      </c>
      <c r="F7" s="13"/>
      <c r="G7" s="17">
        <v>13.3</v>
      </c>
      <c r="H7" s="16">
        <v>84</v>
      </c>
      <c r="I7" s="18">
        <v>7.3710000000000004</v>
      </c>
      <c r="J7" s="13"/>
      <c r="K7" s="13"/>
      <c r="L7" s="17">
        <f>G7-J7</f>
        <v>13.3</v>
      </c>
      <c r="M7" s="18">
        <f>L7*(H7*H7)*0.7854/10000</f>
        <v>7.3705705920000009</v>
      </c>
      <c r="N7" s="5"/>
      <c r="O7" s="8" t="s">
        <v>19</v>
      </c>
    </row>
    <row r="8" spans="1:15" x14ac:dyDescent="0.25">
      <c r="A8" s="13">
        <v>7</v>
      </c>
      <c r="B8" s="16">
        <v>7</v>
      </c>
      <c r="C8" s="13" t="s">
        <v>2834</v>
      </c>
      <c r="D8" s="6" t="s">
        <v>29</v>
      </c>
      <c r="E8" s="13" t="s">
        <v>2830</v>
      </c>
      <c r="F8" s="13"/>
      <c r="G8" s="17">
        <v>6.5</v>
      </c>
      <c r="H8" s="16">
        <v>70</v>
      </c>
      <c r="I8" s="18">
        <v>2.5009999999999999</v>
      </c>
      <c r="J8" s="13"/>
      <c r="K8" s="13"/>
      <c r="L8" s="17">
        <f>G8-J8</f>
        <v>6.5</v>
      </c>
      <c r="M8" s="18">
        <f>L8*(H8*H8)*0.7854/10000</f>
        <v>2.5014989999999999</v>
      </c>
      <c r="N8" s="5"/>
      <c r="O8" s="8" t="s">
        <v>30</v>
      </c>
    </row>
    <row r="9" spans="1:15" x14ac:dyDescent="0.25">
      <c r="A9" s="13">
        <v>8</v>
      </c>
      <c r="B9" s="16">
        <v>8</v>
      </c>
      <c r="C9" s="13" t="s">
        <v>2835</v>
      </c>
      <c r="D9" s="6" t="s">
        <v>32</v>
      </c>
      <c r="E9" s="13" t="s">
        <v>2830</v>
      </c>
      <c r="F9" s="13"/>
      <c r="G9" s="17">
        <v>12.2</v>
      </c>
      <c r="H9" s="16">
        <v>92</v>
      </c>
      <c r="I9" s="18">
        <v>8.11</v>
      </c>
      <c r="J9" s="13"/>
      <c r="K9" s="13"/>
      <c r="L9" s="17">
        <f>G9-J9</f>
        <v>12.2</v>
      </c>
      <c r="M9" s="18">
        <f>L9*(H9*H9)*0.7854/10000</f>
        <v>8.1101032319999984</v>
      </c>
      <c r="N9" s="5"/>
      <c r="O9" s="8" t="s">
        <v>19</v>
      </c>
    </row>
    <row r="10" spans="1:15" x14ac:dyDescent="0.25">
      <c r="A10" s="13">
        <v>9</v>
      </c>
      <c r="B10" s="16">
        <v>9</v>
      </c>
      <c r="C10" s="13" t="s">
        <v>2836</v>
      </c>
      <c r="D10" s="6" t="s">
        <v>34</v>
      </c>
      <c r="E10" s="13" t="s">
        <v>2830</v>
      </c>
      <c r="F10" s="13"/>
      <c r="G10" s="17">
        <v>7.8</v>
      </c>
      <c r="H10" s="16">
        <v>80</v>
      </c>
      <c r="I10" s="18">
        <v>3.9209999999999998</v>
      </c>
      <c r="J10" s="13"/>
      <c r="K10" s="13"/>
      <c r="L10" s="17">
        <f>G10-J10</f>
        <v>7.8</v>
      </c>
      <c r="M10" s="18">
        <f>L10*(H10*H10)*0.7854/10000</f>
        <v>3.9207167999999997</v>
      </c>
      <c r="N10" s="5" t="s">
        <v>35</v>
      </c>
      <c r="O10" s="8" t="s">
        <v>19</v>
      </c>
    </row>
    <row r="11" spans="1:15" x14ac:dyDescent="0.25">
      <c r="A11" s="13">
        <v>10</v>
      </c>
      <c r="B11" s="16">
        <v>10</v>
      </c>
      <c r="C11" s="13" t="s">
        <v>2837</v>
      </c>
      <c r="D11" s="6" t="s">
        <v>37</v>
      </c>
      <c r="E11" s="13" t="s">
        <v>2830</v>
      </c>
      <c r="F11" s="13"/>
      <c r="G11" s="17">
        <v>9.6</v>
      </c>
      <c r="H11" s="16">
        <v>85</v>
      </c>
      <c r="I11" s="18">
        <v>5.4480000000000004</v>
      </c>
      <c r="J11" s="13"/>
      <c r="K11" s="13"/>
      <c r="L11" s="17">
        <f>G11-J11</f>
        <v>9.6</v>
      </c>
      <c r="M11" s="18">
        <f>L11*(H11*H11)*0.7854/10000</f>
        <v>5.4475343999999994</v>
      </c>
      <c r="N11" s="5"/>
      <c r="O11" s="8" t="s">
        <v>30</v>
      </c>
    </row>
    <row r="12" spans="1:15" x14ac:dyDescent="0.25">
      <c r="A12" s="13">
        <v>11</v>
      </c>
      <c r="B12" s="16">
        <v>11</v>
      </c>
      <c r="C12" s="13" t="s">
        <v>2838</v>
      </c>
      <c r="D12" s="6" t="s">
        <v>39</v>
      </c>
      <c r="E12" s="13" t="s">
        <v>2830</v>
      </c>
      <c r="F12" s="13"/>
      <c r="G12" s="17">
        <v>5.5</v>
      </c>
      <c r="H12" s="16">
        <v>73</v>
      </c>
      <c r="I12" s="18">
        <v>2.302</v>
      </c>
      <c r="J12" s="13"/>
      <c r="K12" s="13"/>
      <c r="L12" s="17">
        <f>G12-J12</f>
        <v>5.5</v>
      </c>
      <c r="M12" s="18">
        <f>L12*(H12*H12)*0.7854/10000</f>
        <v>2.3019681300000001</v>
      </c>
      <c r="N12" s="5"/>
      <c r="O12" s="8" t="s">
        <v>19</v>
      </c>
    </row>
    <row r="13" spans="1:15" x14ac:dyDescent="0.25">
      <c r="A13" s="13">
        <v>12</v>
      </c>
      <c r="B13" s="16">
        <v>12</v>
      </c>
      <c r="C13" s="13" t="s">
        <v>2839</v>
      </c>
      <c r="D13" s="6" t="s">
        <v>41</v>
      </c>
      <c r="E13" s="13" t="s">
        <v>2830</v>
      </c>
      <c r="F13" s="13"/>
      <c r="G13" s="17">
        <v>8.8000000000000007</v>
      </c>
      <c r="H13" s="16">
        <v>81</v>
      </c>
      <c r="I13" s="18">
        <v>4.5350000000000001</v>
      </c>
      <c r="J13" s="13"/>
      <c r="K13" s="13"/>
      <c r="L13" s="17">
        <f>G13-J13</f>
        <v>8.8000000000000007</v>
      </c>
      <c r="M13" s="18">
        <f>L13*(H13*H13)*0.7854/10000</f>
        <v>4.5346482720000001</v>
      </c>
      <c r="N13" s="5"/>
      <c r="O13" s="8" t="s">
        <v>19</v>
      </c>
    </row>
    <row r="14" spans="1:15" x14ac:dyDescent="0.25">
      <c r="A14" s="13">
        <v>13</v>
      </c>
      <c r="B14" s="16">
        <v>13</v>
      </c>
      <c r="C14" s="13" t="s">
        <v>2840</v>
      </c>
      <c r="D14" s="6" t="s">
        <v>43</v>
      </c>
      <c r="E14" s="13" t="s">
        <v>2830</v>
      </c>
      <c r="F14" s="13"/>
      <c r="G14" s="17">
        <v>11.3</v>
      </c>
      <c r="H14" s="16">
        <v>81</v>
      </c>
      <c r="I14" s="18">
        <v>5.8230000000000004</v>
      </c>
      <c r="J14" s="13"/>
      <c r="K14" s="13"/>
      <c r="L14" s="17">
        <f>G14-J14</f>
        <v>11.3</v>
      </c>
      <c r="M14" s="18">
        <f>L14*(H14*H14)*0.7854/10000</f>
        <v>5.8229006220000006</v>
      </c>
      <c r="N14" s="5"/>
      <c r="O14" s="8" t="s">
        <v>30</v>
      </c>
    </row>
    <row r="15" spans="1:15" s="14" customFormat="1" x14ac:dyDescent="0.25">
      <c r="A15" s="13">
        <v>14</v>
      </c>
      <c r="B15" s="16">
        <v>14</v>
      </c>
      <c r="C15" s="13" t="s">
        <v>2841</v>
      </c>
      <c r="D15" s="6">
        <v>4225</v>
      </c>
      <c r="E15" s="13" t="s">
        <v>2842</v>
      </c>
      <c r="F15" s="13"/>
      <c r="G15" s="17">
        <v>11.4</v>
      </c>
      <c r="H15" s="16">
        <v>66</v>
      </c>
      <c r="I15" s="18">
        <v>3.9</v>
      </c>
      <c r="J15" s="13"/>
      <c r="K15" s="13"/>
      <c r="L15" s="17">
        <f>G15-J15</f>
        <v>11.4</v>
      </c>
      <c r="M15" s="18">
        <f>L15*(H15*H15)*0.7854/10000</f>
        <v>3.9001707360000002</v>
      </c>
      <c r="N15" s="5"/>
      <c r="O15" s="8" t="s">
        <v>19</v>
      </c>
    </row>
    <row r="16" spans="1:15" s="14" customFormat="1" x14ac:dyDescent="0.25">
      <c r="A16" s="13">
        <v>15</v>
      </c>
      <c r="B16" s="16">
        <v>15</v>
      </c>
      <c r="C16" s="13" t="s">
        <v>2843</v>
      </c>
      <c r="D16" s="6" t="s">
        <v>46</v>
      </c>
      <c r="E16" s="13" t="s">
        <v>2842</v>
      </c>
      <c r="F16" s="13"/>
      <c r="G16" s="17">
        <v>9.4</v>
      </c>
      <c r="H16" s="16">
        <v>77</v>
      </c>
      <c r="I16" s="18">
        <v>4.3769999999999998</v>
      </c>
      <c r="J16" s="13"/>
      <c r="K16" s="13"/>
      <c r="L16" s="17">
        <f>G16-J16</f>
        <v>9.4</v>
      </c>
      <c r="M16" s="18">
        <f>L16*(H16*H16)*0.7854/10000</f>
        <v>4.3772384039999999</v>
      </c>
      <c r="N16" s="5"/>
      <c r="O16" s="8" t="s">
        <v>19</v>
      </c>
    </row>
    <row r="17" spans="1:15" s="14" customFormat="1" x14ac:dyDescent="0.25">
      <c r="A17" s="13">
        <v>16</v>
      </c>
      <c r="B17" s="16">
        <v>16</v>
      </c>
      <c r="C17" s="13" t="s">
        <v>2844</v>
      </c>
      <c r="D17" s="6" t="s">
        <v>48</v>
      </c>
      <c r="E17" s="13" t="s">
        <v>2842</v>
      </c>
      <c r="F17" s="13"/>
      <c r="G17" s="17">
        <v>5.7</v>
      </c>
      <c r="H17" s="16">
        <v>72</v>
      </c>
      <c r="I17" s="18">
        <v>2.3210000000000002</v>
      </c>
      <c r="J17" s="13"/>
      <c r="K17" s="13"/>
      <c r="L17" s="17">
        <f>G17-J17</f>
        <v>5.7</v>
      </c>
      <c r="M17" s="18">
        <f>L17*(H17*H17)*0.7854/10000</f>
        <v>2.3207627519999998</v>
      </c>
      <c r="N17" s="5"/>
      <c r="O17" s="8" t="s">
        <v>19</v>
      </c>
    </row>
    <row r="18" spans="1:15" s="14" customFormat="1" x14ac:dyDescent="0.25">
      <c r="A18" s="13">
        <v>17</v>
      </c>
      <c r="B18" s="16">
        <v>17</v>
      </c>
      <c r="C18" s="13" t="s">
        <v>2845</v>
      </c>
      <c r="D18" s="6" t="s">
        <v>50</v>
      </c>
      <c r="E18" s="13" t="s">
        <v>2842</v>
      </c>
      <c r="F18" s="13"/>
      <c r="G18" s="17">
        <v>11.5</v>
      </c>
      <c r="H18" s="16">
        <v>67</v>
      </c>
      <c r="I18" s="18">
        <v>4.0549999999999997</v>
      </c>
      <c r="J18" s="13"/>
      <c r="K18" s="13"/>
      <c r="L18" s="17">
        <f>G18-J18</f>
        <v>11.5</v>
      </c>
      <c r="M18" s="18">
        <f>L18*(H18*H18)*0.7854/10000</f>
        <v>4.0545096899999997</v>
      </c>
      <c r="N18" s="5"/>
      <c r="O18" s="8" t="s">
        <v>19</v>
      </c>
    </row>
    <row r="19" spans="1:15" s="14" customFormat="1" x14ac:dyDescent="0.25">
      <c r="A19" s="13">
        <v>18</v>
      </c>
      <c r="B19" s="16">
        <v>18</v>
      </c>
      <c r="C19" s="13" t="s">
        <v>2846</v>
      </c>
      <c r="D19" s="6" t="s">
        <v>52</v>
      </c>
      <c r="E19" s="13" t="s">
        <v>2842</v>
      </c>
      <c r="F19" s="13"/>
      <c r="G19" s="17">
        <v>7.5</v>
      </c>
      <c r="H19" s="16">
        <v>60</v>
      </c>
      <c r="I19" s="18">
        <v>2.121</v>
      </c>
      <c r="J19" s="13"/>
      <c r="K19" s="13"/>
      <c r="L19" s="17">
        <f>G19-J19</f>
        <v>7.5</v>
      </c>
      <c r="M19" s="18">
        <f>L19*(H19*H19)*0.7854/10000</f>
        <v>2.1205799999999999</v>
      </c>
      <c r="N19" s="5" t="s">
        <v>53</v>
      </c>
      <c r="O19" s="8" t="s">
        <v>19</v>
      </c>
    </row>
    <row r="20" spans="1:15" s="14" customFormat="1" x14ac:dyDescent="0.25">
      <c r="A20" s="13">
        <v>19</v>
      </c>
      <c r="B20" s="16">
        <v>19</v>
      </c>
      <c r="C20" s="13" t="s">
        <v>2847</v>
      </c>
      <c r="D20" s="6" t="s">
        <v>55</v>
      </c>
      <c r="E20" s="13" t="s">
        <v>2842</v>
      </c>
      <c r="F20" s="13"/>
      <c r="G20" s="17">
        <v>10</v>
      </c>
      <c r="H20" s="16">
        <v>88</v>
      </c>
      <c r="I20" s="18">
        <v>6.0819999999999999</v>
      </c>
      <c r="J20" s="13">
        <v>0.5</v>
      </c>
      <c r="K20" s="13"/>
      <c r="L20" s="17">
        <f>G20-J20</f>
        <v>9.5</v>
      </c>
      <c r="M20" s="18">
        <f>L20*(H20*H20)*0.7854/10000</f>
        <v>5.7780307199999994</v>
      </c>
      <c r="N20" s="5"/>
      <c r="O20" s="8" t="s">
        <v>19</v>
      </c>
    </row>
    <row r="21" spans="1:15" s="14" customFormat="1" x14ac:dyDescent="0.25">
      <c r="A21" s="13">
        <v>20</v>
      </c>
      <c r="B21" s="16">
        <v>20</v>
      </c>
      <c r="C21" s="13" t="s">
        <v>2848</v>
      </c>
      <c r="D21" s="6">
        <v>4473</v>
      </c>
      <c r="E21" s="13" t="s">
        <v>2842</v>
      </c>
      <c r="F21" s="13"/>
      <c r="G21" s="17">
        <v>10.6</v>
      </c>
      <c r="H21" s="16">
        <v>68</v>
      </c>
      <c r="I21" s="18">
        <v>3.85</v>
      </c>
      <c r="J21" s="13"/>
      <c r="K21" s="13"/>
      <c r="L21" s="17">
        <f>G21-J21</f>
        <v>10.6</v>
      </c>
      <c r="M21" s="18">
        <f>L21*(H21*H21)*0.7854/10000</f>
        <v>3.8495909760000004</v>
      </c>
      <c r="N21" s="5"/>
      <c r="O21" s="8" t="s">
        <v>19</v>
      </c>
    </row>
    <row r="22" spans="1:15" s="14" customFormat="1" x14ac:dyDescent="0.25">
      <c r="A22" s="13">
        <v>21</v>
      </c>
      <c r="B22" s="16">
        <v>21</v>
      </c>
      <c r="C22" s="13" t="s">
        <v>2849</v>
      </c>
      <c r="D22" s="6" t="s">
        <v>58</v>
      </c>
      <c r="E22" s="13" t="s">
        <v>2842</v>
      </c>
      <c r="F22" s="13"/>
      <c r="G22" s="17">
        <v>4.5999999999999996</v>
      </c>
      <c r="H22" s="16">
        <v>68</v>
      </c>
      <c r="I22" s="18">
        <v>1.671</v>
      </c>
      <c r="J22" s="13"/>
      <c r="K22" s="13"/>
      <c r="L22" s="17">
        <f>G22-J22</f>
        <v>4.5999999999999996</v>
      </c>
      <c r="M22" s="18">
        <f>L22*(H22*H22)*0.7854/10000</f>
        <v>1.6705772159999996</v>
      </c>
      <c r="N22" s="5"/>
      <c r="O22" s="8" t="s">
        <v>19</v>
      </c>
    </row>
    <row r="23" spans="1:15" s="14" customFormat="1" x14ac:dyDescent="0.25">
      <c r="A23" s="13">
        <v>22</v>
      </c>
      <c r="B23" s="16">
        <v>22</v>
      </c>
      <c r="C23" s="13" t="s">
        <v>2850</v>
      </c>
      <c r="D23" s="6">
        <v>4342</v>
      </c>
      <c r="E23" s="13" t="s">
        <v>2842</v>
      </c>
      <c r="F23" s="13"/>
      <c r="G23" s="17">
        <v>14</v>
      </c>
      <c r="H23" s="16">
        <v>89</v>
      </c>
      <c r="I23" s="18">
        <v>8.7100000000000009</v>
      </c>
      <c r="J23" s="13"/>
      <c r="K23" s="13"/>
      <c r="L23" s="17">
        <f>G23-J23</f>
        <v>14</v>
      </c>
      <c r="M23" s="18">
        <f>L23*(H23*H23)*0.7854/10000</f>
        <v>8.7096147599999991</v>
      </c>
      <c r="N23" s="5" t="s">
        <v>53</v>
      </c>
      <c r="O23" s="8" t="s">
        <v>30</v>
      </c>
    </row>
    <row r="24" spans="1:15" s="14" customFormat="1" x14ac:dyDescent="0.25">
      <c r="A24" s="13">
        <v>23</v>
      </c>
      <c r="B24" s="16">
        <v>23</v>
      </c>
      <c r="C24" s="13" t="s">
        <v>2851</v>
      </c>
      <c r="D24" s="6" t="s">
        <v>61</v>
      </c>
      <c r="E24" s="13" t="s">
        <v>2842</v>
      </c>
      <c r="F24" s="13"/>
      <c r="G24" s="17">
        <v>5.7</v>
      </c>
      <c r="H24" s="16">
        <v>97</v>
      </c>
      <c r="I24" s="18">
        <v>4.2119999999999997</v>
      </c>
      <c r="J24" s="13"/>
      <c r="K24" s="13"/>
      <c r="L24" s="17">
        <f>G24-J24</f>
        <v>5.7</v>
      </c>
      <c r="M24" s="18">
        <f>L24*(H24*H24)*0.7854/10000</f>
        <v>4.2122023019999997</v>
      </c>
      <c r="N24" s="5" t="s">
        <v>53</v>
      </c>
      <c r="O24" s="8" t="s">
        <v>19</v>
      </c>
    </row>
    <row r="25" spans="1:15" s="14" customFormat="1" x14ac:dyDescent="0.25">
      <c r="A25" s="13">
        <v>24</v>
      </c>
      <c r="B25" s="16">
        <v>24</v>
      </c>
      <c r="C25" s="13" t="s">
        <v>2852</v>
      </c>
      <c r="D25" s="6">
        <v>4237</v>
      </c>
      <c r="E25" s="13" t="s">
        <v>2853</v>
      </c>
      <c r="F25" s="13"/>
      <c r="G25" s="17">
        <v>11.6</v>
      </c>
      <c r="H25" s="16">
        <v>80</v>
      </c>
      <c r="I25" s="18">
        <v>5.8310000000000004</v>
      </c>
      <c r="J25" s="13"/>
      <c r="K25" s="13"/>
      <c r="L25" s="17">
        <f>G25-J25</f>
        <v>11.6</v>
      </c>
      <c r="M25" s="18">
        <f>L25*(H25*H25)*0.7854/10000</f>
        <v>5.8308095999999994</v>
      </c>
      <c r="N25" s="5"/>
      <c r="O25" s="8" t="s">
        <v>19</v>
      </c>
    </row>
    <row r="26" spans="1:15" s="14" customFormat="1" x14ac:dyDescent="0.25">
      <c r="A26" s="13">
        <v>25</v>
      </c>
      <c r="B26" s="16">
        <v>25</v>
      </c>
      <c r="C26" s="13" t="s">
        <v>2854</v>
      </c>
      <c r="D26" s="6">
        <v>4219</v>
      </c>
      <c r="E26" s="13" t="s">
        <v>2853</v>
      </c>
      <c r="F26" s="13"/>
      <c r="G26" s="17">
        <v>7.6</v>
      </c>
      <c r="H26" s="16">
        <v>76</v>
      </c>
      <c r="I26" s="18">
        <v>3.448</v>
      </c>
      <c r="J26" s="13"/>
      <c r="K26" s="13"/>
      <c r="L26" s="17">
        <f>G26-J26</f>
        <v>7.6</v>
      </c>
      <c r="M26" s="18">
        <f>L26*(H26*H26)*0.7854/10000</f>
        <v>3.4477175040000003</v>
      </c>
      <c r="N26" s="5"/>
      <c r="O26" s="8" t="s">
        <v>30</v>
      </c>
    </row>
    <row r="27" spans="1:15" s="14" customFormat="1" x14ac:dyDescent="0.25">
      <c r="A27" s="13">
        <v>26</v>
      </c>
      <c r="B27" s="16">
        <v>26</v>
      </c>
      <c r="C27" s="13" t="s">
        <v>2855</v>
      </c>
      <c r="D27" s="6">
        <v>4526</v>
      </c>
      <c r="E27" s="13" t="s">
        <v>2853</v>
      </c>
      <c r="F27" s="13"/>
      <c r="G27" s="17">
        <v>9.5</v>
      </c>
      <c r="H27" s="16">
        <v>77</v>
      </c>
      <c r="I27" s="18">
        <v>4.4240000000000004</v>
      </c>
      <c r="J27" s="13"/>
      <c r="K27" s="13"/>
      <c r="L27" s="17">
        <f>G27-J27</f>
        <v>9.5</v>
      </c>
      <c r="M27" s="18">
        <f>L27*(H27*H27)*0.7854/10000</f>
        <v>4.4238047700000003</v>
      </c>
      <c r="N27" s="5"/>
      <c r="O27" s="8" t="s">
        <v>19</v>
      </c>
    </row>
    <row r="28" spans="1:15" s="14" customFormat="1" x14ac:dyDescent="0.25">
      <c r="A28" s="13">
        <v>27</v>
      </c>
      <c r="B28" s="16">
        <v>27</v>
      </c>
      <c r="C28" s="13" t="s">
        <v>2856</v>
      </c>
      <c r="D28" s="6">
        <v>4520</v>
      </c>
      <c r="E28" s="13" t="s">
        <v>2853</v>
      </c>
      <c r="F28" s="13"/>
      <c r="G28" s="17">
        <v>12.9</v>
      </c>
      <c r="H28" s="16">
        <v>74</v>
      </c>
      <c r="I28" s="18">
        <v>5.548</v>
      </c>
      <c r="J28" s="13"/>
      <c r="K28" s="13"/>
      <c r="L28" s="17">
        <f>G28-J28</f>
        <v>12.9</v>
      </c>
      <c r="M28" s="18">
        <f>L28*(H28*H28)*0.7854/10000</f>
        <v>5.5480970160000007</v>
      </c>
      <c r="N28" s="5"/>
      <c r="O28" s="8" t="s">
        <v>19</v>
      </c>
    </row>
    <row r="29" spans="1:15" s="14" customFormat="1" x14ac:dyDescent="0.25">
      <c r="A29" s="13">
        <v>28</v>
      </c>
      <c r="B29" s="16">
        <v>28</v>
      </c>
      <c r="C29" s="13" t="s">
        <v>2857</v>
      </c>
      <c r="D29" s="6">
        <v>4401</v>
      </c>
      <c r="E29" s="13" t="s">
        <v>2853</v>
      </c>
      <c r="F29" s="13"/>
      <c r="G29" s="17">
        <v>10.5</v>
      </c>
      <c r="H29" s="16">
        <v>77</v>
      </c>
      <c r="I29" s="18">
        <v>4.8890000000000002</v>
      </c>
      <c r="J29" s="13">
        <v>0.5</v>
      </c>
      <c r="K29" s="13"/>
      <c r="L29" s="17">
        <f>G29-J29</f>
        <v>10</v>
      </c>
      <c r="M29" s="18">
        <f>L29*(H29*H29)*0.7854/10000</f>
        <v>4.6566366000000006</v>
      </c>
      <c r="N29" s="5"/>
      <c r="O29" s="8" t="s">
        <v>30</v>
      </c>
    </row>
    <row r="30" spans="1:15" s="14" customFormat="1" x14ac:dyDescent="0.25">
      <c r="A30" s="13">
        <v>29</v>
      </c>
      <c r="B30" s="16">
        <v>29</v>
      </c>
      <c r="C30" s="13" t="s">
        <v>2858</v>
      </c>
      <c r="D30" s="6">
        <v>4371</v>
      </c>
      <c r="E30" s="13" t="s">
        <v>2853</v>
      </c>
      <c r="F30" s="13"/>
      <c r="G30" s="17">
        <v>11.6</v>
      </c>
      <c r="H30" s="16">
        <v>93</v>
      </c>
      <c r="I30" s="18">
        <v>7.88</v>
      </c>
      <c r="J30" s="13">
        <v>0.3</v>
      </c>
      <c r="K30" s="13"/>
      <c r="L30" s="17">
        <f>G30-J30</f>
        <v>11.299999999999999</v>
      </c>
      <c r="M30" s="18">
        <f>L30*(H30*H30)*0.7854/10000</f>
        <v>7.6760047980000001</v>
      </c>
      <c r="N30" s="5"/>
      <c r="O30" s="8" t="s">
        <v>19</v>
      </c>
    </row>
    <row r="31" spans="1:15" s="14" customFormat="1" x14ac:dyDescent="0.25">
      <c r="A31" s="13">
        <v>30</v>
      </c>
      <c r="B31" s="16">
        <v>30</v>
      </c>
      <c r="C31" s="13" t="s">
        <v>2859</v>
      </c>
      <c r="D31" s="6">
        <v>4501</v>
      </c>
      <c r="E31" s="13" t="s">
        <v>2853</v>
      </c>
      <c r="F31" s="13"/>
      <c r="G31" s="17">
        <v>12.9</v>
      </c>
      <c r="H31" s="16">
        <v>79</v>
      </c>
      <c r="I31" s="18">
        <v>6.3230000000000004</v>
      </c>
      <c r="J31" s="13"/>
      <c r="K31" s="13"/>
      <c r="L31" s="17">
        <f>G31-J31</f>
        <v>12.9</v>
      </c>
      <c r="M31" s="18">
        <f>L31*(H31*H31)*0.7854/10000</f>
        <v>6.3231690060000005</v>
      </c>
      <c r="N31" s="5"/>
      <c r="O31" s="8" t="s">
        <v>19</v>
      </c>
    </row>
    <row r="32" spans="1:15" s="14" customFormat="1" x14ac:dyDescent="0.25">
      <c r="A32" s="13">
        <v>31</v>
      </c>
      <c r="B32" s="16">
        <v>31</v>
      </c>
      <c r="C32" s="13" t="s">
        <v>2860</v>
      </c>
      <c r="D32" s="6">
        <v>4483</v>
      </c>
      <c r="E32" s="13" t="s">
        <v>2853</v>
      </c>
      <c r="F32" s="13"/>
      <c r="G32" s="17">
        <v>10.3</v>
      </c>
      <c r="H32" s="16">
        <v>74</v>
      </c>
      <c r="I32" s="18">
        <v>4.43</v>
      </c>
      <c r="J32" s="13"/>
      <c r="K32" s="13"/>
      <c r="L32" s="17">
        <f>G32-J32</f>
        <v>10.3</v>
      </c>
      <c r="M32" s="18">
        <f>L32*(H32*H32)*0.7854/10000</f>
        <v>4.429875912</v>
      </c>
      <c r="N32" s="5"/>
      <c r="O32" s="8" t="s">
        <v>19</v>
      </c>
    </row>
    <row r="33" spans="1:15" s="14" customFormat="1" x14ac:dyDescent="0.25">
      <c r="A33" s="13">
        <v>32</v>
      </c>
      <c r="B33" s="16">
        <v>32</v>
      </c>
      <c r="C33" s="13" t="s">
        <v>2861</v>
      </c>
      <c r="D33" s="6">
        <v>2613</v>
      </c>
      <c r="E33" s="13" t="s">
        <v>2862</v>
      </c>
      <c r="F33" s="13"/>
      <c r="G33" s="17">
        <v>9.3000000000000007</v>
      </c>
      <c r="H33" s="16">
        <v>73</v>
      </c>
      <c r="I33" s="18">
        <v>3.8919999999999999</v>
      </c>
      <c r="J33" s="13">
        <v>0.3</v>
      </c>
      <c r="K33" s="13"/>
      <c r="L33" s="17">
        <f>G33-J33</f>
        <v>9</v>
      </c>
      <c r="M33" s="18">
        <f>L33*(H33*H33)*0.7854/10000</f>
        <v>3.7668569399999998</v>
      </c>
      <c r="N33" s="5"/>
      <c r="O33" s="8" t="s">
        <v>19</v>
      </c>
    </row>
    <row r="34" spans="1:15" s="14" customFormat="1" x14ac:dyDescent="0.25">
      <c r="A34" s="13">
        <v>33</v>
      </c>
      <c r="B34" s="16">
        <v>33</v>
      </c>
      <c r="C34" s="13" t="s">
        <v>2863</v>
      </c>
      <c r="D34" s="6">
        <v>2614</v>
      </c>
      <c r="E34" s="13" t="s">
        <v>2862</v>
      </c>
      <c r="F34" s="13"/>
      <c r="G34" s="17">
        <v>9.3000000000000007</v>
      </c>
      <c r="H34" s="16">
        <v>68</v>
      </c>
      <c r="I34" s="18">
        <v>3.3769999999999998</v>
      </c>
      <c r="J34" s="13"/>
      <c r="K34" s="13"/>
      <c r="L34" s="17">
        <f>G34-J34</f>
        <v>9.3000000000000007</v>
      </c>
      <c r="M34" s="18">
        <f>L34*(H34*H34)*0.7854/10000</f>
        <v>3.3774713280000004</v>
      </c>
      <c r="N34" s="5"/>
      <c r="O34" s="8" t="s">
        <v>19</v>
      </c>
    </row>
    <row r="35" spans="1:15" s="14" customFormat="1" x14ac:dyDescent="0.25">
      <c r="A35" s="13">
        <v>34</v>
      </c>
      <c r="B35" s="16">
        <v>34</v>
      </c>
      <c r="C35" s="13" t="s">
        <v>2864</v>
      </c>
      <c r="D35" s="6">
        <v>2603</v>
      </c>
      <c r="E35" s="13" t="s">
        <v>2862</v>
      </c>
      <c r="F35" s="13"/>
      <c r="G35" s="17">
        <v>10</v>
      </c>
      <c r="H35" s="16">
        <v>84</v>
      </c>
      <c r="I35" s="18">
        <v>5.5419999999999998</v>
      </c>
      <c r="J35" s="13"/>
      <c r="K35" s="13"/>
      <c r="L35" s="17">
        <f>G35-J35</f>
        <v>10</v>
      </c>
      <c r="M35" s="18">
        <f>L35*(H35*H35)*0.7854/10000</f>
        <v>5.5417823999999998</v>
      </c>
      <c r="N35" s="5"/>
      <c r="O35" s="8" t="s">
        <v>19</v>
      </c>
    </row>
    <row r="36" spans="1:15" s="14" customFormat="1" x14ac:dyDescent="0.25">
      <c r="A36" s="13">
        <v>35</v>
      </c>
      <c r="B36" s="16">
        <v>35</v>
      </c>
      <c r="C36" s="13" t="s">
        <v>2865</v>
      </c>
      <c r="D36" s="6">
        <v>2605</v>
      </c>
      <c r="E36" s="13" t="s">
        <v>2862</v>
      </c>
      <c r="F36" s="13"/>
      <c r="G36" s="17">
        <v>10.6</v>
      </c>
      <c r="H36" s="16">
        <v>80</v>
      </c>
      <c r="I36" s="18">
        <v>5.3280000000000003</v>
      </c>
      <c r="J36" s="13"/>
      <c r="K36" s="13"/>
      <c r="L36" s="17">
        <f>G36-J36</f>
        <v>10.6</v>
      </c>
      <c r="M36" s="18">
        <f>L36*(H36*H36)*0.7854/10000</f>
        <v>5.3281536000000003</v>
      </c>
      <c r="N36" s="5" t="s">
        <v>21</v>
      </c>
      <c r="O36" s="8" t="s">
        <v>19</v>
      </c>
    </row>
    <row r="37" spans="1:15" s="14" customFormat="1" x14ac:dyDescent="0.25">
      <c r="A37" s="13">
        <v>36</v>
      </c>
      <c r="B37" s="16">
        <v>36</v>
      </c>
      <c r="C37" s="13" t="s">
        <v>2866</v>
      </c>
      <c r="D37" s="6">
        <v>2606</v>
      </c>
      <c r="E37" s="13" t="s">
        <v>2862</v>
      </c>
      <c r="F37" s="13"/>
      <c r="G37" s="17">
        <v>6.9</v>
      </c>
      <c r="H37" s="16">
        <v>80</v>
      </c>
      <c r="I37" s="18">
        <v>3.468</v>
      </c>
      <c r="J37" s="13"/>
      <c r="K37" s="13"/>
      <c r="L37" s="17">
        <f>G37-J37</f>
        <v>6.9</v>
      </c>
      <c r="M37" s="18">
        <f>L37*(H37*H37)*0.7854/10000</f>
        <v>3.4683264000000005</v>
      </c>
      <c r="N37" s="5" t="s">
        <v>53</v>
      </c>
      <c r="O37" s="8" t="s">
        <v>19</v>
      </c>
    </row>
    <row r="38" spans="1:15" s="14" customFormat="1" x14ac:dyDescent="0.25">
      <c r="A38" s="13">
        <v>37</v>
      </c>
      <c r="B38" s="16">
        <v>37</v>
      </c>
      <c r="C38" s="13" t="s">
        <v>2867</v>
      </c>
      <c r="D38" s="6" t="s">
        <v>76</v>
      </c>
      <c r="E38" s="13" t="s">
        <v>2862</v>
      </c>
      <c r="F38" s="13"/>
      <c r="G38" s="17">
        <v>4.9000000000000004</v>
      </c>
      <c r="H38" s="16">
        <v>84</v>
      </c>
      <c r="I38" s="18">
        <v>2.7149999999999999</v>
      </c>
      <c r="J38" s="13"/>
      <c r="K38" s="13"/>
      <c r="L38" s="17">
        <f>G38-J38</f>
        <v>4.9000000000000004</v>
      </c>
      <c r="M38" s="18">
        <f>L38*(H38*H38)*0.7854/10000</f>
        <v>2.7154733759999998</v>
      </c>
      <c r="N38" s="5"/>
      <c r="O38" s="8" t="s">
        <v>30</v>
      </c>
    </row>
    <row r="39" spans="1:15" s="14" customFormat="1" x14ac:dyDescent="0.25">
      <c r="A39" s="13">
        <v>38</v>
      </c>
      <c r="B39" s="16">
        <v>38</v>
      </c>
      <c r="C39" s="13" t="s">
        <v>2868</v>
      </c>
      <c r="D39" s="6">
        <v>2610</v>
      </c>
      <c r="E39" s="13" t="s">
        <v>2862</v>
      </c>
      <c r="F39" s="13"/>
      <c r="G39" s="17">
        <v>12.3</v>
      </c>
      <c r="H39" s="16">
        <v>81</v>
      </c>
      <c r="I39" s="18">
        <v>6.3380000000000001</v>
      </c>
      <c r="J39" s="13">
        <v>0.4</v>
      </c>
      <c r="K39" s="13"/>
      <c r="L39" s="17">
        <f>G39-J39</f>
        <v>11.9</v>
      </c>
      <c r="M39" s="18">
        <f>L39*(H39*H39)*0.7854/10000</f>
        <v>6.1320811860000006</v>
      </c>
      <c r="N39" s="5"/>
      <c r="O39" s="8" t="s">
        <v>19</v>
      </c>
    </row>
    <row r="40" spans="1:15" s="14" customFormat="1" x14ac:dyDescent="0.25">
      <c r="A40" s="13">
        <v>39</v>
      </c>
      <c r="B40" s="16">
        <v>39</v>
      </c>
      <c r="C40" s="13" t="s">
        <v>2869</v>
      </c>
      <c r="D40" s="6">
        <v>2612</v>
      </c>
      <c r="E40" s="13" t="s">
        <v>2862</v>
      </c>
      <c r="F40" s="13"/>
      <c r="G40" s="17">
        <v>11.9</v>
      </c>
      <c r="H40" s="16">
        <v>83</v>
      </c>
      <c r="I40" s="18">
        <v>6.4390000000000001</v>
      </c>
      <c r="J40" s="13"/>
      <c r="K40" s="13"/>
      <c r="L40" s="17">
        <f>G40-J40</f>
        <v>11.9</v>
      </c>
      <c r="M40" s="18">
        <f>L40*(H40*H40)*0.7854/10000</f>
        <v>6.4386385140000009</v>
      </c>
      <c r="N40" s="5"/>
      <c r="O40" s="8" t="s">
        <v>19</v>
      </c>
    </row>
    <row r="41" spans="1:15" s="14" customFormat="1" x14ac:dyDescent="0.25">
      <c r="A41" s="13">
        <v>40</v>
      </c>
      <c r="B41" s="16">
        <v>40</v>
      </c>
      <c r="C41" s="13" t="s">
        <v>2870</v>
      </c>
      <c r="D41" s="6" t="s">
        <v>80</v>
      </c>
      <c r="E41" s="13" t="s">
        <v>2862</v>
      </c>
      <c r="F41" s="13"/>
      <c r="G41" s="17">
        <v>9.4</v>
      </c>
      <c r="H41" s="16">
        <v>86</v>
      </c>
      <c r="I41" s="18">
        <v>5.46</v>
      </c>
      <c r="J41" s="13"/>
      <c r="K41" s="13"/>
      <c r="L41" s="17">
        <f>G41-J41</f>
        <v>9.4</v>
      </c>
      <c r="M41" s="18">
        <f>L41*(H41*H41)*0.7854/10000</f>
        <v>5.4602892960000009</v>
      </c>
      <c r="N41" s="5"/>
      <c r="O41" s="8" t="s">
        <v>30</v>
      </c>
    </row>
    <row r="42" spans="1:15" s="14" customFormat="1" x14ac:dyDescent="0.25">
      <c r="A42" s="13">
        <v>41</v>
      </c>
      <c r="B42" s="16">
        <v>41</v>
      </c>
      <c r="C42" s="13" t="s">
        <v>2871</v>
      </c>
      <c r="D42" s="6">
        <v>2446</v>
      </c>
      <c r="E42" s="13" t="s">
        <v>2862</v>
      </c>
      <c r="F42" s="13"/>
      <c r="G42" s="17">
        <v>9.8000000000000007</v>
      </c>
      <c r="H42" s="16">
        <v>76</v>
      </c>
      <c r="I42" s="18">
        <v>4.4459999999999997</v>
      </c>
      <c r="J42" s="13"/>
      <c r="K42" s="13"/>
      <c r="L42" s="17">
        <f>G42-J42</f>
        <v>9.8000000000000007</v>
      </c>
      <c r="M42" s="18">
        <f>L42*(H42*H42)*0.7854/10000</f>
        <v>4.4457409920000002</v>
      </c>
      <c r="N42" s="5"/>
      <c r="O42" s="8" t="s">
        <v>19</v>
      </c>
    </row>
    <row r="43" spans="1:15" s="14" customFormat="1" x14ac:dyDescent="0.25">
      <c r="A43" s="13">
        <v>42</v>
      </c>
      <c r="B43" s="16">
        <v>42</v>
      </c>
      <c r="C43" s="13" t="s">
        <v>2872</v>
      </c>
      <c r="D43" s="6">
        <v>2447</v>
      </c>
      <c r="E43" s="13" t="s">
        <v>2862</v>
      </c>
      <c r="F43" s="13"/>
      <c r="G43" s="17">
        <v>10.9</v>
      </c>
      <c r="H43" s="16">
        <v>73</v>
      </c>
      <c r="I43" s="18">
        <v>4.5620000000000003</v>
      </c>
      <c r="J43" s="13"/>
      <c r="K43" s="13"/>
      <c r="L43" s="17">
        <f>G43-J43</f>
        <v>10.9</v>
      </c>
      <c r="M43" s="18">
        <f>L43*(H43*H43)*0.7854/10000</f>
        <v>4.5620822939999996</v>
      </c>
      <c r="N43" s="5"/>
      <c r="O43" s="8" t="s">
        <v>19</v>
      </c>
    </row>
    <row r="44" spans="1:15" s="14" customFormat="1" x14ac:dyDescent="0.25">
      <c r="A44" s="13">
        <v>43</v>
      </c>
      <c r="B44" s="16">
        <v>43</v>
      </c>
      <c r="C44" s="13" t="s">
        <v>2873</v>
      </c>
      <c r="D44" s="6">
        <v>2448</v>
      </c>
      <c r="E44" s="13" t="s">
        <v>2862</v>
      </c>
      <c r="F44" s="13"/>
      <c r="G44" s="17">
        <v>12.5</v>
      </c>
      <c r="H44" s="16">
        <v>81</v>
      </c>
      <c r="I44" s="18">
        <v>6.4409999999999998</v>
      </c>
      <c r="J44" s="13"/>
      <c r="K44" s="13"/>
      <c r="L44" s="17">
        <f>G44-J44</f>
        <v>12.5</v>
      </c>
      <c r="M44" s="18">
        <f>L44*(H44*H44)*0.7854/10000</f>
        <v>6.4412617499999998</v>
      </c>
      <c r="N44" s="5"/>
      <c r="O44" s="8" t="s">
        <v>30</v>
      </c>
    </row>
    <row r="45" spans="1:15" s="14" customFormat="1" x14ac:dyDescent="0.25">
      <c r="A45" s="13">
        <v>44</v>
      </c>
      <c r="B45" s="16">
        <v>44</v>
      </c>
      <c r="C45" s="13" t="s">
        <v>2874</v>
      </c>
      <c r="D45" s="6">
        <v>2449</v>
      </c>
      <c r="E45" s="13" t="s">
        <v>2862</v>
      </c>
      <c r="F45" s="13"/>
      <c r="G45" s="17">
        <v>11.7</v>
      </c>
      <c r="H45" s="16">
        <v>81</v>
      </c>
      <c r="I45" s="18">
        <v>6.0289999999999999</v>
      </c>
      <c r="J45" s="13">
        <v>0.4</v>
      </c>
      <c r="K45" s="13"/>
      <c r="L45" s="17">
        <f>G45-J45</f>
        <v>11.299999999999999</v>
      </c>
      <c r="M45" s="18">
        <f>L45*(H45*H45)*0.7854/10000</f>
        <v>5.8229006219999988</v>
      </c>
      <c r="N45" s="5"/>
      <c r="O45" s="8" t="s">
        <v>19</v>
      </c>
    </row>
    <row r="46" spans="1:15" s="14" customFormat="1" x14ac:dyDescent="0.25">
      <c r="A46" s="13">
        <v>45</v>
      </c>
      <c r="B46" s="16">
        <v>45</v>
      </c>
      <c r="C46" s="13" t="s">
        <v>2875</v>
      </c>
      <c r="D46" s="6" t="s">
        <v>86</v>
      </c>
      <c r="E46" s="13" t="s">
        <v>2862</v>
      </c>
      <c r="F46" s="13"/>
      <c r="G46" s="17">
        <v>10.7</v>
      </c>
      <c r="H46" s="16">
        <v>70</v>
      </c>
      <c r="I46" s="18">
        <v>4.1180000000000003</v>
      </c>
      <c r="J46" s="13"/>
      <c r="K46" s="13"/>
      <c r="L46" s="17">
        <f>G46-J46</f>
        <v>10.7</v>
      </c>
      <c r="M46" s="18">
        <f>L46*(H46*H46)*0.7854/10000</f>
        <v>4.1178521999999997</v>
      </c>
      <c r="N46" s="5"/>
      <c r="O46" s="8" t="s">
        <v>19</v>
      </c>
    </row>
    <row r="47" spans="1:15" s="14" customFormat="1" x14ac:dyDescent="0.25">
      <c r="A47" s="13">
        <v>46</v>
      </c>
      <c r="B47" s="16">
        <v>46</v>
      </c>
      <c r="C47" s="13" t="s">
        <v>2876</v>
      </c>
      <c r="D47" s="6">
        <v>3488</v>
      </c>
      <c r="E47" s="13" t="s">
        <v>2862</v>
      </c>
      <c r="F47" s="13"/>
      <c r="G47" s="17">
        <v>9.5</v>
      </c>
      <c r="H47" s="16">
        <v>93</v>
      </c>
      <c r="I47" s="18">
        <v>6.4530000000000003</v>
      </c>
      <c r="J47" s="13">
        <v>0.3</v>
      </c>
      <c r="K47" s="13"/>
      <c r="L47" s="17">
        <f>G47-J47</f>
        <v>9.1999999999999993</v>
      </c>
      <c r="M47" s="18">
        <f>L47*(H47*H47)*0.7854/10000</f>
        <v>6.2494906319999988</v>
      </c>
      <c r="N47" s="5"/>
      <c r="O47" s="8" t="s">
        <v>19</v>
      </c>
    </row>
    <row r="48" spans="1:15" s="14" customFormat="1" x14ac:dyDescent="0.25">
      <c r="A48" s="13">
        <v>47</v>
      </c>
      <c r="B48" s="16">
        <v>47</v>
      </c>
      <c r="C48" s="13" t="s">
        <v>2877</v>
      </c>
      <c r="D48" s="6">
        <v>2444</v>
      </c>
      <c r="E48" s="13" t="s">
        <v>2862</v>
      </c>
      <c r="F48" s="13"/>
      <c r="G48" s="17">
        <v>11.2</v>
      </c>
      <c r="H48" s="16">
        <v>73</v>
      </c>
      <c r="I48" s="18">
        <v>4.6879999999999997</v>
      </c>
      <c r="J48" s="13"/>
      <c r="K48" s="13"/>
      <c r="L48" s="17">
        <f>G48-J48</f>
        <v>11.2</v>
      </c>
      <c r="M48" s="18">
        <f>L48*(H48*H48)*0.7854/10000</f>
        <v>4.6876441919999996</v>
      </c>
      <c r="N48" s="5"/>
      <c r="O48" s="8" t="s">
        <v>19</v>
      </c>
    </row>
    <row r="49" spans="1:15" s="14" customFormat="1" x14ac:dyDescent="0.25">
      <c r="A49" s="13">
        <v>48</v>
      </c>
      <c r="B49" s="16">
        <v>48</v>
      </c>
      <c r="C49" s="13" t="s">
        <v>2878</v>
      </c>
      <c r="D49" s="6">
        <v>3458</v>
      </c>
      <c r="E49" s="13" t="s">
        <v>2862</v>
      </c>
      <c r="F49" s="13"/>
      <c r="G49" s="17">
        <v>8.6</v>
      </c>
      <c r="H49" s="16">
        <v>75</v>
      </c>
      <c r="I49" s="18">
        <v>3.7989999999999999</v>
      </c>
      <c r="J49" s="13"/>
      <c r="K49" s="13"/>
      <c r="L49" s="17">
        <f>G49-J49</f>
        <v>8.6</v>
      </c>
      <c r="M49" s="18">
        <f>L49*(H49*H49)*0.7854/10000</f>
        <v>3.7993725</v>
      </c>
      <c r="N49" s="5"/>
      <c r="O49" s="8" t="s">
        <v>19</v>
      </c>
    </row>
    <row r="50" spans="1:15" s="14" customFormat="1" x14ac:dyDescent="0.25">
      <c r="A50" s="13">
        <v>49</v>
      </c>
      <c r="B50" s="16">
        <v>49</v>
      </c>
      <c r="C50" s="13" t="s">
        <v>2879</v>
      </c>
      <c r="D50" s="6">
        <v>3460</v>
      </c>
      <c r="E50" s="13" t="s">
        <v>2862</v>
      </c>
      <c r="F50" s="13"/>
      <c r="G50" s="17">
        <v>7.5</v>
      </c>
      <c r="H50" s="16">
        <v>79</v>
      </c>
      <c r="I50" s="18">
        <v>3.6760000000000002</v>
      </c>
      <c r="J50" s="13"/>
      <c r="K50" s="13"/>
      <c r="L50" s="17">
        <f>G50-J50</f>
        <v>7.5</v>
      </c>
      <c r="M50" s="18">
        <f>L50*(H50*H50)*0.7854/10000</f>
        <v>3.6762610500000004</v>
      </c>
      <c r="N50" s="5"/>
      <c r="O50" s="8" t="s">
        <v>19</v>
      </c>
    </row>
    <row r="51" spans="1:15" s="14" customFormat="1" x14ac:dyDescent="0.25">
      <c r="A51" s="13">
        <v>50</v>
      </c>
      <c r="B51" s="16">
        <v>50</v>
      </c>
      <c r="C51" s="13" t="s">
        <v>2880</v>
      </c>
      <c r="D51" s="6">
        <v>3463</v>
      </c>
      <c r="E51" s="13" t="s">
        <v>2862</v>
      </c>
      <c r="F51" s="13"/>
      <c r="G51" s="17">
        <v>7.4</v>
      </c>
      <c r="H51" s="16">
        <v>110</v>
      </c>
      <c r="I51" s="18">
        <v>7.032</v>
      </c>
      <c r="J51" s="13"/>
      <c r="K51" s="13"/>
      <c r="L51" s="17">
        <f>G51-J51</f>
        <v>7.4</v>
      </c>
      <c r="M51" s="18">
        <f>L51*(H51*H51)*0.7854/10000</f>
        <v>7.0324716</v>
      </c>
      <c r="N51" s="5"/>
      <c r="O51" s="8" t="s">
        <v>19</v>
      </c>
    </row>
    <row r="52" spans="1:15" s="14" customFormat="1" x14ac:dyDescent="0.25">
      <c r="A52" s="13">
        <v>51</v>
      </c>
      <c r="B52" s="16">
        <v>51</v>
      </c>
      <c r="C52" s="13" t="s">
        <v>2881</v>
      </c>
      <c r="D52" s="6">
        <v>3466</v>
      </c>
      <c r="E52" s="13" t="s">
        <v>2862</v>
      </c>
      <c r="F52" s="13"/>
      <c r="G52" s="17">
        <v>12.2</v>
      </c>
      <c r="H52" s="16">
        <v>85</v>
      </c>
      <c r="I52" s="18">
        <v>6.923</v>
      </c>
      <c r="J52" s="13"/>
      <c r="K52" s="13"/>
      <c r="L52" s="17">
        <f>G52-J52</f>
        <v>12.2</v>
      </c>
      <c r="M52" s="18">
        <f>L52*(H52*H52)*0.7854/10000</f>
        <v>6.9229082999999996</v>
      </c>
      <c r="N52" s="5"/>
      <c r="O52" s="8" t="s">
        <v>19</v>
      </c>
    </row>
    <row r="53" spans="1:15" s="14" customFormat="1" x14ac:dyDescent="0.25">
      <c r="A53" s="13">
        <v>52</v>
      </c>
      <c r="B53" s="16">
        <v>52</v>
      </c>
      <c r="C53" s="13" t="s">
        <v>2882</v>
      </c>
      <c r="D53" s="6">
        <v>3448</v>
      </c>
      <c r="E53" s="13" t="s">
        <v>2862</v>
      </c>
      <c r="F53" s="13"/>
      <c r="G53" s="17">
        <v>13.3</v>
      </c>
      <c r="H53" s="16">
        <v>79</v>
      </c>
      <c r="I53" s="18">
        <v>6.5190000000000001</v>
      </c>
      <c r="J53" s="13"/>
      <c r="K53" s="13"/>
      <c r="L53" s="17">
        <f>G53-J53</f>
        <v>13.3</v>
      </c>
      <c r="M53" s="18">
        <f>L53*(H53*H53)*0.7854/10000</f>
        <v>6.5192362619999997</v>
      </c>
      <c r="N53" s="5"/>
      <c r="O53" s="8" t="s">
        <v>30</v>
      </c>
    </row>
    <row r="54" spans="1:15" s="14" customFormat="1" x14ac:dyDescent="0.25">
      <c r="A54" s="13">
        <v>53</v>
      </c>
      <c r="B54" s="16">
        <v>53</v>
      </c>
      <c r="C54" s="13" t="s">
        <v>2883</v>
      </c>
      <c r="D54" s="6">
        <v>3451</v>
      </c>
      <c r="E54" s="13" t="s">
        <v>2862</v>
      </c>
      <c r="F54" s="13"/>
      <c r="G54" s="17">
        <v>10</v>
      </c>
      <c r="H54" s="16">
        <v>88</v>
      </c>
      <c r="I54" s="18">
        <v>6.0819999999999999</v>
      </c>
      <c r="J54" s="13"/>
      <c r="K54" s="13"/>
      <c r="L54" s="17">
        <f>G54-J54</f>
        <v>10</v>
      </c>
      <c r="M54" s="18">
        <f>L54*(H54*H54)*0.7854/10000</f>
        <v>6.0821375999999994</v>
      </c>
      <c r="N54" s="5"/>
      <c r="O54" s="8" t="s">
        <v>19</v>
      </c>
    </row>
    <row r="55" spans="1:15" s="14" customFormat="1" x14ac:dyDescent="0.25">
      <c r="A55" s="13">
        <v>54</v>
      </c>
      <c r="B55" s="16">
        <v>54</v>
      </c>
      <c r="C55" s="13" t="s">
        <v>2884</v>
      </c>
      <c r="D55" s="6">
        <v>3454</v>
      </c>
      <c r="E55" s="13" t="s">
        <v>2862</v>
      </c>
      <c r="F55" s="13"/>
      <c r="G55" s="17">
        <v>12.6</v>
      </c>
      <c r="H55" s="16">
        <v>90</v>
      </c>
      <c r="I55" s="18">
        <v>8.016</v>
      </c>
      <c r="J55" s="13"/>
      <c r="K55" s="13"/>
      <c r="L55" s="17">
        <f>G55-J55</f>
        <v>12.6</v>
      </c>
      <c r="M55" s="18">
        <f>L55*(H55*H55)*0.7854/10000</f>
        <v>8.0157924000000005</v>
      </c>
      <c r="N55" s="5"/>
      <c r="O55" s="8" t="s">
        <v>19</v>
      </c>
    </row>
    <row r="56" spans="1:15" s="14" customFormat="1" x14ac:dyDescent="0.25">
      <c r="A56" s="13">
        <v>55</v>
      </c>
      <c r="B56" s="16">
        <v>55</v>
      </c>
      <c r="C56" s="13" t="s">
        <v>2885</v>
      </c>
      <c r="D56" s="6" t="s">
        <v>97</v>
      </c>
      <c r="E56" s="13" t="s">
        <v>2862</v>
      </c>
      <c r="F56" s="13"/>
      <c r="G56" s="17">
        <v>9.1999999999999993</v>
      </c>
      <c r="H56" s="16">
        <v>93</v>
      </c>
      <c r="I56" s="18">
        <v>6.2489999999999997</v>
      </c>
      <c r="J56" s="13"/>
      <c r="K56" s="13"/>
      <c r="L56" s="17">
        <f>G56-J56</f>
        <v>9.1999999999999993</v>
      </c>
      <c r="M56" s="18">
        <f>L56*(H56*H56)*0.7854/10000</f>
        <v>6.2494906319999988</v>
      </c>
      <c r="N56" s="5"/>
      <c r="O56" s="8" t="s">
        <v>30</v>
      </c>
    </row>
    <row r="57" spans="1:15" s="14" customFormat="1" x14ac:dyDescent="0.25">
      <c r="A57" s="13">
        <v>56</v>
      </c>
      <c r="B57" s="16">
        <v>56</v>
      </c>
      <c r="C57" s="13" t="s">
        <v>2886</v>
      </c>
      <c r="D57" s="6" t="s">
        <v>99</v>
      </c>
      <c r="E57" s="13" t="s">
        <v>2862</v>
      </c>
      <c r="F57" s="13"/>
      <c r="G57" s="17">
        <v>5.5</v>
      </c>
      <c r="H57" s="16">
        <v>75</v>
      </c>
      <c r="I57" s="18">
        <v>2.4300000000000002</v>
      </c>
      <c r="J57" s="13"/>
      <c r="K57" s="13"/>
      <c r="L57" s="17">
        <f>G57-J57</f>
        <v>5.5</v>
      </c>
      <c r="M57" s="18">
        <f>L57*(H57*H57)*0.7854/10000</f>
        <v>2.4298312499999999</v>
      </c>
      <c r="N57" s="5"/>
      <c r="O57" s="8" t="s">
        <v>19</v>
      </c>
    </row>
    <row r="58" spans="1:15" s="14" customFormat="1" x14ac:dyDescent="0.25">
      <c r="A58" s="13">
        <v>57</v>
      </c>
      <c r="B58" s="16">
        <v>57</v>
      </c>
      <c r="C58" s="13" t="s">
        <v>2887</v>
      </c>
      <c r="D58" s="6">
        <v>2439</v>
      </c>
      <c r="E58" s="13" t="s">
        <v>2862</v>
      </c>
      <c r="F58" s="13"/>
      <c r="G58" s="17">
        <v>8</v>
      </c>
      <c r="H58" s="16">
        <v>69</v>
      </c>
      <c r="I58" s="18">
        <v>2.9910000000000001</v>
      </c>
      <c r="J58" s="13">
        <v>0.5</v>
      </c>
      <c r="K58" s="13"/>
      <c r="L58" s="17">
        <f>G58-J58</f>
        <v>7.5</v>
      </c>
      <c r="M58" s="18">
        <f>L58*(H58*H58)*0.7854/10000</f>
        <v>2.80446705</v>
      </c>
      <c r="N58" s="5"/>
      <c r="O58" s="8" t="s">
        <v>19</v>
      </c>
    </row>
    <row r="59" spans="1:15" s="14" customFormat="1" x14ac:dyDescent="0.25">
      <c r="A59" s="13">
        <v>58</v>
      </c>
      <c r="B59" s="16">
        <v>58</v>
      </c>
      <c r="C59" s="13" t="s">
        <v>2888</v>
      </c>
      <c r="D59" s="6">
        <v>2440</v>
      </c>
      <c r="E59" s="13" t="s">
        <v>2862</v>
      </c>
      <c r="F59" s="13"/>
      <c r="G59" s="17">
        <v>13.6</v>
      </c>
      <c r="H59" s="16">
        <v>105</v>
      </c>
      <c r="I59" s="18">
        <v>11.776</v>
      </c>
      <c r="J59" s="13"/>
      <c r="K59" s="13"/>
      <c r="L59" s="17">
        <f>G59-J59</f>
        <v>13.6</v>
      </c>
      <c r="M59" s="18">
        <f>L59*(H59*H59)*0.7854/10000</f>
        <v>11.7762876</v>
      </c>
      <c r="N59" s="5"/>
      <c r="O59" s="8" t="s">
        <v>30</v>
      </c>
    </row>
    <row r="60" spans="1:15" s="14" customFormat="1" x14ac:dyDescent="0.25">
      <c r="A60" s="13">
        <v>59</v>
      </c>
      <c r="B60" s="16">
        <v>59</v>
      </c>
      <c r="C60" s="13" t="s">
        <v>2889</v>
      </c>
      <c r="D60" s="6" t="s">
        <v>103</v>
      </c>
      <c r="E60" s="13" t="s">
        <v>2862</v>
      </c>
      <c r="F60" s="13"/>
      <c r="G60" s="17">
        <v>10.6</v>
      </c>
      <c r="H60" s="16">
        <v>79</v>
      </c>
      <c r="I60" s="18">
        <v>5.1959999999999997</v>
      </c>
      <c r="J60" s="13">
        <v>0.3</v>
      </c>
      <c r="K60" s="13"/>
      <c r="L60" s="17">
        <f>G60-J60</f>
        <v>10.299999999999999</v>
      </c>
      <c r="M60" s="18">
        <f>L60*(H60*H60)*0.7854/10000</f>
        <v>5.0487318419999996</v>
      </c>
      <c r="N60" s="5"/>
      <c r="O60" s="8" t="s">
        <v>19</v>
      </c>
    </row>
    <row r="61" spans="1:15" s="14" customFormat="1" x14ac:dyDescent="0.25">
      <c r="A61" s="13">
        <v>61</v>
      </c>
      <c r="B61" s="16">
        <v>61</v>
      </c>
      <c r="C61" s="13" t="s">
        <v>2890</v>
      </c>
      <c r="D61" s="6">
        <v>2443</v>
      </c>
      <c r="E61" s="13" t="s">
        <v>2862</v>
      </c>
      <c r="F61" s="13"/>
      <c r="G61" s="17">
        <v>11.2</v>
      </c>
      <c r="H61" s="16">
        <v>71</v>
      </c>
      <c r="I61" s="18">
        <v>4.4340000000000002</v>
      </c>
      <c r="J61" s="13"/>
      <c r="K61" s="13"/>
      <c r="L61" s="17">
        <f>G61-J61</f>
        <v>11.2</v>
      </c>
      <c r="M61" s="18">
        <f>L61*(H61*H61)*0.7854/10000</f>
        <v>4.4343055680000001</v>
      </c>
      <c r="N61" s="5"/>
      <c r="O61" s="8" t="s">
        <v>19</v>
      </c>
    </row>
    <row r="62" spans="1:15" s="14" customFormat="1" x14ac:dyDescent="0.25">
      <c r="A62" s="13">
        <v>62</v>
      </c>
      <c r="B62" s="16">
        <v>62</v>
      </c>
      <c r="C62" s="13" t="s">
        <v>2891</v>
      </c>
      <c r="D62" s="6" t="s">
        <v>106</v>
      </c>
      <c r="E62" s="13" t="s">
        <v>2862</v>
      </c>
      <c r="F62" s="13"/>
      <c r="G62" s="17">
        <v>5.0999999999999996</v>
      </c>
      <c r="H62" s="16">
        <v>77</v>
      </c>
      <c r="I62" s="18">
        <v>2.375</v>
      </c>
      <c r="J62" s="13"/>
      <c r="K62" s="13"/>
      <c r="L62" s="17">
        <f>G62-J62</f>
        <v>5.0999999999999996</v>
      </c>
      <c r="M62" s="18">
        <f>L62*(H62*H62)*0.7854/10000</f>
        <v>2.3748846659999998</v>
      </c>
      <c r="N62" s="5"/>
      <c r="O62" s="8" t="s">
        <v>19</v>
      </c>
    </row>
    <row r="63" spans="1:15" s="14" customFormat="1" x14ac:dyDescent="0.25">
      <c r="A63" s="13">
        <v>63</v>
      </c>
      <c r="B63" s="16">
        <v>63</v>
      </c>
      <c r="C63" s="13" t="s">
        <v>2892</v>
      </c>
      <c r="D63" s="6">
        <v>3343</v>
      </c>
      <c r="E63" s="13" t="s">
        <v>2862</v>
      </c>
      <c r="F63" s="13"/>
      <c r="G63" s="17">
        <v>7.3</v>
      </c>
      <c r="H63" s="16">
        <v>70</v>
      </c>
      <c r="I63" s="18">
        <v>2.8090000000000002</v>
      </c>
      <c r="J63" s="13"/>
      <c r="K63" s="13"/>
      <c r="L63" s="17">
        <f>G63-J63</f>
        <v>7.3</v>
      </c>
      <c r="M63" s="18">
        <f>L63*(H63*H63)*0.7854/10000</f>
        <v>2.8093757999999998</v>
      </c>
      <c r="N63" s="5"/>
      <c r="O63" s="8" t="s">
        <v>19</v>
      </c>
    </row>
    <row r="64" spans="1:15" s="14" customFormat="1" x14ac:dyDescent="0.25">
      <c r="A64" s="13">
        <v>64</v>
      </c>
      <c r="B64" s="16">
        <v>64</v>
      </c>
      <c r="C64" s="13" t="s">
        <v>2893</v>
      </c>
      <c r="D64" s="6">
        <v>3350</v>
      </c>
      <c r="E64" s="13" t="s">
        <v>2862</v>
      </c>
      <c r="F64" s="13"/>
      <c r="G64" s="17">
        <v>9.9</v>
      </c>
      <c r="H64" s="16">
        <v>71</v>
      </c>
      <c r="I64" s="18">
        <v>3.92</v>
      </c>
      <c r="J64" s="13">
        <v>0.6</v>
      </c>
      <c r="K64" s="13"/>
      <c r="L64" s="17">
        <f>G64-J64</f>
        <v>9.3000000000000007</v>
      </c>
      <c r="M64" s="18">
        <f>L64*(H64*H64)*0.7854/10000</f>
        <v>3.6820573020000005</v>
      </c>
      <c r="N64" s="5"/>
      <c r="O64" s="8" t="s">
        <v>19</v>
      </c>
    </row>
    <row r="65" spans="1:15" s="14" customFormat="1" x14ac:dyDescent="0.25">
      <c r="A65" s="13">
        <v>65</v>
      </c>
      <c r="B65" s="16">
        <v>65</v>
      </c>
      <c r="C65" s="13" t="s">
        <v>2894</v>
      </c>
      <c r="D65" s="6">
        <v>3352</v>
      </c>
      <c r="E65" s="13" t="s">
        <v>2862</v>
      </c>
      <c r="F65" s="13"/>
      <c r="G65" s="17">
        <v>12.2</v>
      </c>
      <c r="H65" s="16">
        <v>69</v>
      </c>
      <c r="I65" s="18">
        <v>4.5620000000000003</v>
      </c>
      <c r="J65" s="13"/>
      <c r="K65" s="13"/>
      <c r="L65" s="17">
        <f>G65-J65</f>
        <v>12.2</v>
      </c>
      <c r="M65" s="18">
        <f>L65*(H65*H65)*0.7854/10000</f>
        <v>4.5619330680000001</v>
      </c>
      <c r="N65" s="5"/>
      <c r="O65" s="8" t="s">
        <v>19</v>
      </c>
    </row>
    <row r="66" spans="1:15" s="14" customFormat="1" x14ac:dyDescent="0.25">
      <c r="A66" s="13">
        <v>66</v>
      </c>
      <c r="B66" s="16">
        <v>66</v>
      </c>
      <c r="C66" s="13" t="s">
        <v>2895</v>
      </c>
      <c r="D66" s="6" t="s">
        <v>111</v>
      </c>
      <c r="E66" s="13" t="s">
        <v>2862</v>
      </c>
      <c r="F66" s="13"/>
      <c r="G66" s="17">
        <v>10.9</v>
      </c>
      <c r="H66" s="16">
        <v>92</v>
      </c>
      <c r="I66" s="18">
        <v>7.2460000000000004</v>
      </c>
      <c r="J66" s="13"/>
      <c r="K66" s="13"/>
      <c r="L66" s="17">
        <f>G66-J66</f>
        <v>10.9</v>
      </c>
      <c r="M66" s="18">
        <f>L66*(H66*H66)*0.7854/10000</f>
        <v>7.2459119040000006</v>
      </c>
      <c r="N66" s="5"/>
      <c r="O66" s="8" t="s">
        <v>19</v>
      </c>
    </row>
    <row r="67" spans="1:15" s="14" customFormat="1" x14ac:dyDescent="0.25">
      <c r="A67" s="13">
        <v>67</v>
      </c>
      <c r="B67" s="16">
        <v>67</v>
      </c>
      <c r="C67" s="13" t="s">
        <v>2896</v>
      </c>
      <c r="D67" s="6" t="s">
        <v>112</v>
      </c>
      <c r="E67" s="13" t="s">
        <v>2862</v>
      </c>
      <c r="F67" s="13"/>
      <c r="G67" s="17">
        <v>4.8</v>
      </c>
      <c r="H67" s="16">
        <v>82</v>
      </c>
      <c r="I67" s="18">
        <v>2.5350000000000001</v>
      </c>
      <c r="J67" s="13"/>
      <c r="K67" s="13"/>
      <c r="L67" s="17">
        <f>G67-J67</f>
        <v>4.8</v>
      </c>
      <c r="M67" s="18">
        <f>L67*(H67*H67)*0.7854/10000</f>
        <v>2.5348942079999999</v>
      </c>
      <c r="N67" s="5"/>
      <c r="O67" s="8" t="s">
        <v>19</v>
      </c>
    </row>
    <row r="68" spans="1:15" s="14" customFormat="1" x14ac:dyDescent="0.25">
      <c r="A68" s="13">
        <v>68</v>
      </c>
      <c r="B68" s="16">
        <v>68</v>
      </c>
      <c r="C68" s="13" t="s">
        <v>2897</v>
      </c>
      <c r="D68" s="6" t="s">
        <v>114</v>
      </c>
      <c r="E68" s="13" t="s">
        <v>2862</v>
      </c>
      <c r="F68" s="13"/>
      <c r="G68" s="17">
        <v>9.1999999999999993</v>
      </c>
      <c r="H68" s="16">
        <v>69</v>
      </c>
      <c r="I68" s="18">
        <v>3.44</v>
      </c>
      <c r="J68" s="13"/>
      <c r="K68" s="13"/>
      <c r="L68" s="17">
        <f>G68-J68</f>
        <v>9.1999999999999993</v>
      </c>
      <c r="M68" s="18">
        <f>L68*(H68*H68)*0.7854/10000</f>
        <v>3.4401462479999996</v>
      </c>
      <c r="N68" s="5"/>
      <c r="O68" s="8" t="s">
        <v>30</v>
      </c>
    </row>
    <row r="69" spans="1:15" s="14" customFormat="1" x14ac:dyDescent="0.25">
      <c r="A69" s="13">
        <v>69</v>
      </c>
      <c r="B69" s="16">
        <v>69</v>
      </c>
      <c r="C69" s="13" t="s">
        <v>2898</v>
      </c>
      <c r="D69" s="6">
        <v>3355</v>
      </c>
      <c r="E69" s="13" t="s">
        <v>2862</v>
      </c>
      <c r="F69" s="13"/>
      <c r="G69" s="17">
        <v>7.1</v>
      </c>
      <c r="H69" s="16">
        <v>68</v>
      </c>
      <c r="I69" s="18">
        <v>2.5779999999999998</v>
      </c>
      <c r="J69" s="13"/>
      <c r="K69" s="13"/>
      <c r="L69" s="17">
        <f>G69-J69</f>
        <v>7.1</v>
      </c>
      <c r="M69" s="18">
        <f>L69*(H69*H69)*0.7854/10000</f>
        <v>2.5784996160000002</v>
      </c>
      <c r="N69" s="5"/>
      <c r="O69" s="8" t="s">
        <v>19</v>
      </c>
    </row>
    <row r="70" spans="1:15" s="14" customFormat="1" x14ac:dyDescent="0.25">
      <c r="A70" s="13">
        <v>70</v>
      </c>
      <c r="B70" s="16">
        <v>70</v>
      </c>
      <c r="C70" s="13" t="s">
        <v>2899</v>
      </c>
      <c r="D70" s="6">
        <v>3166</v>
      </c>
      <c r="E70" s="13" t="s">
        <v>2862</v>
      </c>
      <c r="F70" s="13"/>
      <c r="G70" s="17">
        <v>9.1</v>
      </c>
      <c r="H70" s="16">
        <v>78</v>
      </c>
      <c r="I70" s="18">
        <v>4.3479999999999999</v>
      </c>
      <c r="J70" s="13">
        <v>0.4</v>
      </c>
      <c r="K70" s="13"/>
      <c r="L70" s="17">
        <f>G70-J70</f>
        <v>8.6999999999999993</v>
      </c>
      <c r="M70" s="18">
        <f>L70*(H70*H70)*0.7854/10000</f>
        <v>4.1571850320000001</v>
      </c>
      <c r="N70" s="5"/>
      <c r="O70" s="8" t="s">
        <v>19</v>
      </c>
    </row>
    <row r="71" spans="1:15" s="14" customFormat="1" x14ac:dyDescent="0.25">
      <c r="A71" s="13">
        <v>71</v>
      </c>
      <c r="B71" s="16">
        <v>71</v>
      </c>
      <c r="C71" s="13" t="s">
        <v>2900</v>
      </c>
      <c r="D71" s="6">
        <v>3168</v>
      </c>
      <c r="E71" s="13" t="s">
        <v>2862</v>
      </c>
      <c r="F71" s="13"/>
      <c r="G71" s="17">
        <v>9.1999999999999993</v>
      </c>
      <c r="H71" s="16">
        <v>68</v>
      </c>
      <c r="I71" s="18">
        <v>3.3410000000000002</v>
      </c>
      <c r="J71" s="13">
        <v>0.3</v>
      </c>
      <c r="K71" s="13"/>
      <c r="L71" s="17">
        <f>G71-J71</f>
        <v>8.8999999999999986</v>
      </c>
      <c r="M71" s="18">
        <f>L71*(H71*H71)*0.7854/10000</f>
        <v>3.2322037439999991</v>
      </c>
      <c r="N71" s="5" t="s">
        <v>21</v>
      </c>
      <c r="O71" s="8" t="s">
        <v>30</v>
      </c>
    </row>
    <row r="72" spans="1:15" s="14" customFormat="1" x14ac:dyDescent="0.25">
      <c r="A72" s="13">
        <v>72</v>
      </c>
      <c r="B72" s="16">
        <v>72</v>
      </c>
      <c r="C72" s="13" t="s">
        <v>2901</v>
      </c>
      <c r="D72" s="6">
        <v>3324</v>
      </c>
      <c r="E72" s="13" t="s">
        <v>2862</v>
      </c>
      <c r="F72" s="13"/>
      <c r="G72" s="17">
        <v>11.4</v>
      </c>
      <c r="H72" s="16">
        <v>66</v>
      </c>
      <c r="I72" s="18">
        <v>3.9</v>
      </c>
      <c r="J72" s="13"/>
      <c r="K72" s="13"/>
      <c r="L72" s="17">
        <f>G72-J72</f>
        <v>11.4</v>
      </c>
      <c r="M72" s="18">
        <f>L72*(H72*H72)*0.7854/10000</f>
        <v>3.9001707360000002</v>
      </c>
      <c r="N72" s="5" t="s">
        <v>53</v>
      </c>
      <c r="O72" s="8" t="s">
        <v>19</v>
      </c>
    </row>
    <row r="73" spans="1:15" s="14" customFormat="1" x14ac:dyDescent="0.25">
      <c r="A73" s="13">
        <v>73</v>
      </c>
      <c r="B73" s="16">
        <v>73</v>
      </c>
      <c r="C73" s="13" t="s">
        <v>2902</v>
      </c>
      <c r="D73" s="6">
        <v>3169</v>
      </c>
      <c r="E73" s="13" t="s">
        <v>2862</v>
      </c>
      <c r="F73" s="13"/>
      <c r="G73" s="17">
        <v>11.4</v>
      </c>
      <c r="H73" s="16">
        <v>77</v>
      </c>
      <c r="I73" s="18">
        <v>5.3090000000000002</v>
      </c>
      <c r="J73" s="13">
        <v>0.4</v>
      </c>
      <c r="K73" s="13"/>
      <c r="L73" s="17">
        <f>G73-J73</f>
        <v>11</v>
      </c>
      <c r="M73" s="18">
        <f>L73*(H73*H73)*0.7854/10000</f>
        <v>5.1223002600000003</v>
      </c>
      <c r="N73" s="5"/>
      <c r="O73" s="8" t="s">
        <v>19</v>
      </c>
    </row>
    <row r="74" spans="1:15" s="14" customFormat="1" x14ac:dyDescent="0.25">
      <c r="A74" s="13">
        <v>74</v>
      </c>
      <c r="B74" s="16">
        <v>74</v>
      </c>
      <c r="C74" s="13" t="s">
        <v>2903</v>
      </c>
      <c r="D74" s="6">
        <v>3172</v>
      </c>
      <c r="E74" s="13" t="s">
        <v>2862</v>
      </c>
      <c r="F74" s="13"/>
      <c r="G74" s="17">
        <v>10</v>
      </c>
      <c r="H74" s="16">
        <v>72</v>
      </c>
      <c r="I74" s="18">
        <v>4.0720000000000001</v>
      </c>
      <c r="J74" s="13">
        <v>0.3</v>
      </c>
      <c r="K74" s="13"/>
      <c r="L74" s="17">
        <f>G74-J74</f>
        <v>9.6999999999999993</v>
      </c>
      <c r="M74" s="18">
        <f>L74*(H74*H74)*0.7854/10000</f>
        <v>3.9493681919999997</v>
      </c>
      <c r="N74" s="5"/>
      <c r="O74" s="8" t="s">
        <v>30</v>
      </c>
    </row>
    <row r="75" spans="1:15" s="14" customFormat="1" x14ac:dyDescent="0.25">
      <c r="A75" s="13">
        <v>75</v>
      </c>
      <c r="B75" s="16">
        <v>75</v>
      </c>
      <c r="C75" s="13" t="s">
        <v>2904</v>
      </c>
      <c r="D75" s="6">
        <v>3336</v>
      </c>
      <c r="E75" s="13" t="s">
        <v>2862</v>
      </c>
      <c r="F75" s="13"/>
      <c r="G75" s="17">
        <v>8.9</v>
      </c>
      <c r="H75" s="16">
        <v>76</v>
      </c>
      <c r="I75" s="18">
        <v>4.0369999999999999</v>
      </c>
      <c r="J75" s="13"/>
      <c r="K75" s="13"/>
      <c r="L75" s="17">
        <f>G75-J75</f>
        <v>8.9</v>
      </c>
      <c r="M75" s="18">
        <f>L75*(H75*H75)*0.7854/10000</f>
        <v>4.0374586560000001</v>
      </c>
      <c r="N75" s="5"/>
      <c r="O75" s="8" t="s">
        <v>19</v>
      </c>
    </row>
    <row r="76" spans="1:15" s="14" customFormat="1" x14ac:dyDescent="0.25">
      <c r="A76" s="13">
        <v>76</v>
      </c>
      <c r="B76" s="16">
        <v>76</v>
      </c>
      <c r="C76" s="13" t="s">
        <v>2905</v>
      </c>
      <c r="D76" s="6">
        <v>3338</v>
      </c>
      <c r="E76" s="13" t="s">
        <v>2862</v>
      </c>
      <c r="F76" s="13"/>
      <c r="G76" s="17">
        <v>11.9</v>
      </c>
      <c r="H76" s="16">
        <v>81</v>
      </c>
      <c r="I76" s="18">
        <v>6.1319999999999997</v>
      </c>
      <c r="J76" s="13"/>
      <c r="K76" s="13"/>
      <c r="L76" s="17">
        <f>G76-J76</f>
        <v>11.9</v>
      </c>
      <c r="M76" s="18">
        <f>L76*(H76*H76)*0.7854/10000</f>
        <v>6.1320811860000006</v>
      </c>
      <c r="N76" s="5"/>
      <c r="O76" s="8" t="s">
        <v>19</v>
      </c>
    </row>
    <row r="77" spans="1:15" s="14" customFormat="1" x14ac:dyDescent="0.25">
      <c r="A77" s="13">
        <v>77</v>
      </c>
      <c r="B77" s="16">
        <v>77</v>
      </c>
      <c r="C77" s="13" t="s">
        <v>2906</v>
      </c>
      <c r="D77" s="6">
        <v>3340</v>
      </c>
      <c r="E77" s="13" t="s">
        <v>2862</v>
      </c>
      <c r="F77" s="13"/>
      <c r="G77" s="17">
        <v>12.4</v>
      </c>
      <c r="H77" s="16">
        <v>69</v>
      </c>
      <c r="I77" s="18">
        <v>4.6369999999999996</v>
      </c>
      <c r="J77" s="13">
        <v>0.3</v>
      </c>
      <c r="K77" s="13"/>
      <c r="L77" s="17">
        <f>G77-J77</f>
        <v>12.1</v>
      </c>
      <c r="M77" s="18">
        <f>L77*(H77*H77)*0.7854/10000</f>
        <v>4.5245401740000002</v>
      </c>
      <c r="N77" s="5"/>
      <c r="O77" s="8" t="s">
        <v>19</v>
      </c>
    </row>
    <row r="78" spans="1:15" s="14" customFormat="1" x14ac:dyDescent="0.25">
      <c r="A78" s="13">
        <v>78</v>
      </c>
      <c r="B78" s="16">
        <v>78</v>
      </c>
      <c r="C78" s="13" t="s">
        <v>2907</v>
      </c>
      <c r="D78" s="6">
        <v>3342</v>
      </c>
      <c r="E78" s="13" t="s">
        <v>2862</v>
      </c>
      <c r="F78" s="13"/>
      <c r="G78" s="17">
        <v>10.6</v>
      </c>
      <c r="H78" s="16">
        <v>69</v>
      </c>
      <c r="I78" s="18">
        <v>3.964</v>
      </c>
      <c r="J78" s="13"/>
      <c r="K78" s="13"/>
      <c r="L78" s="17">
        <f>G78-J78</f>
        <v>10.6</v>
      </c>
      <c r="M78" s="18">
        <f>L78*(H78*H78)*0.7854/10000</f>
        <v>3.9636467639999995</v>
      </c>
      <c r="N78" s="5"/>
      <c r="O78" s="8" t="s">
        <v>19</v>
      </c>
    </row>
    <row r="79" spans="1:15" s="14" customFormat="1" x14ac:dyDescent="0.25">
      <c r="A79" s="13">
        <v>79</v>
      </c>
      <c r="B79" s="16">
        <v>79</v>
      </c>
      <c r="C79" s="13" t="s">
        <v>2908</v>
      </c>
      <c r="D79" s="6">
        <v>3105</v>
      </c>
      <c r="E79" s="13" t="s">
        <v>2862</v>
      </c>
      <c r="F79" s="13"/>
      <c r="G79" s="17">
        <v>10.8</v>
      </c>
      <c r="H79" s="16">
        <v>70</v>
      </c>
      <c r="I79" s="18">
        <v>4.1559999999999997</v>
      </c>
      <c r="J79" s="13"/>
      <c r="K79" s="13"/>
      <c r="L79" s="17">
        <f>G79-J79</f>
        <v>10.8</v>
      </c>
      <c r="M79" s="18">
        <f>L79*(H79*H79)*0.7854/10000</f>
        <v>4.1563368000000001</v>
      </c>
      <c r="N79" s="5"/>
      <c r="O79" s="8" t="s">
        <v>19</v>
      </c>
    </row>
    <row r="80" spans="1:15" s="14" customFormat="1" x14ac:dyDescent="0.25">
      <c r="A80" s="13">
        <v>80</v>
      </c>
      <c r="B80" s="16">
        <v>80</v>
      </c>
      <c r="C80" s="13" t="s">
        <v>2909</v>
      </c>
      <c r="D80" s="6">
        <v>3118</v>
      </c>
      <c r="E80" s="13" t="s">
        <v>2862</v>
      </c>
      <c r="F80" s="13"/>
      <c r="G80" s="17">
        <v>7.9</v>
      </c>
      <c r="H80" s="16">
        <v>73</v>
      </c>
      <c r="I80" s="18">
        <v>3.306</v>
      </c>
      <c r="J80" s="13"/>
      <c r="K80" s="13"/>
      <c r="L80" s="17">
        <f>G80-J80</f>
        <v>7.9</v>
      </c>
      <c r="M80" s="18">
        <f>L80*(H80*H80)*0.7854/10000</f>
        <v>3.3064633139999997</v>
      </c>
      <c r="N80" s="5"/>
      <c r="O80" s="8" t="s">
        <v>19</v>
      </c>
    </row>
    <row r="81" spans="1:15" s="14" customFormat="1" x14ac:dyDescent="0.25">
      <c r="A81" s="13">
        <v>81</v>
      </c>
      <c r="B81" s="16">
        <v>81</v>
      </c>
      <c r="C81" s="13" t="s">
        <v>2910</v>
      </c>
      <c r="D81" s="6">
        <v>3197</v>
      </c>
      <c r="E81" s="13" t="s">
        <v>2862</v>
      </c>
      <c r="F81" s="13"/>
      <c r="G81" s="17">
        <v>10</v>
      </c>
      <c r="H81" s="16">
        <v>80</v>
      </c>
      <c r="I81" s="18">
        <v>5.0270000000000001</v>
      </c>
      <c r="J81" s="13">
        <v>0.4</v>
      </c>
      <c r="K81" s="13"/>
      <c r="L81" s="17">
        <f>G81-J81</f>
        <v>9.6</v>
      </c>
      <c r="M81" s="18">
        <f>L81*(H81*H81)*0.7854/10000</f>
        <v>4.8254976000000003</v>
      </c>
      <c r="N81" s="5" t="s">
        <v>21</v>
      </c>
      <c r="O81" s="8" t="s">
        <v>19</v>
      </c>
    </row>
    <row r="82" spans="1:15" s="14" customFormat="1" x14ac:dyDescent="0.25">
      <c r="A82" s="13">
        <v>82</v>
      </c>
      <c r="B82" s="16">
        <v>82</v>
      </c>
      <c r="C82" s="13" t="s">
        <v>2911</v>
      </c>
      <c r="D82" s="6">
        <v>3265</v>
      </c>
      <c r="E82" s="13" t="s">
        <v>2862</v>
      </c>
      <c r="F82" s="13"/>
      <c r="G82" s="17">
        <v>12.1</v>
      </c>
      <c r="H82" s="16">
        <v>72</v>
      </c>
      <c r="I82" s="18">
        <v>4.9269999999999996</v>
      </c>
      <c r="J82" s="13"/>
      <c r="K82" s="13"/>
      <c r="L82" s="17">
        <f>G82-J82</f>
        <v>12.1</v>
      </c>
      <c r="M82" s="18">
        <f>L82*(H82*H82)*0.7854/10000</f>
        <v>4.9265314560000002</v>
      </c>
      <c r="N82" s="5"/>
      <c r="O82" s="8" t="s">
        <v>19</v>
      </c>
    </row>
    <row r="83" spans="1:15" s="14" customFormat="1" x14ac:dyDescent="0.25">
      <c r="A83" s="13">
        <v>83</v>
      </c>
      <c r="B83" s="16">
        <v>83</v>
      </c>
      <c r="C83" s="13" t="s">
        <v>2912</v>
      </c>
      <c r="D83" s="6">
        <v>3266</v>
      </c>
      <c r="E83" s="13" t="s">
        <v>2862</v>
      </c>
      <c r="F83" s="13"/>
      <c r="G83" s="17">
        <v>8</v>
      </c>
      <c r="H83" s="16">
        <v>83</v>
      </c>
      <c r="I83" s="18">
        <v>4.3280000000000003</v>
      </c>
      <c r="J83" s="13">
        <v>0.4</v>
      </c>
      <c r="K83" s="13"/>
      <c r="L83" s="17">
        <f>G83-J83</f>
        <v>7.6</v>
      </c>
      <c r="M83" s="18">
        <f>L83*(H83*H83)*0.7854/10000</f>
        <v>4.1120716559999995</v>
      </c>
      <c r="N83" s="5"/>
      <c r="O83" s="8" t="s">
        <v>30</v>
      </c>
    </row>
    <row r="84" spans="1:15" s="14" customFormat="1" x14ac:dyDescent="0.25">
      <c r="A84" s="13">
        <v>84</v>
      </c>
      <c r="B84" s="16">
        <v>84</v>
      </c>
      <c r="C84" s="13" t="s">
        <v>2913</v>
      </c>
      <c r="D84" s="6">
        <v>3139</v>
      </c>
      <c r="E84" s="13" t="s">
        <v>2862</v>
      </c>
      <c r="F84" s="13"/>
      <c r="G84" s="17">
        <v>10.5</v>
      </c>
      <c r="H84" s="16">
        <v>64</v>
      </c>
      <c r="I84" s="18">
        <v>3.3780000000000001</v>
      </c>
      <c r="J84" s="13">
        <v>0.4</v>
      </c>
      <c r="K84" s="13"/>
      <c r="L84" s="17">
        <f>G84-J84</f>
        <v>10.1</v>
      </c>
      <c r="M84" s="18">
        <f>L84*(H84*H84)*0.7854/10000</f>
        <v>3.2491683839999999</v>
      </c>
      <c r="N84" s="5"/>
      <c r="O84" s="8" t="s">
        <v>19</v>
      </c>
    </row>
    <row r="85" spans="1:15" s="14" customFormat="1" x14ac:dyDescent="0.25">
      <c r="A85" s="13">
        <v>85</v>
      </c>
      <c r="B85" s="16">
        <v>85</v>
      </c>
      <c r="C85" s="13" t="s">
        <v>2914</v>
      </c>
      <c r="D85" s="6">
        <v>3269</v>
      </c>
      <c r="E85" s="13" t="s">
        <v>2862</v>
      </c>
      <c r="F85" s="13"/>
      <c r="G85" s="17">
        <v>13.2</v>
      </c>
      <c r="H85" s="16">
        <v>65</v>
      </c>
      <c r="I85" s="18">
        <v>4.38</v>
      </c>
      <c r="J85" s="13"/>
      <c r="K85" s="13"/>
      <c r="L85" s="17">
        <f>G85-J85</f>
        <v>13.2</v>
      </c>
      <c r="M85" s="18">
        <f>L85*(H85*H85)*0.7854/10000</f>
        <v>4.3801758</v>
      </c>
      <c r="N85" s="5"/>
      <c r="O85" s="8" t="s">
        <v>19</v>
      </c>
    </row>
    <row r="86" spans="1:15" s="14" customFormat="1" x14ac:dyDescent="0.25">
      <c r="A86" s="13">
        <v>86</v>
      </c>
      <c r="B86" s="16">
        <v>86</v>
      </c>
      <c r="C86" s="13" t="s">
        <v>2915</v>
      </c>
      <c r="D86" s="6" t="s">
        <v>133</v>
      </c>
      <c r="E86" s="13" t="s">
        <v>2862</v>
      </c>
      <c r="F86" s="13"/>
      <c r="G86" s="17">
        <v>5.4</v>
      </c>
      <c r="H86" s="16">
        <v>74</v>
      </c>
      <c r="I86" s="18">
        <v>2.3220000000000001</v>
      </c>
      <c r="J86" s="13"/>
      <c r="K86" s="13"/>
      <c r="L86" s="17">
        <f>G86-J86</f>
        <v>5.4</v>
      </c>
      <c r="M86" s="18">
        <f>L86*(H86*H86)*0.7854/10000</f>
        <v>2.3224592159999999</v>
      </c>
      <c r="N86" s="5"/>
      <c r="O86" s="8" t="s">
        <v>30</v>
      </c>
    </row>
    <row r="87" spans="1:15" s="14" customFormat="1" x14ac:dyDescent="0.25">
      <c r="A87" s="13">
        <v>87</v>
      </c>
      <c r="B87" s="16">
        <v>87</v>
      </c>
      <c r="C87" s="13" t="s">
        <v>2916</v>
      </c>
      <c r="D87" s="6">
        <v>3295</v>
      </c>
      <c r="E87" s="13" t="s">
        <v>2862</v>
      </c>
      <c r="F87" s="13"/>
      <c r="G87" s="17">
        <v>12.3</v>
      </c>
      <c r="H87" s="16">
        <v>76</v>
      </c>
      <c r="I87" s="18">
        <v>5.58</v>
      </c>
      <c r="J87" s="13"/>
      <c r="K87" s="13"/>
      <c r="L87" s="17">
        <f>G87-J87</f>
        <v>12.3</v>
      </c>
      <c r="M87" s="18">
        <f>L87*(H87*H87)*0.7854/10000</f>
        <v>5.5798585920000008</v>
      </c>
      <c r="N87" s="5"/>
      <c r="O87" s="8" t="s">
        <v>19</v>
      </c>
    </row>
    <row r="88" spans="1:15" s="14" customFormat="1" x14ac:dyDescent="0.25">
      <c r="A88" s="13">
        <v>88</v>
      </c>
      <c r="B88" s="16">
        <v>88</v>
      </c>
      <c r="C88" s="13" t="s">
        <v>2917</v>
      </c>
      <c r="D88" s="6">
        <v>3296</v>
      </c>
      <c r="E88" s="13" t="s">
        <v>2862</v>
      </c>
      <c r="F88" s="13"/>
      <c r="G88" s="17">
        <v>11.9</v>
      </c>
      <c r="H88" s="16">
        <v>65</v>
      </c>
      <c r="I88" s="18">
        <v>3.9489999999999998</v>
      </c>
      <c r="J88" s="13"/>
      <c r="K88" s="13"/>
      <c r="L88" s="17">
        <f>G88-J88</f>
        <v>11.9</v>
      </c>
      <c r="M88" s="18">
        <f>L88*(H88*H88)*0.7854/10000</f>
        <v>3.9487948500000001</v>
      </c>
      <c r="N88" s="5"/>
      <c r="O88" s="8" t="s">
        <v>19</v>
      </c>
    </row>
    <row r="89" spans="1:15" s="14" customFormat="1" x14ac:dyDescent="0.25">
      <c r="A89" s="13">
        <v>89</v>
      </c>
      <c r="B89" s="16">
        <v>89</v>
      </c>
      <c r="C89" s="13" t="s">
        <v>2918</v>
      </c>
      <c r="D89" s="6">
        <v>3297</v>
      </c>
      <c r="E89" s="13" t="s">
        <v>2862</v>
      </c>
      <c r="F89" s="13"/>
      <c r="G89" s="17">
        <v>6.2</v>
      </c>
      <c r="H89" s="16">
        <v>68</v>
      </c>
      <c r="I89" s="18">
        <v>2.2519999999999998</v>
      </c>
      <c r="J89" s="13"/>
      <c r="K89" s="13"/>
      <c r="L89" s="17">
        <f>G89-J89</f>
        <v>6.2</v>
      </c>
      <c r="M89" s="18">
        <f>L89*(H89*H89)*0.7854/10000</f>
        <v>2.2516475520000001</v>
      </c>
      <c r="N89" s="5"/>
      <c r="O89" s="8" t="s">
        <v>30</v>
      </c>
    </row>
    <row r="90" spans="1:15" s="14" customFormat="1" x14ac:dyDescent="0.25">
      <c r="A90" s="13">
        <v>90</v>
      </c>
      <c r="B90" s="16">
        <v>90</v>
      </c>
      <c r="C90" s="13" t="s">
        <v>2919</v>
      </c>
      <c r="D90" s="6">
        <v>3359</v>
      </c>
      <c r="E90" s="13" t="s">
        <v>2862</v>
      </c>
      <c r="F90" s="13"/>
      <c r="G90" s="17">
        <v>6.1</v>
      </c>
      <c r="H90" s="16">
        <v>78</v>
      </c>
      <c r="I90" s="18">
        <v>2.915</v>
      </c>
      <c r="J90" s="13"/>
      <c r="K90" s="13"/>
      <c r="L90" s="17">
        <f>G90-J90</f>
        <v>6.1</v>
      </c>
      <c r="M90" s="18">
        <f>L90*(H90*H90)*0.7854/10000</f>
        <v>2.9148078959999997</v>
      </c>
      <c r="N90" s="5"/>
      <c r="O90" s="8" t="s">
        <v>19</v>
      </c>
    </row>
    <row r="91" spans="1:15" s="14" customFormat="1" x14ac:dyDescent="0.25">
      <c r="A91" s="13">
        <v>91</v>
      </c>
      <c r="B91" s="16">
        <v>91</v>
      </c>
      <c r="C91" s="13" t="s">
        <v>2920</v>
      </c>
      <c r="D91" s="6">
        <v>3360</v>
      </c>
      <c r="E91" s="13" t="s">
        <v>2862</v>
      </c>
      <c r="F91" s="13"/>
      <c r="G91" s="17">
        <v>12.2</v>
      </c>
      <c r="H91" s="16">
        <v>77</v>
      </c>
      <c r="I91" s="18">
        <v>5.681</v>
      </c>
      <c r="J91" s="13">
        <v>0.5</v>
      </c>
      <c r="K91" s="13"/>
      <c r="L91" s="17">
        <f>G91-J91</f>
        <v>11.7</v>
      </c>
      <c r="M91" s="18">
        <f>L91*(H91*H91)*0.7854/10000</f>
        <v>5.4482648220000005</v>
      </c>
      <c r="N91" s="5"/>
      <c r="O91" s="8" t="s">
        <v>19</v>
      </c>
    </row>
    <row r="92" spans="1:15" s="14" customFormat="1" x14ac:dyDescent="0.25">
      <c r="A92" s="13">
        <v>92</v>
      </c>
      <c r="B92" s="16">
        <v>92</v>
      </c>
      <c r="C92" s="13" t="s">
        <v>2921</v>
      </c>
      <c r="D92" s="6">
        <v>3282</v>
      </c>
      <c r="E92" s="13" t="s">
        <v>2862</v>
      </c>
      <c r="F92" s="13"/>
      <c r="G92" s="17">
        <v>13.4</v>
      </c>
      <c r="H92" s="16">
        <v>88</v>
      </c>
      <c r="I92" s="18">
        <v>8.15</v>
      </c>
      <c r="J92" s="13"/>
      <c r="K92" s="13"/>
      <c r="L92" s="17">
        <f>G92-J92</f>
        <v>13.4</v>
      </c>
      <c r="M92" s="18">
        <f>L92*(H92*H92)*0.7854/10000</f>
        <v>8.1500643840000002</v>
      </c>
      <c r="N92" s="5"/>
      <c r="O92" s="8" t="s">
        <v>19</v>
      </c>
    </row>
    <row r="93" spans="1:15" s="14" customFormat="1" x14ac:dyDescent="0.25">
      <c r="A93" s="13">
        <v>93</v>
      </c>
      <c r="B93" s="16">
        <v>93</v>
      </c>
      <c r="C93" s="13" t="s">
        <v>2922</v>
      </c>
      <c r="D93" s="6">
        <v>3280</v>
      </c>
      <c r="E93" s="13" t="s">
        <v>2862</v>
      </c>
      <c r="F93" s="13"/>
      <c r="G93" s="17">
        <v>8.8000000000000007</v>
      </c>
      <c r="H93" s="16">
        <v>73</v>
      </c>
      <c r="I93" s="18">
        <v>3.6829999999999998</v>
      </c>
      <c r="J93" s="13"/>
      <c r="K93" s="13"/>
      <c r="L93" s="17">
        <f>G93-J93</f>
        <v>8.8000000000000007</v>
      </c>
      <c r="M93" s="18">
        <f>L93*(H93*H93)*0.7854/10000</f>
        <v>3.6831490080000004</v>
      </c>
      <c r="N93" s="5" t="s">
        <v>21</v>
      </c>
      <c r="O93" s="8" t="s">
        <v>19</v>
      </c>
    </row>
    <row r="94" spans="1:15" s="14" customFormat="1" x14ac:dyDescent="0.25">
      <c r="A94" s="13">
        <v>94</v>
      </c>
      <c r="B94" s="16">
        <v>94</v>
      </c>
      <c r="C94" s="13" t="s">
        <v>2923</v>
      </c>
      <c r="D94" s="6">
        <v>3276</v>
      </c>
      <c r="E94" s="13" t="s">
        <v>2862</v>
      </c>
      <c r="F94" s="13"/>
      <c r="G94" s="17">
        <v>10.7</v>
      </c>
      <c r="H94" s="16">
        <v>85</v>
      </c>
      <c r="I94" s="18">
        <v>6.0720000000000001</v>
      </c>
      <c r="J94" s="13"/>
      <c r="K94" s="13"/>
      <c r="L94" s="17">
        <f>G94-J94</f>
        <v>10.7</v>
      </c>
      <c r="M94" s="18">
        <f>L94*(H94*H94)*0.7854/10000</f>
        <v>6.0717310500000004</v>
      </c>
      <c r="N94" s="5"/>
      <c r="O94" s="8" t="s">
        <v>19</v>
      </c>
    </row>
    <row r="95" spans="1:15" s="14" customFormat="1" x14ac:dyDescent="0.25">
      <c r="A95" s="13">
        <v>95</v>
      </c>
      <c r="B95" s="16">
        <v>95</v>
      </c>
      <c r="C95" s="13" t="s">
        <v>2924</v>
      </c>
      <c r="D95" s="6" t="s">
        <v>143</v>
      </c>
      <c r="E95" s="13" t="s">
        <v>2862</v>
      </c>
      <c r="F95" s="13"/>
      <c r="G95" s="17">
        <v>9.1999999999999993</v>
      </c>
      <c r="H95" s="16">
        <v>91</v>
      </c>
      <c r="I95" s="18">
        <v>5.984</v>
      </c>
      <c r="J95" s="13">
        <v>0.3</v>
      </c>
      <c r="K95" s="13"/>
      <c r="L95" s="17">
        <f>G95-J95</f>
        <v>8.8999999999999986</v>
      </c>
      <c r="M95" s="18">
        <f>L95*(H95*H95)*0.7854/10000</f>
        <v>5.7884686859999999</v>
      </c>
      <c r="N95" s="5" t="s">
        <v>53</v>
      </c>
      <c r="O95" s="8" t="s">
        <v>19</v>
      </c>
    </row>
    <row r="96" spans="1:15" s="14" customFormat="1" x14ac:dyDescent="0.25">
      <c r="A96" s="13">
        <v>96</v>
      </c>
      <c r="B96" s="16">
        <v>96</v>
      </c>
      <c r="C96" s="13" t="s">
        <v>2925</v>
      </c>
      <c r="D96" s="6">
        <v>3272</v>
      </c>
      <c r="E96" s="13" t="s">
        <v>2862</v>
      </c>
      <c r="F96" s="13"/>
      <c r="G96" s="17">
        <v>9.8000000000000007</v>
      </c>
      <c r="H96" s="16">
        <v>67</v>
      </c>
      <c r="I96" s="18">
        <v>3.4550000000000001</v>
      </c>
      <c r="J96" s="13"/>
      <c r="K96" s="13"/>
      <c r="L96" s="17">
        <f>G96-J96</f>
        <v>9.8000000000000007</v>
      </c>
      <c r="M96" s="18">
        <f>L96*(H96*H96)*0.7854/10000</f>
        <v>3.4551473880000003</v>
      </c>
      <c r="N96" s="5"/>
      <c r="O96" s="8" t="s">
        <v>19</v>
      </c>
    </row>
    <row r="97" spans="1:15" s="14" customFormat="1" x14ac:dyDescent="0.25">
      <c r="A97" s="13">
        <v>97</v>
      </c>
      <c r="B97" s="16">
        <v>97</v>
      </c>
      <c r="C97" s="13" t="s">
        <v>2926</v>
      </c>
      <c r="D97" s="6">
        <v>3300</v>
      </c>
      <c r="E97" s="13" t="s">
        <v>2862</v>
      </c>
      <c r="F97" s="13"/>
      <c r="G97" s="17">
        <v>9.6</v>
      </c>
      <c r="H97" s="16">
        <v>76</v>
      </c>
      <c r="I97" s="18">
        <v>4.3550000000000004</v>
      </c>
      <c r="J97" s="13"/>
      <c r="K97" s="13"/>
      <c r="L97" s="17">
        <f>G97-J97</f>
        <v>9.6</v>
      </c>
      <c r="M97" s="18">
        <f>L97*(H97*H97)*0.7854/10000</f>
        <v>4.3550115839999997</v>
      </c>
      <c r="N97" s="5"/>
      <c r="O97" s="8" t="s">
        <v>19</v>
      </c>
    </row>
    <row r="98" spans="1:15" s="14" customFormat="1" x14ac:dyDescent="0.25">
      <c r="A98" s="13">
        <v>98</v>
      </c>
      <c r="B98" s="16">
        <v>98</v>
      </c>
      <c r="C98" s="13" t="s">
        <v>2927</v>
      </c>
      <c r="D98" s="6" t="s">
        <v>147</v>
      </c>
      <c r="E98" s="13" t="s">
        <v>2928</v>
      </c>
      <c r="F98" s="13"/>
      <c r="G98" s="17">
        <v>10.7</v>
      </c>
      <c r="H98" s="16">
        <v>73</v>
      </c>
      <c r="I98" s="18">
        <v>4.4779999999999998</v>
      </c>
      <c r="J98" s="13"/>
      <c r="K98" s="13"/>
      <c r="L98" s="17">
        <f>G98-J98</f>
        <v>10.7</v>
      </c>
      <c r="M98" s="18">
        <f>L98*(H98*H98)*0.7854/10000</f>
        <v>4.4783743619999994</v>
      </c>
      <c r="N98" s="5"/>
      <c r="O98" s="8" t="s">
        <v>30</v>
      </c>
    </row>
    <row r="99" spans="1:15" s="14" customFormat="1" x14ac:dyDescent="0.25">
      <c r="A99" s="13">
        <v>99</v>
      </c>
      <c r="B99" s="16">
        <v>99</v>
      </c>
      <c r="C99" s="13" t="s">
        <v>2929</v>
      </c>
      <c r="D99" s="6" t="s">
        <v>149</v>
      </c>
      <c r="E99" s="13" t="s">
        <v>2928</v>
      </c>
      <c r="F99" s="13"/>
      <c r="G99" s="17">
        <v>6.2</v>
      </c>
      <c r="H99" s="16">
        <v>63</v>
      </c>
      <c r="I99" s="18">
        <v>1.9330000000000001</v>
      </c>
      <c r="J99" s="13"/>
      <c r="K99" s="13"/>
      <c r="L99" s="17">
        <f>G99-J99</f>
        <v>6.2</v>
      </c>
      <c r="M99" s="18">
        <f>L99*(H99*H99)*0.7854/10000</f>
        <v>1.9326966119999998</v>
      </c>
      <c r="N99" s="5"/>
      <c r="O99" s="8" t="s">
        <v>19</v>
      </c>
    </row>
    <row r="100" spans="1:15" s="14" customFormat="1" x14ac:dyDescent="0.25">
      <c r="A100" s="13">
        <v>100</v>
      </c>
      <c r="B100" s="16">
        <v>100</v>
      </c>
      <c r="C100" s="13" t="s">
        <v>2930</v>
      </c>
      <c r="D100" s="6">
        <v>1452</v>
      </c>
      <c r="E100" s="13" t="s">
        <v>2931</v>
      </c>
      <c r="F100" s="13"/>
      <c r="G100" s="17">
        <v>14.8</v>
      </c>
      <c r="H100" s="16">
        <v>117</v>
      </c>
      <c r="I100" s="18">
        <v>15.912000000000001</v>
      </c>
      <c r="J100" s="13">
        <v>0.3</v>
      </c>
      <c r="K100" s="13"/>
      <c r="L100" s="17">
        <f>G100-J100</f>
        <v>14.5</v>
      </c>
      <c r="M100" s="18">
        <f>L100*(H100*H100)*0.7854/10000</f>
        <v>15.58944387</v>
      </c>
      <c r="N100" s="5"/>
      <c r="O100" s="8" t="s">
        <v>19</v>
      </c>
    </row>
    <row r="101" spans="1:15" s="14" customFormat="1" x14ac:dyDescent="0.25">
      <c r="A101" s="13">
        <v>101</v>
      </c>
      <c r="B101" s="16">
        <v>101</v>
      </c>
      <c r="C101" s="13" t="s">
        <v>2932</v>
      </c>
      <c r="D101" s="6" t="s">
        <v>152</v>
      </c>
      <c r="E101" s="13" t="s">
        <v>2931</v>
      </c>
      <c r="F101" s="13"/>
      <c r="G101" s="17">
        <v>4.3</v>
      </c>
      <c r="H101" s="16">
        <v>106</v>
      </c>
      <c r="I101" s="18">
        <v>3.7949999999999999</v>
      </c>
      <c r="J101" s="13">
        <v>0.5</v>
      </c>
      <c r="K101" s="13"/>
      <c r="L101" s="17">
        <f>G101-J101</f>
        <v>3.8</v>
      </c>
      <c r="M101" s="18">
        <f>L101*(H101*H101)*0.7854/10000</f>
        <v>3.3534066719999993</v>
      </c>
      <c r="N101" s="5"/>
      <c r="O101" s="8" t="s">
        <v>30</v>
      </c>
    </row>
    <row r="102" spans="1:15" s="14" customFormat="1" x14ac:dyDescent="0.25">
      <c r="A102" s="13">
        <v>103</v>
      </c>
      <c r="B102" s="16">
        <v>103</v>
      </c>
      <c r="C102" s="13" t="s">
        <v>2933</v>
      </c>
      <c r="D102" s="6" t="s">
        <v>154</v>
      </c>
      <c r="E102" s="13" t="s">
        <v>2931</v>
      </c>
      <c r="F102" s="13"/>
      <c r="G102" s="17">
        <v>8.3000000000000007</v>
      </c>
      <c r="H102" s="16">
        <v>107</v>
      </c>
      <c r="I102" s="18">
        <v>7.4630000000000001</v>
      </c>
      <c r="J102" s="13">
        <v>0.4</v>
      </c>
      <c r="K102" s="13"/>
      <c r="L102" s="17">
        <f>G102-J102</f>
        <v>7.9</v>
      </c>
      <c r="M102" s="18">
        <f>L102*(H102*H102)*0.7854/10000</f>
        <v>7.103715234</v>
      </c>
      <c r="N102" s="5"/>
      <c r="O102" s="8" t="s">
        <v>19</v>
      </c>
    </row>
    <row r="103" spans="1:15" s="14" customFormat="1" x14ac:dyDescent="0.25">
      <c r="A103" s="13">
        <v>104</v>
      </c>
      <c r="B103" s="16">
        <v>104</v>
      </c>
      <c r="C103" s="13" t="s">
        <v>2934</v>
      </c>
      <c r="D103" s="6" t="s">
        <v>156</v>
      </c>
      <c r="E103" s="13" t="s">
        <v>2931</v>
      </c>
      <c r="F103" s="13"/>
      <c r="G103" s="17">
        <v>4.9000000000000004</v>
      </c>
      <c r="H103" s="16">
        <v>102</v>
      </c>
      <c r="I103" s="18">
        <v>4.0039999999999996</v>
      </c>
      <c r="J103" s="13"/>
      <c r="K103" s="13"/>
      <c r="L103" s="17">
        <f>G103-J103</f>
        <v>4.9000000000000004</v>
      </c>
      <c r="M103" s="18">
        <f>L103*(H103*H103)*0.7854/10000</f>
        <v>4.0039377839999997</v>
      </c>
      <c r="N103" s="5" t="s">
        <v>157</v>
      </c>
      <c r="O103" s="8" t="s">
        <v>19</v>
      </c>
    </row>
    <row r="104" spans="1:15" s="14" customFormat="1" x14ac:dyDescent="0.25">
      <c r="A104" s="13">
        <v>105</v>
      </c>
      <c r="B104" s="16">
        <v>105</v>
      </c>
      <c r="C104" s="13" t="s">
        <v>2935</v>
      </c>
      <c r="D104" s="6" t="s">
        <v>159</v>
      </c>
      <c r="E104" s="13" t="s">
        <v>2931</v>
      </c>
      <c r="F104" s="13"/>
      <c r="G104" s="17">
        <v>10.199999999999999</v>
      </c>
      <c r="H104" s="16">
        <v>136</v>
      </c>
      <c r="I104" s="18">
        <v>14.817</v>
      </c>
      <c r="J104" s="13"/>
      <c r="K104" s="13"/>
      <c r="L104" s="17">
        <f>G104-J104</f>
        <v>10.199999999999999</v>
      </c>
      <c r="M104" s="18">
        <f>L104*(H104*H104)*0.7854/10000</f>
        <v>14.817293568</v>
      </c>
      <c r="N104" s="5"/>
      <c r="O104" s="8" t="s">
        <v>30</v>
      </c>
    </row>
    <row r="105" spans="1:15" s="14" customFormat="1" x14ac:dyDescent="0.25">
      <c r="A105" s="13">
        <v>106</v>
      </c>
      <c r="B105" s="16">
        <v>106</v>
      </c>
      <c r="C105" s="13" t="s">
        <v>2936</v>
      </c>
      <c r="D105" s="6" t="s">
        <v>161</v>
      </c>
      <c r="E105" s="13" t="s">
        <v>2931</v>
      </c>
      <c r="F105" s="13"/>
      <c r="G105" s="17">
        <v>4.5</v>
      </c>
      <c r="H105" s="16">
        <v>76</v>
      </c>
      <c r="I105" s="18">
        <v>2.0409999999999999</v>
      </c>
      <c r="J105" s="13"/>
      <c r="K105" s="13"/>
      <c r="L105" s="17">
        <f>G105-J105</f>
        <v>4.5</v>
      </c>
      <c r="M105" s="18">
        <f>L105*(H105*H105)*0.7854/10000</f>
        <v>2.04141168</v>
      </c>
      <c r="N105" s="5"/>
      <c r="O105" s="8" t="s">
        <v>19</v>
      </c>
    </row>
    <row r="106" spans="1:15" s="14" customFormat="1" x14ac:dyDescent="0.25">
      <c r="A106" s="13">
        <v>107</v>
      </c>
      <c r="B106" s="16">
        <v>107</v>
      </c>
      <c r="C106" s="13" t="s">
        <v>2937</v>
      </c>
      <c r="D106" s="6" t="s">
        <v>163</v>
      </c>
      <c r="E106" s="13" t="s">
        <v>2931</v>
      </c>
      <c r="F106" s="13"/>
      <c r="G106" s="17">
        <v>4.5999999999999996</v>
      </c>
      <c r="H106" s="16">
        <v>127</v>
      </c>
      <c r="I106" s="18">
        <v>5.827</v>
      </c>
      <c r="J106" s="13"/>
      <c r="K106" s="13"/>
      <c r="L106" s="17">
        <f>G106-J106</f>
        <v>4.5999999999999996</v>
      </c>
      <c r="M106" s="18">
        <f>L106*(H106*H106)*0.7854/10000</f>
        <v>5.8271496359999997</v>
      </c>
      <c r="N106" s="5"/>
      <c r="O106" s="8" t="s">
        <v>19</v>
      </c>
    </row>
    <row r="107" spans="1:15" s="14" customFormat="1" x14ac:dyDescent="0.25">
      <c r="A107" s="13">
        <v>108</v>
      </c>
      <c r="B107" s="16">
        <v>108</v>
      </c>
      <c r="C107" s="13" t="s">
        <v>2938</v>
      </c>
      <c r="D107" s="6" t="s">
        <v>165</v>
      </c>
      <c r="E107" s="13" t="s">
        <v>2931</v>
      </c>
      <c r="F107" s="13"/>
      <c r="G107" s="17">
        <v>9</v>
      </c>
      <c r="H107" s="16">
        <v>82</v>
      </c>
      <c r="I107" s="18">
        <v>4.7530000000000001</v>
      </c>
      <c r="J107" s="13"/>
      <c r="K107" s="13"/>
      <c r="L107" s="17">
        <f>G107-J107</f>
        <v>9</v>
      </c>
      <c r="M107" s="18">
        <f>L107*(H107*H107)*0.7854/10000</f>
        <v>4.7529266400000001</v>
      </c>
      <c r="N107" s="5" t="s">
        <v>157</v>
      </c>
      <c r="O107" s="8" t="s">
        <v>19</v>
      </c>
    </row>
    <row r="108" spans="1:15" s="14" customFormat="1" x14ac:dyDescent="0.25">
      <c r="A108" s="13">
        <v>109</v>
      </c>
      <c r="B108" s="16">
        <v>109</v>
      </c>
      <c r="C108" s="13" t="s">
        <v>2939</v>
      </c>
      <c r="D108" s="6">
        <v>1259</v>
      </c>
      <c r="E108" s="13" t="s">
        <v>2931</v>
      </c>
      <c r="F108" s="13"/>
      <c r="G108" s="17">
        <v>12.4</v>
      </c>
      <c r="H108" s="16">
        <v>87</v>
      </c>
      <c r="I108" s="18">
        <v>7.3710000000000004</v>
      </c>
      <c r="J108" s="13">
        <v>0.3</v>
      </c>
      <c r="K108" s="13"/>
      <c r="L108" s="17">
        <f>G108-J108</f>
        <v>12.1</v>
      </c>
      <c r="M108" s="18">
        <f>L108*(H108*H108)*0.7854/10000</f>
        <v>7.1930780459999992</v>
      </c>
      <c r="N108" s="5"/>
      <c r="O108" s="8" t="s">
        <v>19</v>
      </c>
    </row>
    <row r="109" spans="1:15" s="14" customFormat="1" x14ac:dyDescent="0.25">
      <c r="A109" s="13">
        <v>111</v>
      </c>
      <c r="B109" s="16">
        <v>111</v>
      </c>
      <c r="C109" s="13" t="s">
        <v>2940</v>
      </c>
      <c r="D109" s="6">
        <v>4744</v>
      </c>
      <c r="E109" s="13" t="s">
        <v>2931</v>
      </c>
      <c r="F109" s="13"/>
      <c r="G109" s="17">
        <v>12.1</v>
      </c>
      <c r="H109" s="16">
        <v>111</v>
      </c>
      <c r="I109" s="18">
        <v>11.709</v>
      </c>
      <c r="J109" s="13"/>
      <c r="K109" s="13"/>
      <c r="L109" s="17">
        <f>G109-J109</f>
        <v>12.1</v>
      </c>
      <c r="M109" s="18">
        <f>L109*(H109*H109)*0.7854/10000</f>
        <v>11.709065214000001</v>
      </c>
      <c r="N109" s="5"/>
      <c r="O109" s="8" t="s">
        <v>19</v>
      </c>
    </row>
    <row r="110" spans="1:15" s="14" customFormat="1" x14ac:dyDescent="0.25">
      <c r="A110" s="13">
        <v>112</v>
      </c>
      <c r="B110" s="16">
        <v>112</v>
      </c>
      <c r="C110" s="13" t="s">
        <v>2941</v>
      </c>
      <c r="D110" s="6">
        <v>1260</v>
      </c>
      <c r="E110" s="13" t="s">
        <v>2931</v>
      </c>
      <c r="F110" s="13"/>
      <c r="G110" s="17">
        <v>10.7</v>
      </c>
      <c r="H110" s="16">
        <v>151</v>
      </c>
      <c r="I110" s="18">
        <v>19.161000000000001</v>
      </c>
      <c r="J110" s="13"/>
      <c r="K110" s="13"/>
      <c r="L110" s="17">
        <f>G110-J110</f>
        <v>10.7</v>
      </c>
      <c r="M110" s="18">
        <f>L110*(H110*H110)*0.7854/10000</f>
        <v>19.161458777999997</v>
      </c>
      <c r="N110" s="5"/>
      <c r="O110" s="8" t="s">
        <v>19</v>
      </c>
    </row>
    <row r="111" spans="1:15" s="14" customFormat="1" x14ac:dyDescent="0.25">
      <c r="A111" s="13">
        <v>113</v>
      </c>
      <c r="B111" s="16">
        <v>113</v>
      </c>
      <c r="C111" s="13" t="s">
        <v>2942</v>
      </c>
      <c r="D111" s="6">
        <v>1456</v>
      </c>
      <c r="E111" s="13" t="s">
        <v>2931</v>
      </c>
      <c r="F111" s="13"/>
      <c r="G111" s="17">
        <v>10.4</v>
      </c>
      <c r="H111" s="16">
        <v>74</v>
      </c>
      <c r="I111" s="18">
        <v>4.4729999999999999</v>
      </c>
      <c r="J111" s="13">
        <v>0.4</v>
      </c>
      <c r="K111" s="13"/>
      <c r="L111" s="17">
        <f>G111-J111</f>
        <v>10</v>
      </c>
      <c r="M111" s="18">
        <f>L111*(H111*H111)*0.7854/10000</f>
        <v>4.3008503999999999</v>
      </c>
      <c r="N111" s="5"/>
      <c r="O111" s="8" t="s">
        <v>19</v>
      </c>
    </row>
    <row r="112" spans="1:15" s="14" customFormat="1" x14ac:dyDescent="0.25">
      <c r="A112" s="13">
        <v>114</v>
      </c>
      <c r="B112" s="16">
        <v>114</v>
      </c>
      <c r="C112" s="13" t="s">
        <v>2943</v>
      </c>
      <c r="D112" s="6">
        <v>1261</v>
      </c>
      <c r="E112" s="13" t="s">
        <v>2931</v>
      </c>
      <c r="F112" s="13"/>
      <c r="G112" s="17">
        <v>10.9</v>
      </c>
      <c r="H112" s="16">
        <v>142</v>
      </c>
      <c r="I112" s="18">
        <v>17.262</v>
      </c>
      <c r="J112" s="13"/>
      <c r="K112" s="13"/>
      <c r="L112" s="17">
        <f>G112-J112</f>
        <v>10.9</v>
      </c>
      <c r="M112" s="18">
        <f>L112*(H112*H112)*0.7854/10000</f>
        <v>17.262118103999999</v>
      </c>
      <c r="N112" s="5"/>
      <c r="O112" s="8" t="s">
        <v>19</v>
      </c>
    </row>
    <row r="113" spans="1:15" s="14" customFormat="1" x14ac:dyDescent="0.25">
      <c r="A113" s="13">
        <v>115</v>
      </c>
      <c r="B113" s="16">
        <v>115</v>
      </c>
      <c r="C113" s="13" t="s">
        <v>2944</v>
      </c>
      <c r="D113" s="6">
        <v>1262</v>
      </c>
      <c r="E113" s="13" t="s">
        <v>2931</v>
      </c>
      <c r="F113" s="13"/>
      <c r="G113" s="17">
        <v>12.2</v>
      </c>
      <c r="H113" s="16">
        <v>106</v>
      </c>
      <c r="I113" s="18">
        <v>10.766</v>
      </c>
      <c r="J113" s="13"/>
      <c r="K113" s="13"/>
      <c r="L113" s="17">
        <f>G113-J113</f>
        <v>12.2</v>
      </c>
      <c r="M113" s="18">
        <f>L113*(H113*H113)*0.7854/10000</f>
        <v>10.766200367999998</v>
      </c>
      <c r="N113" s="5"/>
      <c r="O113" s="8" t="s">
        <v>30</v>
      </c>
    </row>
    <row r="114" spans="1:15" s="14" customFormat="1" x14ac:dyDescent="0.25">
      <c r="A114" s="13">
        <v>116</v>
      </c>
      <c r="B114" s="16">
        <v>116</v>
      </c>
      <c r="C114" s="13" t="s">
        <v>2945</v>
      </c>
      <c r="D114" s="6" t="s">
        <v>173</v>
      </c>
      <c r="E114" s="13" t="s">
        <v>2931</v>
      </c>
      <c r="F114" s="13"/>
      <c r="G114" s="17">
        <v>13.4</v>
      </c>
      <c r="H114" s="16">
        <v>106</v>
      </c>
      <c r="I114" s="18">
        <v>11.824999999999999</v>
      </c>
      <c r="J114" s="13"/>
      <c r="K114" s="13"/>
      <c r="L114" s="17">
        <f>G114-J114</f>
        <v>13.4</v>
      </c>
      <c r="M114" s="18">
        <f>L114*(H114*H114)*0.7854/10000</f>
        <v>11.825170895999999</v>
      </c>
      <c r="N114" s="5"/>
      <c r="O114" s="8" t="s">
        <v>19</v>
      </c>
    </row>
    <row r="115" spans="1:15" s="14" customFormat="1" x14ac:dyDescent="0.25">
      <c r="A115" s="13">
        <v>117</v>
      </c>
      <c r="B115" s="16">
        <v>117</v>
      </c>
      <c r="C115" s="13" t="s">
        <v>2946</v>
      </c>
      <c r="D115" s="6" t="s">
        <v>175</v>
      </c>
      <c r="E115" s="13" t="s">
        <v>2931</v>
      </c>
      <c r="F115" s="13"/>
      <c r="G115" s="17">
        <v>9.8000000000000007</v>
      </c>
      <c r="H115" s="16">
        <v>80</v>
      </c>
      <c r="I115" s="18">
        <v>4.9260000000000002</v>
      </c>
      <c r="J115" s="13"/>
      <c r="K115" s="13"/>
      <c r="L115" s="17">
        <f>G115-J115</f>
        <v>9.8000000000000007</v>
      </c>
      <c r="M115" s="18">
        <f>L115*(H115*H115)*0.7854/10000</f>
        <v>4.926028800000001</v>
      </c>
      <c r="N115" s="5"/>
      <c r="O115" s="8" t="s">
        <v>19</v>
      </c>
    </row>
    <row r="116" spans="1:15" s="14" customFormat="1" x14ac:dyDescent="0.25">
      <c r="A116" s="13">
        <v>118</v>
      </c>
      <c r="B116" s="16">
        <v>118</v>
      </c>
      <c r="C116" s="13" t="s">
        <v>2947</v>
      </c>
      <c r="D116" s="6" t="s">
        <v>173</v>
      </c>
      <c r="E116" s="13" t="s">
        <v>2931</v>
      </c>
      <c r="F116" s="13"/>
      <c r="G116" s="17">
        <v>10.199999999999999</v>
      </c>
      <c r="H116" s="16">
        <v>92</v>
      </c>
      <c r="I116" s="18">
        <v>6.7809999999999997</v>
      </c>
      <c r="J116" s="13"/>
      <c r="K116" s="13"/>
      <c r="L116" s="17">
        <f>G116-J116</f>
        <v>10.199999999999999</v>
      </c>
      <c r="M116" s="18">
        <f>L116*(H116*H116)*0.7854/10000</f>
        <v>6.7805781119999988</v>
      </c>
      <c r="N116" s="5"/>
      <c r="O116" s="8" t="s">
        <v>30</v>
      </c>
    </row>
    <row r="117" spans="1:15" s="14" customFormat="1" x14ac:dyDescent="0.25">
      <c r="A117" s="13">
        <v>119</v>
      </c>
      <c r="B117" s="16">
        <v>119</v>
      </c>
      <c r="C117" s="13" t="s">
        <v>2948</v>
      </c>
      <c r="D117" s="6" t="s">
        <v>178</v>
      </c>
      <c r="E117" s="13" t="s">
        <v>2931</v>
      </c>
      <c r="F117" s="13"/>
      <c r="G117" s="17">
        <v>7.6</v>
      </c>
      <c r="H117" s="16">
        <v>71</v>
      </c>
      <c r="I117" s="18">
        <v>3.0089999999999999</v>
      </c>
      <c r="J117" s="13"/>
      <c r="K117" s="13"/>
      <c r="L117" s="17">
        <f>G117-J117</f>
        <v>7.6</v>
      </c>
      <c r="M117" s="18">
        <f>L117*(H117*H117)*0.7854/10000</f>
        <v>3.0089930639999998</v>
      </c>
      <c r="N117" s="5" t="s">
        <v>21</v>
      </c>
      <c r="O117" s="8" t="s">
        <v>19</v>
      </c>
    </row>
    <row r="118" spans="1:15" s="14" customFormat="1" x14ac:dyDescent="0.25">
      <c r="A118" s="13">
        <v>120</v>
      </c>
      <c r="B118" s="16">
        <v>120</v>
      </c>
      <c r="C118" s="13" t="s">
        <v>2949</v>
      </c>
      <c r="D118" s="6" t="s">
        <v>180</v>
      </c>
      <c r="E118" s="13" t="s">
        <v>2931</v>
      </c>
      <c r="F118" s="13"/>
      <c r="G118" s="17">
        <v>11.6</v>
      </c>
      <c r="H118" s="16">
        <v>103</v>
      </c>
      <c r="I118" s="18">
        <v>9.6649999999999991</v>
      </c>
      <c r="J118" s="13">
        <v>0.4</v>
      </c>
      <c r="K118" s="13"/>
      <c r="L118" s="17">
        <f>G118-J118</f>
        <v>11.2</v>
      </c>
      <c r="M118" s="18">
        <f>L118*(H118*H118)*0.7854/10000</f>
        <v>9.3321856319999998</v>
      </c>
      <c r="N118" s="5"/>
      <c r="O118" s="8" t="s">
        <v>19</v>
      </c>
    </row>
    <row r="119" spans="1:15" s="14" customFormat="1" x14ac:dyDescent="0.25">
      <c r="A119" s="13">
        <v>121</v>
      </c>
      <c r="B119" s="16">
        <v>121</v>
      </c>
      <c r="C119" s="13" t="s">
        <v>2950</v>
      </c>
      <c r="D119" s="6" t="s">
        <v>182</v>
      </c>
      <c r="E119" s="13" t="s">
        <v>2931</v>
      </c>
      <c r="F119" s="13"/>
      <c r="G119" s="17">
        <v>11.4</v>
      </c>
      <c r="H119" s="16">
        <v>101</v>
      </c>
      <c r="I119" s="18">
        <v>9.1340000000000003</v>
      </c>
      <c r="J119" s="13"/>
      <c r="K119" s="13"/>
      <c r="L119" s="17">
        <f>G119-J119</f>
        <v>11.4</v>
      </c>
      <c r="M119" s="18">
        <f>L119*(H119*H119)*0.7854/10000</f>
        <v>9.1335265559999996</v>
      </c>
      <c r="N119" s="5"/>
      <c r="O119" s="8" t="s">
        <v>30</v>
      </c>
    </row>
    <row r="120" spans="1:15" s="14" customFormat="1" x14ac:dyDescent="0.25">
      <c r="A120" s="13">
        <v>122</v>
      </c>
      <c r="B120" s="16">
        <v>122</v>
      </c>
      <c r="C120" s="13" t="s">
        <v>2951</v>
      </c>
      <c r="D120" s="6" t="s">
        <v>184</v>
      </c>
      <c r="E120" s="13" t="s">
        <v>2931</v>
      </c>
      <c r="F120" s="13"/>
      <c r="G120" s="17">
        <v>11.4</v>
      </c>
      <c r="H120" s="16">
        <v>106</v>
      </c>
      <c r="I120" s="18">
        <v>10.06</v>
      </c>
      <c r="J120" s="13">
        <v>0.3</v>
      </c>
      <c r="K120" s="13"/>
      <c r="L120" s="17">
        <f>G120-J120</f>
        <v>11.1</v>
      </c>
      <c r="M120" s="18">
        <f>L120*(H120*H120)*0.7854/10000</f>
        <v>9.7954773839999998</v>
      </c>
      <c r="N120" s="5"/>
      <c r="O120" s="8" t="s">
        <v>19</v>
      </c>
    </row>
    <row r="121" spans="1:15" s="14" customFormat="1" x14ac:dyDescent="0.25">
      <c r="A121" s="13">
        <v>123</v>
      </c>
      <c r="B121" s="16">
        <v>123</v>
      </c>
      <c r="C121" s="13" t="s">
        <v>2952</v>
      </c>
      <c r="D121" s="6" t="s">
        <v>186</v>
      </c>
      <c r="E121" s="13" t="s">
        <v>2931</v>
      </c>
      <c r="F121" s="13"/>
      <c r="G121" s="17">
        <v>6.1</v>
      </c>
      <c r="H121" s="16">
        <v>95</v>
      </c>
      <c r="I121" s="18">
        <v>4.3239999999999998</v>
      </c>
      <c r="J121" s="13"/>
      <c r="K121" s="13"/>
      <c r="L121" s="17">
        <f>G121-J121</f>
        <v>6.1</v>
      </c>
      <c r="M121" s="18">
        <f>L121*(H121*H121)*0.7854/10000</f>
        <v>4.3238233500000005</v>
      </c>
      <c r="N121" s="5"/>
      <c r="O121" s="8" t="s">
        <v>19</v>
      </c>
    </row>
    <row r="122" spans="1:15" s="14" customFormat="1" x14ac:dyDescent="0.25">
      <c r="A122" s="13">
        <v>124</v>
      </c>
      <c r="B122" s="16">
        <v>124</v>
      </c>
      <c r="C122" s="13" t="s">
        <v>2953</v>
      </c>
      <c r="D122" s="6" t="s">
        <v>188</v>
      </c>
      <c r="E122" s="13" t="s">
        <v>2931</v>
      </c>
      <c r="F122" s="13"/>
      <c r="G122" s="17">
        <v>5.9</v>
      </c>
      <c r="H122" s="16">
        <v>104</v>
      </c>
      <c r="I122" s="18">
        <v>5.0119999999999996</v>
      </c>
      <c r="J122" s="13"/>
      <c r="K122" s="13"/>
      <c r="L122" s="17">
        <f>G122-J122</f>
        <v>5.9</v>
      </c>
      <c r="M122" s="18">
        <f>L122*(H122*H122)*0.7854/10000</f>
        <v>5.0119829759999996</v>
      </c>
      <c r="N122" s="5"/>
      <c r="O122" s="8" t="s">
        <v>19</v>
      </c>
    </row>
    <row r="123" spans="1:15" s="14" customFormat="1" x14ac:dyDescent="0.25">
      <c r="A123" s="13">
        <v>125</v>
      </c>
      <c r="B123" s="16">
        <v>125</v>
      </c>
      <c r="C123" s="13" t="s">
        <v>2954</v>
      </c>
      <c r="D123" s="6" t="s">
        <v>190</v>
      </c>
      <c r="E123" s="13" t="s">
        <v>2931</v>
      </c>
      <c r="F123" s="13"/>
      <c r="G123" s="17">
        <v>10.9</v>
      </c>
      <c r="H123" s="16">
        <v>108</v>
      </c>
      <c r="I123" s="18">
        <v>9.9849999999999994</v>
      </c>
      <c r="J123" s="13"/>
      <c r="K123" s="13"/>
      <c r="L123" s="17">
        <f>G123-J123</f>
        <v>10.9</v>
      </c>
      <c r="M123" s="18">
        <f>L123*(H123*H123)*0.7854/10000</f>
        <v>9.9853871039999991</v>
      </c>
      <c r="N123" s="5"/>
      <c r="O123" s="8" t="s">
        <v>19</v>
      </c>
    </row>
    <row r="124" spans="1:15" s="14" customFormat="1" x14ac:dyDescent="0.25">
      <c r="A124" s="13">
        <v>126</v>
      </c>
      <c r="B124" s="16">
        <v>126</v>
      </c>
      <c r="C124" s="13" t="s">
        <v>2955</v>
      </c>
      <c r="D124" s="6" t="s">
        <v>192</v>
      </c>
      <c r="E124" s="13" t="s">
        <v>2931</v>
      </c>
      <c r="F124" s="13"/>
      <c r="G124" s="17">
        <v>10.6</v>
      </c>
      <c r="H124" s="16">
        <v>100</v>
      </c>
      <c r="I124" s="18">
        <v>8.3249999999999993</v>
      </c>
      <c r="J124" s="13"/>
      <c r="K124" s="13"/>
      <c r="L124" s="17">
        <f>G124-J124</f>
        <v>10.6</v>
      </c>
      <c r="M124" s="18">
        <f>L124*(H124*H124)*0.7854/10000</f>
        <v>8.3252399999999991</v>
      </c>
      <c r="N124" s="5"/>
      <c r="O124" s="8" t="s">
        <v>19</v>
      </c>
    </row>
    <row r="125" spans="1:15" s="14" customFormat="1" x14ac:dyDescent="0.25">
      <c r="A125" s="13">
        <v>127</v>
      </c>
      <c r="B125" s="16">
        <v>127</v>
      </c>
      <c r="C125" s="13" t="s">
        <v>2956</v>
      </c>
      <c r="D125" s="6" t="s">
        <v>194</v>
      </c>
      <c r="E125" s="13" t="s">
        <v>2931</v>
      </c>
      <c r="F125" s="13"/>
      <c r="G125" s="17">
        <v>5.4</v>
      </c>
      <c r="H125" s="16">
        <v>107</v>
      </c>
      <c r="I125" s="18">
        <v>4.8559999999999999</v>
      </c>
      <c r="J125" s="13"/>
      <c r="K125" s="13"/>
      <c r="L125" s="17">
        <f>G125-J125</f>
        <v>5.4</v>
      </c>
      <c r="M125" s="18">
        <f>L125*(H125*H125)*0.7854/10000</f>
        <v>4.8557040840000001</v>
      </c>
      <c r="N125" s="5"/>
      <c r="O125" s="8" t="s">
        <v>19</v>
      </c>
    </row>
    <row r="126" spans="1:15" s="14" customFormat="1" x14ac:dyDescent="0.25">
      <c r="A126" s="13">
        <v>128</v>
      </c>
      <c r="B126" s="16">
        <v>128</v>
      </c>
      <c r="C126" s="13" t="s">
        <v>2957</v>
      </c>
      <c r="D126" s="6" t="s">
        <v>196</v>
      </c>
      <c r="E126" s="13" t="s">
        <v>2931</v>
      </c>
      <c r="F126" s="13"/>
      <c r="G126" s="17">
        <v>6.8</v>
      </c>
      <c r="H126" s="16">
        <v>93</v>
      </c>
      <c r="I126" s="18">
        <v>4.6189999999999998</v>
      </c>
      <c r="J126" s="13"/>
      <c r="K126" s="13"/>
      <c r="L126" s="17">
        <f>G126-J126</f>
        <v>6.8</v>
      </c>
      <c r="M126" s="18">
        <f>L126*(H126*H126)*0.7854/10000</f>
        <v>4.6191887279999992</v>
      </c>
      <c r="N126" s="5"/>
      <c r="O126" s="8" t="s">
        <v>19</v>
      </c>
    </row>
    <row r="127" spans="1:15" s="14" customFormat="1" x14ac:dyDescent="0.25">
      <c r="A127" s="13">
        <v>129</v>
      </c>
      <c r="B127" s="16">
        <v>129</v>
      </c>
      <c r="C127" s="13" t="s">
        <v>2958</v>
      </c>
      <c r="D127" s="6">
        <v>1471</v>
      </c>
      <c r="E127" s="13" t="s">
        <v>2931</v>
      </c>
      <c r="F127" s="13"/>
      <c r="G127" s="17">
        <v>6.5</v>
      </c>
      <c r="H127" s="16">
        <v>102</v>
      </c>
      <c r="I127" s="18">
        <v>5.3109999999999999</v>
      </c>
      <c r="J127" s="13"/>
      <c r="K127" s="13"/>
      <c r="L127" s="17">
        <f>G127-J127</f>
        <v>6.5</v>
      </c>
      <c r="M127" s="18">
        <f>L127*(H127*H127)*0.7854/10000</f>
        <v>5.3113460399999992</v>
      </c>
      <c r="N127" s="5"/>
      <c r="O127" s="8" t="s">
        <v>19</v>
      </c>
    </row>
    <row r="128" spans="1:15" s="14" customFormat="1" x14ac:dyDescent="0.25">
      <c r="A128" s="13">
        <v>130</v>
      </c>
      <c r="B128" s="16">
        <v>130</v>
      </c>
      <c r="C128" s="13" t="s">
        <v>2959</v>
      </c>
      <c r="D128" s="6" t="s">
        <v>199</v>
      </c>
      <c r="E128" s="13" t="s">
        <v>2931</v>
      </c>
      <c r="F128" s="13"/>
      <c r="G128" s="17">
        <v>8.1999999999999993</v>
      </c>
      <c r="H128" s="16">
        <v>113</v>
      </c>
      <c r="I128" s="18">
        <v>8.2240000000000002</v>
      </c>
      <c r="J128" s="13"/>
      <c r="K128" s="13"/>
      <c r="L128" s="17">
        <f>G128-J128</f>
        <v>8.1999999999999993</v>
      </c>
      <c r="M128" s="18">
        <f>L128*(H128*H128)*0.7854/10000</f>
        <v>8.2235935319999989</v>
      </c>
      <c r="N128" s="5"/>
      <c r="O128" s="8" t="s">
        <v>30</v>
      </c>
    </row>
    <row r="129" spans="1:15" s="14" customFormat="1" x14ac:dyDescent="0.25">
      <c r="A129" s="13">
        <v>131</v>
      </c>
      <c r="B129" s="16">
        <v>131</v>
      </c>
      <c r="C129" s="13" t="s">
        <v>2960</v>
      </c>
      <c r="D129" s="6" t="s">
        <v>201</v>
      </c>
      <c r="E129" s="13" t="s">
        <v>2931</v>
      </c>
      <c r="F129" s="13"/>
      <c r="G129" s="17">
        <v>11.1</v>
      </c>
      <c r="H129" s="16">
        <v>97</v>
      </c>
      <c r="I129" s="18">
        <v>8.2029999999999994</v>
      </c>
      <c r="J129" s="13"/>
      <c r="K129" s="13"/>
      <c r="L129" s="17">
        <f>G129-J129</f>
        <v>11.1</v>
      </c>
      <c r="M129" s="18">
        <f>L129*(H129*H129)*0.7854/10000</f>
        <v>8.2027097459999982</v>
      </c>
      <c r="N129" s="5"/>
      <c r="O129" s="8" t="s">
        <v>19</v>
      </c>
    </row>
    <row r="130" spans="1:15" s="14" customFormat="1" x14ac:dyDescent="0.25">
      <c r="A130" s="13">
        <v>132</v>
      </c>
      <c r="B130" s="16">
        <v>132</v>
      </c>
      <c r="C130" s="13" t="s">
        <v>2961</v>
      </c>
      <c r="D130" s="6" t="s">
        <v>203</v>
      </c>
      <c r="E130" s="13" t="s">
        <v>2931</v>
      </c>
      <c r="F130" s="13"/>
      <c r="G130" s="17">
        <v>4.4000000000000004</v>
      </c>
      <c r="H130" s="16">
        <v>113</v>
      </c>
      <c r="I130" s="18">
        <v>4.4130000000000003</v>
      </c>
      <c r="J130" s="13"/>
      <c r="K130" s="13"/>
      <c r="L130" s="17">
        <f>G130-J130</f>
        <v>4.4000000000000004</v>
      </c>
      <c r="M130" s="18">
        <f>L130*(H130*H130)*0.7854/10000</f>
        <v>4.4126599440000005</v>
      </c>
      <c r="N130" s="5"/>
      <c r="O130" s="8" t="s">
        <v>19</v>
      </c>
    </row>
    <row r="131" spans="1:15" s="14" customFormat="1" x14ac:dyDescent="0.25">
      <c r="A131" s="13">
        <v>133</v>
      </c>
      <c r="B131" s="16">
        <v>133</v>
      </c>
      <c r="C131" s="13" t="s">
        <v>2962</v>
      </c>
      <c r="D131" s="6" t="s">
        <v>205</v>
      </c>
      <c r="E131" s="13" t="s">
        <v>2931</v>
      </c>
      <c r="F131" s="13"/>
      <c r="G131" s="17">
        <v>5</v>
      </c>
      <c r="H131" s="16">
        <v>91</v>
      </c>
      <c r="I131" s="18">
        <v>3.2519999999999998</v>
      </c>
      <c r="J131" s="13"/>
      <c r="K131" s="13"/>
      <c r="L131" s="17">
        <f>G131-J131</f>
        <v>5</v>
      </c>
      <c r="M131" s="18">
        <f>L131*(H131*H131)*0.7854/10000</f>
        <v>3.2519487000000002</v>
      </c>
      <c r="N131" s="5"/>
      <c r="O131" s="8" t="s">
        <v>30</v>
      </c>
    </row>
    <row r="132" spans="1:15" s="14" customFormat="1" x14ac:dyDescent="0.25">
      <c r="A132" s="13">
        <v>134</v>
      </c>
      <c r="B132" s="16">
        <v>134</v>
      </c>
      <c r="C132" s="13" t="s">
        <v>2963</v>
      </c>
      <c r="D132" s="6">
        <v>1242</v>
      </c>
      <c r="E132" s="13" t="s">
        <v>2931</v>
      </c>
      <c r="F132" s="13"/>
      <c r="G132" s="17">
        <v>12.3</v>
      </c>
      <c r="H132" s="16">
        <v>81</v>
      </c>
      <c r="I132" s="18">
        <v>6.3380000000000001</v>
      </c>
      <c r="J132" s="13"/>
      <c r="K132" s="13"/>
      <c r="L132" s="17">
        <f>G132-J132</f>
        <v>12.3</v>
      </c>
      <c r="M132" s="18">
        <f>L132*(H132*H132)*0.7854/10000</f>
        <v>6.3382015620000001</v>
      </c>
      <c r="N132" s="5"/>
      <c r="O132" s="8" t="s">
        <v>19</v>
      </c>
    </row>
    <row r="133" spans="1:15" s="14" customFormat="1" x14ac:dyDescent="0.25">
      <c r="A133" s="13">
        <v>135</v>
      </c>
      <c r="B133" s="16">
        <v>135</v>
      </c>
      <c r="C133" s="13" t="s">
        <v>2964</v>
      </c>
      <c r="D133" s="6" t="s">
        <v>208</v>
      </c>
      <c r="E133" s="13" t="s">
        <v>2931</v>
      </c>
      <c r="F133" s="13"/>
      <c r="G133" s="17">
        <v>12.4</v>
      </c>
      <c r="H133" s="16">
        <v>117</v>
      </c>
      <c r="I133" s="18">
        <v>13.332000000000001</v>
      </c>
      <c r="J133" s="13"/>
      <c r="K133" s="13"/>
      <c r="L133" s="17">
        <f>G133-J133</f>
        <v>12.4</v>
      </c>
      <c r="M133" s="18">
        <f>L133*(H133*H133)*0.7854/10000</f>
        <v>13.331662344</v>
      </c>
      <c r="N133" s="5"/>
      <c r="O133" s="8" t="s">
        <v>19</v>
      </c>
    </row>
    <row r="134" spans="1:15" s="14" customFormat="1" x14ac:dyDescent="0.25">
      <c r="A134" s="13">
        <v>136</v>
      </c>
      <c r="B134" s="16">
        <v>136</v>
      </c>
      <c r="C134" s="13" t="s">
        <v>2965</v>
      </c>
      <c r="D134" s="6" t="s">
        <v>210</v>
      </c>
      <c r="E134" s="13" t="s">
        <v>2931</v>
      </c>
      <c r="F134" s="13"/>
      <c r="G134" s="17">
        <v>6.1</v>
      </c>
      <c r="H134" s="16">
        <v>75</v>
      </c>
      <c r="I134" s="18">
        <v>2.6949999999999998</v>
      </c>
      <c r="J134" s="13"/>
      <c r="K134" s="13"/>
      <c r="L134" s="17">
        <f>G134-J134</f>
        <v>6.1</v>
      </c>
      <c r="M134" s="18">
        <f>L134*(H134*H134)*0.7854/10000</f>
        <v>2.6949037499999999</v>
      </c>
      <c r="N134" s="5"/>
      <c r="O134" s="8" t="s">
        <v>30</v>
      </c>
    </row>
    <row r="135" spans="1:15" s="14" customFormat="1" x14ac:dyDescent="0.25">
      <c r="A135" s="13">
        <v>137</v>
      </c>
      <c r="B135" s="16">
        <v>137</v>
      </c>
      <c r="C135" s="13" t="s">
        <v>2966</v>
      </c>
      <c r="D135" s="6" t="s">
        <v>212</v>
      </c>
      <c r="E135" s="13" t="s">
        <v>2931</v>
      </c>
      <c r="F135" s="13"/>
      <c r="G135" s="17">
        <v>7.8</v>
      </c>
      <c r="H135" s="16">
        <v>110</v>
      </c>
      <c r="I135" s="18">
        <v>7.4130000000000003</v>
      </c>
      <c r="J135" s="13"/>
      <c r="K135" s="13"/>
      <c r="L135" s="17">
        <f>G135-J135</f>
        <v>7.8</v>
      </c>
      <c r="M135" s="18">
        <f>L135*(H135*H135)*0.7854/10000</f>
        <v>7.4126051999999998</v>
      </c>
      <c r="N135" s="5"/>
      <c r="O135" s="8" t="s">
        <v>19</v>
      </c>
    </row>
    <row r="136" spans="1:15" s="14" customFormat="1" x14ac:dyDescent="0.25">
      <c r="A136" s="13">
        <v>138</v>
      </c>
      <c r="B136" s="16">
        <v>138</v>
      </c>
      <c r="C136" s="13" t="s">
        <v>2967</v>
      </c>
      <c r="D136" s="6" t="s">
        <v>214</v>
      </c>
      <c r="E136" s="13" t="s">
        <v>2931</v>
      </c>
      <c r="F136" s="13"/>
      <c r="G136" s="17">
        <v>11.2</v>
      </c>
      <c r="H136" s="16">
        <v>122</v>
      </c>
      <c r="I136" s="18">
        <v>13.093</v>
      </c>
      <c r="J136" s="13">
        <v>0.3</v>
      </c>
      <c r="K136" s="13"/>
      <c r="L136" s="17">
        <f>G136-J136</f>
        <v>10.899999999999999</v>
      </c>
      <c r="M136" s="18">
        <f>L136*(H136*H136)*0.7854/10000</f>
        <v>12.741984023999997</v>
      </c>
      <c r="N136" s="5"/>
      <c r="O136" s="8" t="s">
        <v>19</v>
      </c>
    </row>
    <row r="137" spans="1:15" s="14" customFormat="1" x14ac:dyDescent="0.25">
      <c r="A137" s="13">
        <v>139</v>
      </c>
      <c r="B137" s="16">
        <v>139</v>
      </c>
      <c r="C137" s="13" t="s">
        <v>2968</v>
      </c>
      <c r="D137" s="6" t="s">
        <v>216</v>
      </c>
      <c r="E137" s="13" t="s">
        <v>2931</v>
      </c>
      <c r="F137" s="13"/>
      <c r="G137" s="17">
        <v>10</v>
      </c>
      <c r="H137" s="16">
        <v>94</v>
      </c>
      <c r="I137" s="18">
        <v>6.94</v>
      </c>
      <c r="J137" s="13"/>
      <c r="K137" s="13"/>
      <c r="L137" s="17">
        <f>G137-J137</f>
        <v>10</v>
      </c>
      <c r="M137" s="18">
        <f>L137*(H137*H137)*0.7854/10000</f>
        <v>6.9397944000000003</v>
      </c>
      <c r="N137" s="5"/>
      <c r="O137" s="8" t="s">
        <v>19</v>
      </c>
    </row>
    <row r="138" spans="1:15" s="14" customFormat="1" x14ac:dyDescent="0.25">
      <c r="A138" s="13">
        <v>140</v>
      </c>
      <c r="B138" s="16">
        <v>140</v>
      </c>
      <c r="C138" s="13" t="s">
        <v>2969</v>
      </c>
      <c r="D138" s="6">
        <v>1475</v>
      </c>
      <c r="E138" s="13" t="s">
        <v>2931</v>
      </c>
      <c r="F138" s="13"/>
      <c r="G138" s="17">
        <v>9.1999999999999993</v>
      </c>
      <c r="H138" s="16">
        <v>94</v>
      </c>
      <c r="I138" s="18">
        <v>6.3849999999999998</v>
      </c>
      <c r="J138" s="13"/>
      <c r="K138" s="13"/>
      <c r="L138" s="17">
        <f>G138-J138</f>
        <v>9.1999999999999993</v>
      </c>
      <c r="M138" s="18">
        <f>L138*(H138*H138)*0.7854/10000</f>
        <v>6.3846108479999995</v>
      </c>
      <c r="N138" s="5"/>
      <c r="O138" s="8" t="s">
        <v>19</v>
      </c>
    </row>
    <row r="139" spans="1:15" s="14" customFormat="1" x14ac:dyDescent="0.25">
      <c r="A139" s="13">
        <v>141</v>
      </c>
      <c r="B139" s="16">
        <v>141</v>
      </c>
      <c r="C139" s="13" t="s">
        <v>2970</v>
      </c>
      <c r="D139" s="6" t="s">
        <v>219</v>
      </c>
      <c r="E139" s="13" t="s">
        <v>2931</v>
      </c>
      <c r="F139" s="13"/>
      <c r="G139" s="17">
        <v>6.1</v>
      </c>
      <c r="H139" s="16">
        <v>114</v>
      </c>
      <c r="I139" s="18">
        <v>6.226</v>
      </c>
      <c r="J139" s="13"/>
      <c r="K139" s="13"/>
      <c r="L139" s="17">
        <f>G139-J139</f>
        <v>6.1</v>
      </c>
      <c r="M139" s="18">
        <f>L139*(H139*H139)*0.7854/10000</f>
        <v>6.2263056239999992</v>
      </c>
      <c r="N139" s="5"/>
      <c r="O139" s="8" t="s">
        <v>19</v>
      </c>
    </row>
    <row r="140" spans="1:15" s="14" customFormat="1" x14ac:dyDescent="0.25">
      <c r="A140" s="13">
        <v>142</v>
      </c>
      <c r="B140" s="16">
        <v>142</v>
      </c>
      <c r="C140" s="13" t="s">
        <v>2971</v>
      </c>
      <c r="D140" s="6" t="s">
        <v>221</v>
      </c>
      <c r="E140" s="13" t="s">
        <v>2931</v>
      </c>
      <c r="F140" s="13"/>
      <c r="G140" s="17">
        <v>6.2</v>
      </c>
      <c r="H140" s="16">
        <v>88</v>
      </c>
      <c r="I140" s="18">
        <v>3.7709999999999999</v>
      </c>
      <c r="J140" s="13"/>
      <c r="K140" s="13"/>
      <c r="L140" s="17">
        <f>G140-J140</f>
        <v>6.2</v>
      </c>
      <c r="M140" s="18">
        <f>L140*(H140*H140)*0.7854/10000</f>
        <v>3.7709253120000001</v>
      </c>
      <c r="N140" s="5"/>
      <c r="O140" s="8" t="s">
        <v>19</v>
      </c>
    </row>
    <row r="141" spans="1:15" s="14" customFormat="1" x14ac:dyDescent="0.25">
      <c r="A141" s="13">
        <v>143</v>
      </c>
      <c r="B141" s="16">
        <v>143</v>
      </c>
      <c r="C141" s="13" t="s">
        <v>2972</v>
      </c>
      <c r="D141" s="6" t="s">
        <v>223</v>
      </c>
      <c r="E141" s="13" t="s">
        <v>2931</v>
      </c>
      <c r="F141" s="13"/>
      <c r="G141" s="17">
        <v>12.7</v>
      </c>
      <c r="H141" s="16">
        <v>120</v>
      </c>
      <c r="I141" s="18">
        <v>14.363</v>
      </c>
      <c r="J141" s="13">
        <v>0.4</v>
      </c>
      <c r="K141" s="13"/>
      <c r="L141" s="17">
        <f>G141-J141</f>
        <v>12.299999999999999</v>
      </c>
      <c r="M141" s="18">
        <f>L141*(H141*H141)*0.7854/10000</f>
        <v>13.911004799999999</v>
      </c>
      <c r="N141" s="5"/>
      <c r="O141" s="8" t="s">
        <v>19</v>
      </c>
    </row>
    <row r="142" spans="1:15" s="14" customFormat="1" x14ac:dyDescent="0.25">
      <c r="A142" s="13">
        <v>144</v>
      </c>
      <c r="B142" s="16">
        <v>144</v>
      </c>
      <c r="C142" s="13" t="s">
        <v>2973</v>
      </c>
      <c r="D142" s="6" t="s">
        <v>225</v>
      </c>
      <c r="E142" s="13" t="s">
        <v>2931</v>
      </c>
      <c r="F142" s="13"/>
      <c r="G142" s="17">
        <v>10.199999999999999</v>
      </c>
      <c r="H142" s="16">
        <v>92</v>
      </c>
      <c r="I142" s="18">
        <v>6.7809999999999997</v>
      </c>
      <c r="J142" s="13"/>
      <c r="K142" s="13"/>
      <c r="L142" s="17">
        <f>G142-J142</f>
        <v>10.199999999999999</v>
      </c>
      <c r="M142" s="18">
        <f>L142*(H142*H142)*0.7854/10000</f>
        <v>6.7805781119999988</v>
      </c>
      <c r="N142" s="5"/>
      <c r="O142" s="8" t="s">
        <v>19</v>
      </c>
    </row>
    <row r="143" spans="1:15" s="14" customFormat="1" x14ac:dyDescent="0.25">
      <c r="A143" s="13">
        <v>145</v>
      </c>
      <c r="B143" s="16">
        <v>145</v>
      </c>
      <c r="C143" s="13" t="s">
        <v>2974</v>
      </c>
      <c r="D143" s="6" t="s">
        <v>227</v>
      </c>
      <c r="E143" s="13" t="s">
        <v>2931</v>
      </c>
      <c r="F143" s="13"/>
      <c r="G143" s="17">
        <v>5.5</v>
      </c>
      <c r="H143" s="16">
        <v>115</v>
      </c>
      <c r="I143" s="18">
        <v>5.7130000000000001</v>
      </c>
      <c r="J143" s="13"/>
      <c r="K143" s="13"/>
      <c r="L143" s="17">
        <f>G143-J143</f>
        <v>5.5</v>
      </c>
      <c r="M143" s="18">
        <f>L143*(H143*H143)*0.7854/10000</f>
        <v>5.7128032500000003</v>
      </c>
      <c r="N143" s="5"/>
      <c r="O143" s="8" t="s">
        <v>30</v>
      </c>
    </row>
    <row r="144" spans="1:15" s="14" customFormat="1" x14ac:dyDescent="0.25">
      <c r="A144" s="13">
        <v>146</v>
      </c>
      <c r="B144" s="16">
        <v>146</v>
      </c>
      <c r="C144" s="13" t="s">
        <v>2975</v>
      </c>
      <c r="D144" s="6" t="s">
        <v>229</v>
      </c>
      <c r="E144" s="13" t="s">
        <v>2931</v>
      </c>
      <c r="F144" s="13"/>
      <c r="G144" s="17">
        <v>5.9</v>
      </c>
      <c r="H144" s="16">
        <v>85</v>
      </c>
      <c r="I144" s="18">
        <v>3.3479999999999999</v>
      </c>
      <c r="J144" s="13"/>
      <c r="K144" s="13"/>
      <c r="L144" s="17">
        <f>G144-J144</f>
        <v>5.9</v>
      </c>
      <c r="M144" s="18">
        <f>L144*(H144*H144)*0.7854/10000</f>
        <v>3.3479638500000002</v>
      </c>
      <c r="N144" s="5"/>
      <c r="O144" s="8" t="s">
        <v>19</v>
      </c>
    </row>
    <row r="145" spans="1:15" s="14" customFormat="1" x14ac:dyDescent="0.25">
      <c r="A145" s="13">
        <v>147</v>
      </c>
      <c r="B145" s="16">
        <v>147</v>
      </c>
      <c r="C145" s="13" t="s">
        <v>2976</v>
      </c>
      <c r="D145" s="6">
        <v>4775</v>
      </c>
      <c r="E145" s="13" t="s">
        <v>2931</v>
      </c>
      <c r="F145" s="13"/>
      <c r="G145" s="17">
        <v>14.4</v>
      </c>
      <c r="H145" s="16">
        <v>69</v>
      </c>
      <c r="I145" s="18">
        <v>5.3849999999999998</v>
      </c>
      <c r="J145" s="13"/>
      <c r="K145" s="13"/>
      <c r="L145" s="17">
        <f>G145-J145</f>
        <v>14.4</v>
      </c>
      <c r="M145" s="18">
        <f>L145*(H145*H145)*0.7854/10000</f>
        <v>5.3845767360000005</v>
      </c>
      <c r="N145" s="5"/>
      <c r="O145" s="8" t="s">
        <v>19</v>
      </c>
    </row>
    <row r="146" spans="1:15" s="14" customFormat="1" x14ac:dyDescent="0.25">
      <c r="A146" s="13">
        <v>148</v>
      </c>
      <c r="B146" s="16">
        <v>148</v>
      </c>
      <c r="C146" s="13" t="s">
        <v>2977</v>
      </c>
      <c r="D146" s="6" t="s">
        <v>232</v>
      </c>
      <c r="E146" s="13" t="s">
        <v>2931</v>
      </c>
      <c r="F146" s="13"/>
      <c r="G146" s="17">
        <v>10.9</v>
      </c>
      <c r="H146" s="16">
        <v>88</v>
      </c>
      <c r="I146" s="18">
        <v>6.63</v>
      </c>
      <c r="J146" s="13"/>
      <c r="K146" s="13"/>
      <c r="L146" s="17">
        <f>G146-J146</f>
        <v>10.9</v>
      </c>
      <c r="M146" s="18">
        <f>L146*(H146*H146)*0.7854/10000</f>
        <v>6.6295299840000004</v>
      </c>
      <c r="N146" s="5" t="s">
        <v>53</v>
      </c>
      <c r="O146" s="8" t="s">
        <v>30</v>
      </c>
    </row>
    <row r="147" spans="1:15" s="14" customFormat="1" x14ac:dyDescent="0.25">
      <c r="A147" s="13">
        <v>149</v>
      </c>
      <c r="B147" s="16">
        <v>149</v>
      </c>
      <c r="C147" s="13" t="s">
        <v>2978</v>
      </c>
      <c r="D147" s="6" t="s">
        <v>234</v>
      </c>
      <c r="E147" s="13" t="s">
        <v>2931</v>
      </c>
      <c r="F147" s="13"/>
      <c r="G147" s="17">
        <v>11.6</v>
      </c>
      <c r="H147" s="16">
        <v>103</v>
      </c>
      <c r="I147" s="18">
        <v>9.6649999999999991</v>
      </c>
      <c r="J147" s="13"/>
      <c r="K147" s="13"/>
      <c r="L147" s="17">
        <f>G147-J147</f>
        <v>11.6</v>
      </c>
      <c r="M147" s="18">
        <f>L147*(H147*H147)*0.7854/10000</f>
        <v>9.6654779759999983</v>
      </c>
      <c r="N147" s="5"/>
      <c r="O147" s="8" t="s">
        <v>19</v>
      </c>
    </row>
    <row r="148" spans="1:15" s="14" customFormat="1" x14ac:dyDescent="0.25">
      <c r="A148" s="13">
        <v>150</v>
      </c>
      <c r="B148" s="16">
        <v>150</v>
      </c>
      <c r="C148" s="13" t="s">
        <v>2979</v>
      </c>
      <c r="D148" s="6" t="s">
        <v>236</v>
      </c>
      <c r="E148" s="13" t="s">
        <v>2931</v>
      </c>
      <c r="F148" s="13"/>
      <c r="G148" s="17">
        <v>9.9</v>
      </c>
      <c r="H148" s="16">
        <v>107</v>
      </c>
      <c r="I148" s="18">
        <v>8.9019999999999992</v>
      </c>
      <c r="J148" s="13"/>
      <c r="K148" s="13"/>
      <c r="L148" s="17">
        <f>G148-J148</f>
        <v>9.9</v>
      </c>
      <c r="M148" s="18">
        <f>L148*(H148*H148)*0.7854/10000</f>
        <v>8.9021241540000009</v>
      </c>
      <c r="N148" s="5"/>
      <c r="O148" s="8" t="s">
        <v>19</v>
      </c>
    </row>
    <row r="149" spans="1:15" s="14" customFormat="1" x14ac:dyDescent="0.25">
      <c r="A149" s="13">
        <v>151</v>
      </c>
      <c r="B149" s="16">
        <v>151</v>
      </c>
      <c r="C149" s="13" t="s">
        <v>2980</v>
      </c>
      <c r="D149" s="6" t="s">
        <v>238</v>
      </c>
      <c r="E149" s="13" t="s">
        <v>2931</v>
      </c>
      <c r="F149" s="13"/>
      <c r="G149" s="17">
        <v>12.4</v>
      </c>
      <c r="H149" s="16">
        <v>83</v>
      </c>
      <c r="I149" s="18">
        <v>6.7089999999999996</v>
      </c>
      <c r="J149" s="13"/>
      <c r="K149" s="13"/>
      <c r="L149" s="17">
        <f>G149-J149</f>
        <v>12.4</v>
      </c>
      <c r="M149" s="18">
        <f>L149*(H149*H149)*0.7854/10000</f>
        <v>6.7091695440000008</v>
      </c>
      <c r="N149" s="5" t="s">
        <v>157</v>
      </c>
      <c r="O149" s="8" t="s">
        <v>30</v>
      </c>
    </row>
    <row r="150" spans="1:15" s="14" customFormat="1" x14ac:dyDescent="0.25">
      <c r="A150" s="13">
        <v>152</v>
      </c>
      <c r="B150" s="16">
        <v>152</v>
      </c>
      <c r="C150" s="13" t="s">
        <v>2981</v>
      </c>
      <c r="D150" s="6" t="s">
        <v>240</v>
      </c>
      <c r="E150" s="13" t="s">
        <v>2931</v>
      </c>
      <c r="F150" s="13"/>
      <c r="G150" s="17">
        <v>5.3</v>
      </c>
      <c r="H150" s="16">
        <v>80</v>
      </c>
      <c r="I150" s="18">
        <v>2.6640000000000001</v>
      </c>
      <c r="J150" s="13"/>
      <c r="K150" s="13"/>
      <c r="L150" s="17">
        <f>G150-J150</f>
        <v>5.3</v>
      </c>
      <c r="M150" s="18">
        <f>L150*(H150*H150)*0.7854/10000</f>
        <v>2.6640768000000001</v>
      </c>
      <c r="N150" s="5"/>
      <c r="O150" s="8" t="s">
        <v>19</v>
      </c>
    </row>
    <row r="151" spans="1:15" s="14" customFormat="1" x14ac:dyDescent="0.25">
      <c r="A151" s="13">
        <v>153</v>
      </c>
      <c r="B151" s="16">
        <v>153</v>
      </c>
      <c r="C151" s="13" t="s">
        <v>2982</v>
      </c>
      <c r="D151" s="6" t="s">
        <v>242</v>
      </c>
      <c r="E151" s="13" t="s">
        <v>2931</v>
      </c>
      <c r="F151" s="13"/>
      <c r="G151" s="17">
        <v>5.4</v>
      </c>
      <c r="H151" s="16">
        <v>106</v>
      </c>
      <c r="I151" s="18">
        <v>4.7649999999999997</v>
      </c>
      <c r="J151" s="13"/>
      <c r="K151" s="13"/>
      <c r="L151" s="17">
        <f>G151-J151</f>
        <v>5.4</v>
      </c>
      <c r="M151" s="18">
        <f>L151*(H151*H151)*0.7854/10000</f>
        <v>4.7653673759999995</v>
      </c>
      <c r="N151" s="5"/>
      <c r="O151" s="8" t="s">
        <v>19</v>
      </c>
    </row>
    <row r="152" spans="1:15" s="14" customFormat="1" x14ac:dyDescent="0.25">
      <c r="A152" s="13">
        <v>154</v>
      </c>
      <c r="B152" s="16">
        <v>154</v>
      </c>
      <c r="C152" s="13" t="s">
        <v>2983</v>
      </c>
      <c r="D152" s="6" t="s">
        <v>244</v>
      </c>
      <c r="E152" s="13" t="s">
        <v>2931</v>
      </c>
      <c r="F152" s="13"/>
      <c r="G152" s="17">
        <v>5.6</v>
      </c>
      <c r="H152" s="16">
        <v>74</v>
      </c>
      <c r="I152" s="18">
        <v>2.4079999999999999</v>
      </c>
      <c r="J152" s="13"/>
      <c r="K152" s="13"/>
      <c r="L152" s="17">
        <f>G152-J152</f>
        <v>5.6</v>
      </c>
      <c r="M152" s="18">
        <f>L152*(H152*H152)*0.7854/10000</f>
        <v>2.4084762240000002</v>
      </c>
      <c r="N152" s="5"/>
      <c r="O152" s="8" t="s">
        <v>19</v>
      </c>
    </row>
    <row r="153" spans="1:15" s="14" customFormat="1" x14ac:dyDescent="0.25">
      <c r="A153" s="13">
        <v>155</v>
      </c>
      <c r="B153" s="16">
        <v>155</v>
      </c>
      <c r="C153" s="13" t="s">
        <v>2984</v>
      </c>
      <c r="D153" s="6" t="s">
        <v>246</v>
      </c>
      <c r="E153" s="13" t="s">
        <v>2931</v>
      </c>
      <c r="F153" s="13"/>
      <c r="G153" s="17">
        <v>5.8</v>
      </c>
      <c r="H153" s="16">
        <v>81</v>
      </c>
      <c r="I153" s="18">
        <v>2.9889999999999999</v>
      </c>
      <c r="J153" s="13"/>
      <c r="K153" s="13"/>
      <c r="L153" s="17">
        <f>G153-J153</f>
        <v>5.8</v>
      </c>
      <c r="M153" s="18">
        <f>L153*(H153*H153)*0.7854/10000</f>
        <v>2.9887454519999994</v>
      </c>
      <c r="N153" s="5"/>
      <c r="O153" s="8" t="s">
        <v>19</v>
      </c>
    </row>
    <row r="154" spans="1:15" s="14" customFormat="1" x14ac:dyDescent="0.25">
      <c r="A154" s="13">
        <v>156</v>
      </c>
      <c r="B154" s="16">
        <v>156</v>
      </c>
      <c r="C154" s="13" t="s">
        <v>2985</v>
      </c>
      <c r="D154" s="6" t="s">
        <v>248</v>
      </c>
      <c r="E154" s="13" t="s">
        <v>2931</v>
      </c>
      <c r="F154" s="13"/>
      <c r="G154" s="17">
        <v>11.2</v>
      </c>
      <c r="H154" s="16">
        <v>83</v>
      </c>
      <c r="I154" s="18">
        <v>6.06</v>
      </c>
      <c r="J154" s="13"/>
      <c r="K154" s="13"/>
      <c r="L154" s="17">
        <f>G154-J154</f>
        <v>11.2</v>
      </c>
      <c r="M154" s="18">
        <f>L154*(H154*H154)*0.7854/10000</f>
        <v>6.0598950719999998</v>
      </c>
      <c r="N154" s="5"/>
      <c r="O154" s="8" t="s">
        <v>19</v>
      </c>
    </row>
    <row r="155" spans="1:15" s="14" customFormat="1" x14ac:dyDescent="0.25">
      <c r="A155" s="13">
        <v>157</v>
      </c>
      <c r="B155" s="16">
        <v>157</v>
      </c>
      <c r="C155" s="13" t="s">
        <v>2986</v>
      </c>
      <c r="D155" s="6">
        <v>1249</v>
      </c>
      <c r="E155" s="13" t="s">
        <v>2931</v>
      </c>
      <c r="F155" s="13"/>
      <c r="G155" s="17">
        <v>11.3</v>
      </c>
      <c r="H155" s="16">
        <v>105</v>
      </c>
      <c r="I155" s="18">
        <v>9.7850000000000001</v>
      </c>
      <c r="J155" s="13"/>
      <c r="K155" s="13"/>
      <c r="L155" s="17">
        <f>G155-J155</f>
        <v>11.3</v>
      </c>
      <c r="M155" s="18">
        <f>L155*(H155*H155)*0.7854/10000</f>
        <v>9.7847095500000005</v>
      </c>
      <c r="N155" s="5"/>
      <c r="O155" s="8" t="s">
        <v>19</v>
      </c>
    </row>
    <row r="156" spans="1:15" s="14" customFormat="1" x14ac:dyDescent="0.25">
      <c r="A156" s="13">
        <v>158</v>
      </c>
      <c r="B156" s="16">
        <v>158</v>
      </c>
      <c r="C156" s="13" t="s">
        <v>2987</v>
      </c>
      <c r="D156" s="6">
        <v>4777</v>
      </c>
      <c r="E156" s="13" t="s">
        <v>2931</v>
      </c>
      <c r="F156" s="13"/>
      <c r="G156" s="17">
        <v>10.1</v>
      </c>
      <c r="H156" s="16">
        <v>101</v>
      </c>
      <c r="I156" s="18">
        <v>8.0920000000000005</v>
      </c>
      <c r="J156" s="13"/>
      <c r="K156" s="13"/>
      <c r="L156" s="17">
        <f>G156-J156</f>
        <v>10.1</v>
      </c>
      <c r="M156" s="18">
        <f>L156*(H156*H156)*0.7854/10000</f>
        <v>8.0919840539999992</v>
      </c>
      <c r="N156" s="5"/>
      <c r="O156" s="8" t="s">
        <v>19</v>
      </c>
    </row>
    <row r="157" spans="1:15" s="14" customFormat="1" x14ac:dyDescent="0.25">
      <c r="A157" s="13">
        <v>159</v>
      </c>
      <c r="B157" s="16">
        <v>159</v>
      </c>
      <c r="C157" s="13" t="s">
        <v>2988</v>
      </c>
      <c r="D157" s="6" t="s">
        <v>252</v>
      </c>
      <c r="E157" s="13" t="s">
        <v>2931</v>
      </c>
      <c r="F157" s="13"/>
      <c r="G157" s="17">
        <v>4.5999999999999996</v>
      </c>
      <c r="H157" s="16">
        <v>78</v>
      </c>
      <c r="I157" s="18">
        <v>2.198</v>
      </c>
      <c r="J157" s="13"/>
      <c r="K157" s="13"/>
      <c r="L157" s="17">
        <f>G157-J157</f>
        <v>4.5999999999999996</v>
      </c>
      <c r="M157" s="18">
        <f>L157*(H157*H157)*0.7854/10000</f>
        <v>2.1980518559999997</v>
      </c>
      <c r="N157" s="5"/>
      <c r="O157" s="8" t="s">
        <v>19</v>
      </c>
    </row>
    <row r="158" spans="1:15" s="14" customFormat="1" x14ac:dyDescent="0.25">
      <c r="A158" s="13">
        <v>160</v>
      </c>
      <c r="B158" s="16">
        <v>160</v>
      </c>
      <c r="C158" s="13" t="s">
        <v>2989</v>
      </c>
      <c r="D158" s="6" t="s">
        <v>254</v>
      </c>
      <c r="E158" s="13" t="s">
        <v>2931</v>
      </c>
      <c r="F158" s="13"/>
      <c r="G158" s="17">
        <v>6.3</v>
      </c>
      <c r="H158" s="16">
        <v>80</v>
      </c>
      <c r="I158" s="18">
        <v>3.1669999999999998</v>
      </c>
      <c r="J158" s="13"/>
      <c r="K158" s="13"/>
      <c r="L158" s="17">
        <f>G158-J158</f>
        <v>6.3</v>
      </c>
      <c r="M158" s="18">
        <f>L158*(H158*H158)*0.7854/10000</f>
        <v>3.1667327999999997</v>
      </c>
      <c r="N158" s="5"/>
      <c r="O158" s="8" t="s">
        <v>30</v>
      </c>
    </row>
    <row r="159" spans="1:15" s="14" customFormat="1" x14ac:dyDescent="0.25">
      <c r="A159" s="13">
        <v>161</v>
      </c>
      <c r="B159" s="16">
        <v>161</v>
      </c>
      <c r="C159" s="13" t="s">
        <v>2990</v>
      </c>
      <c r="D159" s="6" t="s">
        <v>256</v>
      </c>
      <c r="E159" s="13" t="s">
        <v>2931</v>
      </c>
      <c r="F159" s="13"/>
      <c r="G159" s="17">
        <v>11.5</v>
      </c>
      <c r="H159" s="16">
        <v>107</v>
      </c>
      <c r="I159" s="18">
        <v>10.340999999999999</v>
      </c>
      <c r="J159" s="13"/>
      <c r="K159" s="13"/>
      <c r="L159" s="17">
        <f>G159-J159</f>
        <v>11.5</v>
      </c>
      <c r="M159" s="18">
        <f>L159*(H159*H159)*0.7854/10000</f>
        <v>10.34085129</v>
      </c>
      <c r="N159" s="5"/>
      <c r="O159" s="8" t="s">
        <v>19</v>
      </c>
    </row>
    <row r="160" spans="1:15" s="14" customFormat="1" x14ac:dyDescent="0.25">
      <c r="A160" s="13">
        <v>162</v>
      </c>
      <c r="B160" s="16">
        <v>162</v>
      </c>
      <c r="C160" s="13" t="s">
        <v>2991</v>
      </c>
      <c r="D160" s="6" t="s">
        <v>258</v>
      </c>
      <c r="E160" s="13" t="s">
        <v>2931</v>
      </c>
      <c r="F160" s="13"/>
      <c r="G160" s="17">
        <v>11.7</v>
      </c>
      <c r="H160" s="16">
        <v>92</v>
      </c>
      <c r="I160" s="18">
        <v>7.7779999999999996</v>
      </c>
      <c r="J160" s="13"/>
      <c r="K160" s="13"/>
      <c r="L160" s="17">
        <f>G160-J160</f>
        <v>11.7</v>
      </c>
      <c r="M160" s="18">
        <f>L160*(H160*H160)*0.7854/10000</f>
        <v>7.7777219519999985</v>
      </c>
      <c r="N160" s="5"/>
      <c r="O160" s="8" t="s">
        <v>19</v>
      </c>
    </row>
    <row r="161" spans="1:15" s="14" customFormat="1" x14ac:dyDescent="0.25">
      <c r="A161" s="13">
        <v>163</v>
      </c>
      <c r="B161" s="16">
        <v>163</v>
      </c>
      <c r="C161" s="13" t="s">
        <v>2992</v>
      </c>
      <c r="D161" s="6" t="s">
        <v>260</v>
      </c>
      <c r="E161" s="13" t="s">
        <v>2931</v>
      </c>
      <c r="F161" s="13"/>
      <c r="G161" s="17">
        <v>5.0999999999999996</v>
      </c>
      <c r="H161" s="16">
        <v>97</v>
      </c>
      <c r="I161" s="18">
        <v>3.7690000000000001</v>
      </c>
      <c r="J161" s="13"/>
      <c r="K161" s="13"/>
      <c r="L161" s="17">
        <f>G161-J161</f>
        <v>5.0999999999999996</v>
      </c>
      <c r="M161" s="18">
        <f>L161*(H161*H161)*0.7854/10000</f>
        <v>3.7688125859999992</v>
      </c>
      <c r="N161" s="5"/>
      <c r="O161" s="8" t="s">
        <v>30</v>
      </c>
    </row>
    <row r="162" spans="1:15" s="14" customFormat="1" x14ac:dyDescent="0.25">
      <c r="A162" s="13">
        <v>164</v>
      </c>
      <c r="B162" s="16">
        <v>164</v>
      </c>
      <c r="C162" s="13" t="s">
        <v>2993</v>
      </c>
      <c r="D162" s="6" t="s">
        <v>262</v>
      </c>
      <c r="E162" s="13" t="s">
        <v>2931</v>
      </c>
      <c r="F162" s="13"/>
      <c r="G162" s="17">
        <v>5.2</v>
      </c>
      <c r="H162" s="16">
        <v>83</v>
      </c>
      <c r="I162" s="18">
        <v>2.8140000000000001</v>
      </c>
      <c r="J162" s="13"/>
      <c r="K162" s="13"/>
      <c r="L162" s="17">
        <f>G162-J162</f>
        <v>5.2</v>
      </c>
      <c r="M162" s="18">
        <f>L162*(H162*H162)*0.7854/10000</f>
        <v>2.8135227120000001</v>
      </c>
      <c r="N162" s="5"/>
      <c r="O162" s="8" t="s">
        <v>19</v>
      </c>
    </row>
    <row r="163" spans="1:15" s="14" customFormat="1" x14ac:dyDescent="0.25">
      <c r="A163" s="13">
        <v>165</v>
      </c>
      <c r="B163" s="16">
        <v>165</v>
      </c>
      <c r="C163" s="13" t="s">
        <v>2994</v>
      </c>
      <c r="D163" s="6">
        <v>1251</v>
      </c>
      <c r="E163" s="13" t="s">
        <v>2931</v>
      </c>
      <c r="F163" s="13"/>
      <c r="G163" s="17">
        <v>12.2</v>
      </c>
      <c r="H163" s="16">
        <v>96</v>
      </c>
      <c r="I163" s="18">
        <v>8.8309999999999995</v>
      </c>
      <c r="J163" s="13"/>
      <c r="K163" s="13"/>
      <c r="L163" s="17">
        <f>G163-J163</f>
        <v>12.2</v>
      </c>
      <c r="M163" s="18">
        <f>L163*(H163*H163)*0.7854/10000</f>
        <v>8.8306606080000005</v>
      </c>
      <c r="N163" s="5"/>
      <c r="O163" s="8" t="s">
        <v>19</v>
      </c>
    </row>
    <row r="164" spans="1:15" s="14" customFormat="1" x14ac:dyDescent="0.25">
      <c r="A164" s="13">
        <v>166</v>
      </c>
      <c r="B164" s="16">
        <v>166</v>
      </c>
      <c r="C164" s="13" t="s">
        <v>2995</v>
      </c>
      <c r="D164" s="6" t="s">
        <v>265</v>
      </c>
      <c r="E164" s="13" t="s">
        <v>2931</v>
      </c>
      <c r="F164" s="13"/>
      <c r="G164" s="17">
        <v>11.3</v>
      </c>
      <c r="H164" s="16">
        <v>123</v>
      </c>
      <c r="I164" s="18">
        <v>13.427</v>
      </c>
      <c r="J164" s="13"/>
      <c r="K164" s="13"/>
      <c r="L164" s="17">
        <f>G164-J164</f>
        <v>11.3</v>
      </c>
      <c r="M164" s="18">
        <f>L164*(H164*H164)*0.7854/10000</f>
        <v>13.427017758000002</v>
      </c>
      <c r="N164" s="5"/>
      <c r="O164" s="8" t="s">
        <v>30</v>
      </c>
    </row>
    <row r="165" spans="1:15" s="14" customFormat="1" x14ac:dyDescent="0.25">
      <c r="A165" s="13">
        <v>167</v>
      </c>
      <c r="B165" s="16">
        <v>167</v>
      </c>
      <c r="C165" s="13" t="s">
        <v>2996</v>
      </c>
      <c r="D165" s="6" t="s">
        <v>267</v>
      </c>
      <c r="E165" s="13" t="s">
        <v>2931</v>
      </c>
      <c r="F165" s="13"/>
      <c r="G165" s="17">
        <v>11.9</v>
      </c>
      <c r="H165" s="16">
        <v>90</v>
      </c>
      <c r="I165" s="18">
        <v>7.57</v>
      </c>
      <c r="J165" s="13"/>
      <c r="K165" s="13"/>
      <c r="L165" s="17">
        <f>G165-J165</f>
        <v>11.9</v>
      </c>
      <c r="M165" s="18">
        <f>L165*(H165*H165)*0.7854/10000</f>
        <v>7.5704706000000002</v>
      </c>
      <c r="N165" s="7"/>
      <c r="O165" s="8" t="s">
        <v>19</v>
      </c>
    </row>
    <row r="166" spans="1:15" s="14" customFormat="1" x14ac:dyDescent="0.25">
      <c r="A166" s="13">
        <v>168</v>
      </c>
      <c r="B166" s="16">
        <v>168</v>
      </c>
      <c r="C166" s="13" t="s">
        <v>2997</v>
      </c>
      <c r="D166" s="6" t="s">
        <v>269</v>
      </c>
      <c r="E166" s="13" t="s">
        <v>2931</v>
      </c>
      <c r="F166" s="13"/>
      <c r="G166" s="17">
        <v>7</v>
      </c>
      <c r="H166" s="16">
        <v>118</v>
      </c>
      <c r="I166" s="18">
        <v>7.6550000000000002</v>
      </c>
      <c r="J166" s="13"/>
      <c r="K166" s="13"/>
      <c r="L166" s="17">
        <f>G166-J166</f>
        <v>7</v>
      </c>
      <c r="M166" s="18">
        <f>L166*(H166*H166)*0.7854/10000</f>
        <v>7.6551367199999989</v>
      </c>
      <c r="N166" s="5"/>
      <c r="O166" s="8" t="s">
        <v>19</v>
      </c>
    </row>
    <row r="167" spans="1:15" s="14" customFormat="1" x14ac:dyDescent="0.25">
      <c r="A167" s="13">
        <v>169</v>
      </c>
      <c r="B167" s="16">
        <v>169</v>
      </c>
      <c r="C167" s="13" t="s">
        <v>2998</v>
      </c>
      <c r="D167" s="6" t="s">
        <v>271</v>
      </c>
      <c r="E167" s="13" t="s">
        <v>2931</v>
      </c>
      <c r="F167" s="13"/>
      <c r="G167" s="17">
        <v>9.8000000000000007</v>
      </c>
      <c r="H167" s="16">
        <v>106</v>
      </c>
      <c r="I167" s="18">
        <v>8.6479999999999997</v>
      </c>
      <c r="J167" s="13"/>
      <c r="K167" s="13"/>
      <c r="L167" s="17">
        <f>G167-J167</f>
        <v>9.8000000000000007</v>
      </c>
      <c r="M167" s="18">
        <f>L167*(H167*H167)*0.7854/10000</f>
        <v>8.6482593120000004</v>
      </c>
      <c r="N167" s="5" t="s">
        <v>53</v>
      </c>
      <c r="O167" s="8" t="s">
        <v>19</v>
      </c>
    </row>
    <row r="168" spans="1:15" s="14" customFormat="1" x14ac:dyDescent="0.25">
      <c r="A168" s="13">
        <v>170</v>
      </c>
      <c r="B168" s="16">
        <v>170</v>
      </c>
      <c r="C168" s="13" t="s">
        <v>2999</v>
      </c>
      <c r="D168" s="6" t="s">
        <v>273</v>
      </c>
      <c r="E168" s="13" t="s">
        <v>2931</v>
      </c>
      <c r="F168" s="13"/>
      <c r="G168" s="17">
        <v>5.6</v>
      </c>
      <c r="H168" s="16">
        <v>78</v>
      </c>
      <c r="I168" s="18">
        <v>2.6760000000000002</v>
      </c>
      <c r="J168" s="13"/>
      <c r="K168" s="13"/>
      <c r="L168" s="17">
        <f>G168-J168</f>
        <v>5.6</v>
      </c>
      <c r="M168" s="18">
        <f>L168*(H168*H168)*0.7854/10000</f>
        <v>2.6758892159999998</v>
      </c>
      <c r="N168" s="5"/>
      <c r="O168" s="8" t="s">
        <v>19</v>
      </c>
    </row>
    <row r="169" spans="1:15" s="14" customFormat="1" x14ac:dyDescent="0.25">
      <c r="A169" s="13">
        <v>171</v>
      </c>
      <c r="B169" s="16">
        <v>171</v>
      </c>
      <c r="C169" s="13" t="s">
        <v>3000</v>
      </c>
      <c r="D169" s="6" t="s">
        <v>275</v>
      </c>
      <c r="E169" s="13" t="s">
        <v>2931</v>
      </c>
      <c r="F169" s="13"/>
      <c r="G169" s="17">
        <v>4.9000000000000004</v>
      </c>
      <c r="H169" s="16">
        <v>102</v>
      </c>
      <c r="I169" s="18">
        <v>4.0039999999999996</v>
      </c>
      <c r="J169" s="13"/>
      <c r="K169" s="13"/>
      <c r="L169" s="17">
        <f>G169-J169</f>
        <v>4.9000000000000004</v>
      </c>
      <c r="M169" s="18">
        <f>L169*(H169*H169)*0.7854/10000</f>
        <v>4.0039377839999997</v>
      </c>
      <c r="N169" s="5"/>
      <c r="O169" s="8" t="s">
        <v>19</v>
      </c>
    </row>
    <row r="170" spans="1:15" s="14" customFormat="1" x14ac:dyDescent="0.25">
      <c r="A170" s="13">
        <v>172</v>
      </c>
      <c r="B170" s="16">
        <v>172</v>
      </c>
      <c r="C170" s="13" t="s">
        <v>3001</v>
      </c>
      <c r="D170" s="6">
        <v>1254</v>
      </c>
      <c r="E170" s="13" t="s">
        <v>2931</v>
      </c>
      <c r="F170" s="13"/>
      <c r="G170" s="17">
        <v>8.6999999999999993</v>
      </c>
      <c r="H170" s="16">
        <v>82</v>
      </c>
      <c r="I170" s="18">
        <v>4.5940000000000003</v>
      </c>
      <c r="J170" s="13"/>
      <c r="K170" s="13"/>
      <c r="L170" s="17">
        <f>G170-J170</f>
        <v>8.6999999999999993</v>
      </c>
      <c r="M170" s="18">
        <f>L170*(H170*H170)*0.7854/10000</f>
        <v>4.5944957519999994</v>
      </c>
      <c r="N170" s="5"/>
      <c r="O170" s="8" t="s">
        <v>19</v>
      </c>
    </row>
    <row r="171" spans="1:15" s="14" customFormat="1" x14ac:dyDescent="0.25">
      <c r="A171" s="13">
        <v>173</v>
      </c>
      <c r="B171" s="16">
        <v>173</v>
      </c>
      <c r="C171" s="13" t="s">
        <v>3002</v>
      </c>
      <c r="D171" s="6" t="s">
        <v>278</v>
      </c>
      <c r="E171" s="13" t="s">
        <v>2931</v>
      </c>
      <c r="F171" s="13"/>
      <c r="G171" s="17">
        <v>10.8</v>
      </c>
      <c r="H171" s="16">
        <v>93</v>
      </c>
      <c r="I171" s="18">
        <v>7.3360000000000003</v>
      </c>
      <c r="J171" s="13"/>
      <c r="K171" s="13"/>
      <c r="L171" s="17">
        <f>G171-J171</f>
        <v>10.8</v>
      </c>
      <c r="M171" s="18">
        <f>L171*(H171*H171)*0.7854/10000</f>
        <v>7.3363585680000005</v>
      </c>
      <c r="N171" s="5"/>
      <c r="O171" s="8" t="s">
        <v>19</v>
      </c>
    </row>
    <row r="172" spans="1:15" s="14" customFormat="1" x14ac:dyDescent="0.25">
      <c r="A172" s="13">
        <v>174</v>
      </c>
      <c r="B172" s="16">
        <v>174</v>
      </c>
      <c r="C172" s="13" t="s">
        <v>3003</v>
      </c>
      <c r="D172" s="6">
        <v>998</v>
      </c>
      <c r="E172" s="13" t="s">
        <v>2931</v>
      </c>
      <c r="F172" s="13"/>
      <c r="G172" s="17">
        <v>12.4</v>
      </c>
      <c r="H172" s="16">
        <v>71</v>
      </c>
      <c r="I172" s="18">
        <v>4.9089999999999998</v>
      </c>
      <c r="J172" s="13"/>
      <c r="K172" s="13"/>
      <c r="L172" s="17">
        <f>G172-J172</f>
        <v>12.4</v>
      </c>
      <c r="M172" s="18">
        <f>L172*(H172*H172)*0.7854/10000</f>
        <v>4.9094097359999997</v>
      </c>
      <c r="N172" s="5"/>
      <c r="O172" s="8" t="s">
        <v>19</v>
      </c>
    </row>
    <row r="173" spans="1:15" s="14" customFormat="1" x14ac:dyDescent="0.25">
      <c r="A173" s="13">
        <v>175</v>
      </c>
      <c r="B173" s="16">
        <v>175</v>
      </c>
      <c r="C173" s="13" t="s">
        <v>3004</v>
      </c>
      <c r="D173" s="6" t="s">
        <v>281</v>
      </c>
      <c r="E173" s="13" t="s">
        <v>2931</v>
      </c>
      <c r="F173" s="13"/>
      <c r="G173" s="17">
        <v>5.0999999999999996</v>
      </c>
      <c r="H173" s="16">
        <v>87</v>
      </c>
      <c r="I173" s="18">
        <v>3.032</v>
      </c>
      <c r="J173" s="13"/>
      <c r="K173" s="13"/>
      <c r="L173" s="17">
        <f>G173-J173</f>
        <v>5.0999999999999996</v>
      </c>
      <c r="M173" s="18">
        <f>L173*(H173*H173)*0.7854/10000</f>
        <v>3.0317932259999996</v>
      </c>
      <c r="N173" s="5"/>
      <c r="O173" s="8" t="s">
        <v>30</v>
      </c>
    </row>
    <row r="174" spans="1:15" s="14" customFormat="1" x14ac:dyDescent="0.25">
      <c r="A174" s="13">
        <v>176</v>
      </c>
      <c r="B174" s="16">
        <v>176</v>
      </c>
      <c r="C174" s="13" t="s">
        <v>3005</v>
      </c>
      <c r="D174" s="6">
        <v>1200</v>
      </c>
      <c r="E174" s="13" t="s">
        <v>2931</v>
      </c>
      <c r="F174" s="13"/>
      <c r="G174" s="17">
        <v>11</v>
      </c>
      <c r="H174" s="16">
        <v>104</v>
      </c>
      <c r="I174" s="18">
        <v>9.3439999999999994</v>
      </c>
      <c r="J174" s="13"/>
      <c r="K174" s="13"/>
      <c r="L174" s="17">
        <f>G174-J174</f>
        <v>11</v>
      </c>
      <c r="M174" s="18">
        <f>L174*(H174*H174)*0.7854/10000</f>
        <v>9.344375040000001</v>
      </c>
      <c r="N174" s="5"/>
      <c r="O174" s="8" t="s">
        <v>19</v>
      </c>
    </row>
    <row r="175" spans="1:15" s="14" customFormat="1" x14ac:dyDescent="0.25">
      <c r="A175" s="13">
        <v>177</v>
      </c>
      <c r="B175" s="16">
        <v>177</v>
      </c>
      <c r="C175" s="13" t="s">
        <v>3006</v>
      </c>
      <c r="D175" s="6" t="s">
        <v>284</v>
      </c>
      <c r="E175" s="13" t="s">
        <v>2931</v>
      </c>
      <c r="F175" s="13"/>
      <c r="G175" s="17">
        <v>11.7</v>
      </c>
      <c r="H175" s="16">
        <v>83</v>
      </c>
      <c r="I175" s="18">
        <v>6.33</v>
      </c>
      <c r="J175" s="13"/>
      <c r="K175" s="13"/>
      <c r="L175" s="17">
        <f>G175-J175</f>
        <v>11.7</v>
      </c>
      <c r="M175" s="18">
        <f>L175*(H175*H175)*0.7854/10000</f>
        <v>6.3304261019999988</v>
      </c>
      <c r="N175" s="5"/>
      <c r="O175" s="8" t="s">
        <v>19</v>
      </c>
    </row>
    <row r="176" spans="1:15" s="14" customFormat="1" x14ac:dyDescent="0.25">
      <c r="A176" s="13">
        <v>178</v>
      </c>
      <c r="B176" s="16">
        <v>178</v>
      </c>
      <c r="C176" s="13" t="s">
        <v>3007</v>
      </c>
      <c r="D176" s="6" t="s">
        <v>286</v>
      </c>
      <c r="E176" s="13" t="s">
        <v>2931</v>
      </c>
      <c r="F176" s="13"/>
      <c r="G176" s="17">
        <v>9.9</v>
      </c>
      <c r="H176" s="16">
        <v>70</v>
      </c>
      <c r="I176" s="18">
        <v>3.81</v>
      </c>
      <c r="J176" s="13"/>
      <c r="K176" s="13"/>
      <c r="L176" s="17">
        <f>G176-J176</f>
        <v>9.9</v>
      </c>
      <c r="M176" s="18">
        <f>L176*(H176*H176)*0.7854/10000</f>
        <v>3.8099753999999999</v>
      </c>
      <c r="N176" s="5"/>
      <c r="O176" s="8" t="s">
        <v>30</v>
      </c>
    </row>
    <row r="177" spans="1:15" s="14" customFormat="1" x14ac:dyDescent="0.25">
      <c r="A177" s="13">
        <v>180</v>
      </c>
      <c r="B177" s="16">
        <v>180</v>
      </c>
      <c r="C177" s="13" t="s">
        <v>3008</v>
      </c>
      <c r="D177" s="6" t="s">
        <v>288</v>
      </c>
      <c r="E177" s="13" t="s">
        <v>2931</v>
      </c>
      <c r="F177" s="13"/>
      <c r="G177" s="17">
        <v>8.8000000000000007</v>
      </c>
      <c r="H177" s="16">
        <v>59</v>
      </c>
      <c r="I177" s="18">
        <v>2.4060000000000001</v>
      </c>
      <c r="J177" s="13"/>
      <c r="K177" s="13"/>
      <c r="L177" s="17">
        <f>G177-J177</f>
        <v>8.8000000000000007</v>
      </c>
      <c r="M177" s="18">
        <f>L177*(H177*H177)*0.7854/10000</f>
        <v>2.4059001119999999</v>
      </c>
      <c r="N177" s="5"/>
      <c r="O177" s="8" t="s">
        <v>19</v>
      </c>
    </row>
    <row r="178" spans="1:15" s="14" customFormat="1" x14ac:dyDescent="0.25">
      <c r="A178" s="13">
        <v>181</v>
      </c>
      <c r="B178" s="16">
        <v>181</v>
      </c>
      <c r="C178" s="13" t="s">
        <v>3009</v>
      </c>
      <c r="D178" s="6">
        <v>1203</v>
      </c>
      <c r="E178" s="13" t="s">
        <v>2931</v>
      </c>
      <c r="F178" s="13"/>
      <c r="G178" s="17">
        <v>14.9</v>
      </c>
      <c r="H178" s="16">
        <v>98</v>
      </c>
      <c r="I178" s="18">
        <v>11.239000000000001</v>
      </c>
      <c r="J178" s="13">
        <v>0.3</v>
      </c>
      <c r="K178" s="13"/>
      <c r="L178" s="17">
        <f>G178-J178</f>
        <v>14.6</v>
      </c>
      <c r="M178" s="18">
        <f>L178*(H178*H178)*0.7854/10000</f>
        <v>11.012753135999999</v>
      </c>
      <c r="N178" s="5"/>
      <c r="O178" s="8" t="s">
        <v>19</v>
      </c>
    </row>
    <row r="179" spans="1:15" s="14" customFormat="1" x14ac:dyDescent="0.25">
      <c r="A179" s="13">
        <v>182</v>
      </c>
      <c r="B179" s="16">
        <v>182</v>
      </c>
      <c r="C179" s="13" t="s">
        <v>3010</v>
      </c>
      <c r="D179" s="6" t="s">
        <v>291</v>
      </c>
      <c r="E179" s="13" t="s">
        <v>2931</v>
      </c>
      <c r="F179" s="13"/>
      <c r="G179" s="17">
        <v>9.6999999999999993</v>
      </c>
      <c r="H179" s="16">
        <v>142</v>
      </c>
      <c r="I179" s="18">
        <v>15.362</v>
      </c>
      <c r="J179" s="13"/>
      <c r="K179" s="13"/>
      <c r="L179" s="17">
        <f>G179-J179</f>
        <v>9.6999999999999993</v>
      </c>
      <c r="M179" s="18">
        <f>L179*(H179*H179)*0.7854/10000</f>
        <v>15.361701431999998</v>
      </c>
      <c r="N179" s="5"/>
      <c r="O179" s="8" t="s">
        <v>30</v>
      </c>
    </row>
    <row r="180" spans="1:15" s="14" customFormat="1" x14ac:dyDescent="0.25">
      <c r="A180" s="13">
        <v>183</v>
      </c>
      <c r="B180" s="16">
        <v>183</v>
      </c>
      <c r="C180" s="13" t="s">
        <v>3011</v>
      </c>
      <c r="D180" s="6">
        <v>1204</v>
      </c>
      <c r="E180" s="13" t="s">
        <v>2931</v>
      </c>
      <c r="F180" s="13"/>
      <c r="G180" s="17">
        <v>12</v>
      </c>
      <c r="H180" s="16">
        <v>75</v>
      </c>
      <c r="I180" s="18">
        <v>5.3010000000000002</v>
      </c>
      <c r="J180" s="13"/>
      <c r="K180" s="13"/>
      <c r="L180" s="17">
        <f>G180-J180</f>
        <v>12</v>
      </c>
      <c r="M180" s="18">
        <f>L180*(H180*H180)*0.7854/10000</f>
        <v>5.30145</v>
      </c>
      <c r="N180" s="5"/>
      <c r="O180" s="8" t="s">
        <v>19</v>
      </c>
    </row>
    <row r="181" spans="1:15" s="14" customFormat="1" x14ac:dyDescent="0.25">
      <c r="A181" s="13">
        <v>184</v>
      </c>
      <c r="B181" s="16">
        <v>184</v>
      </c>
      <c r="C181" s="13" t="s">
        <v>3012</v>
      </c>
      <c r="D181" s="6">
        <v>4702</v>
      </c>
      <c r="E181" s="13" t="s">
        <v>2931</v>
      </c>
      <c r="F181" s="13"/>
      <c r="G181" s="17">
        <v>13.6</v>
      </c>
      <c r="H181" s="16">
        <v>86</v>
      </c>
      <c r="I181" s="18">
        <v>7.9</v>
      </c>
      <c r="J181" s="13"/>
      <c r="K181" s="13"/>
      <c r="L181" s="17">
        <f>G181-J181</f>
        <v>13.6</v>
      </c>
      <c r="M181" s="18">
        <f>L181*(H181*H181)*0.7854/10000</f>
        <v>7.8999930239999987</v>
      </c>
      <c r="N181" s="5"/>
      <c r="O181" s="8" t="s">
        <v>19</v>
      </c>
    </row>
    <row r="182" spans="1:15" s="14" customFormat="1" x14ac:dyDescent="0.25">
      <c r="A182" s="13">
        <v>185</v>
      </c>
      <c r="B182" s="16">
        <v>185</v>
      </c>
      <c r="C182" s="13" t="s">
        <v>3013</v>
      </c>
      <c r="D182" s="6" t="s">
        <v>295</v>
      </c>
      <c r="E182" s="13" t="s">
        <v>2931</v>
      </c>
      <c r="F182" s="13"/>
      <c r="G182" s="17">
        <v>7.7</v>
      </c>
      <c r="H182" s="16">
        <v>135</v>
      </c>
      <c r="I182" s="18">
        <v>11.022</v>
      </c>
      <c r="J182" s="13"/>
      <c r="K182" s="13"/>
      <c r="L182" s="17">
        <f>G182-J182</f>
        <v>7.7</v>
      </c>
      <c r="M182" s="18">
        <f>L182*(H182*H182)*0.7854/10000</f>
        <v>11.02171455</v>
      </c>
      <c r="N182" s="5" t="s">
        <v>157</v>
      </c>
      <c r="O182" s="8" t="s">
        <v>19</v>
      </c>
    </row>
    <row r="183" spans="1:15" s="14" customFormat="1" x14ac:dyDescent="0.25">
      <c r="A183" s="13">
        <v>186</v>
      </c>
      <c r="B183" s="16">
        <v>186</v>
      </c>
      <c r="C183" s="13" t="s">
        <v>3014</v>
      </c>
      <c r="D183" s="6" t="s">
        <v>297</v>
      </c>
      <c r="E183" s="13" t="s">
        <v>2931</v>
      </c>
      <c r="F183" s="13"/>
      <c r="G183" s="17">
        <v>13.7</v>
      </c>
      <c r="H183" s="16">
        <v>75</v>
      </c>
      <c r="I183" s="18">
        <v>6.0519999999999996</v>
      </c>
      <c r="J183" s="13"/>
      <c r="K183" s="13"/>
      <c r="L183" s="17">
        <f>G183-J183</f>
        <v>13.7</v>
      </c>
      <c r="M183" s="18">
        <f>L183*(H183*H183)*0.7854/10000</f>
        <v>6.0524887499999993</v>
      </c>
      <c r="N183" s="5"/>
      <c r="O183" s="8" t="s">
        <v>19</v>
      </c>
    </row>
    <row r="184" spans="1:15" s="14" customFormat="1" x14ac:dyDescent="0.25">
      <c r="A184" s="13">
        <v>187</v>
      </c>
      <c r="B184" s="16">
        <v>187</v>
      </c>
      <c r="C184" s="13" t="s">
        <v>3015</v>
      </c>
      <c r="D184" s="6" t="s">
        <v>299</v>
      </c>
      <c r="E184" s="13" t="s">
        <v>2931</v>
      </c>
      <c r="F184" s="13"/>
      <c r="G184" s="17">
        <v>5.6</v>
      </c>
      <c r="H184" s="16">
        <v>67</v>
      </c>
      <c r="I184" s="18">
        <v>1.974</v>
      </c>
      <c r="J184" s="13"/>
      <c r="K184" s="13"/>
      <c r="L184" s="17">
        <f>G184-J184</f>
        <v>5.6</v>
      </c>
      <c r="M184" s="18">
        <f>L184*(H184*H184)*0.7854/10000</f>
        <v>1.9743699359999998</v>
      </c>
      <c r="N184" s="5"/>
      <c r="O184" s="8" t="s">
        <v>19</v>
      </c>
    </row>
    <row r="185" spans="1:15" s="14" customFormat="1" x14ac:dyDescent="0.25">
      <c r="A185" s="13">
        <v>188</v>
      </c>
      <c r="B185" s="16">
        <v>188</v>
      </c>
      <c r="C185" s="13" t="s">
        <v>3016</v>
      </c>
      <c r="D185" s="6" t="s">
        <v>301</v>
      </c>
      <c r="E185" s="13" t="s">
        <v>2931</v>
      </c>
      <c r="F185" s="13"/>
      <c r="G185" s="17">
        <v>9.6999999999999993</v>
      </c>
      <c r="H185" s="16">
        <v>64</v>
      </c>
      <c r="I185" s="18">
        <v>3.12</v>
      </c>
      <c r="J185" s="13"/>
      <c r="K185" s="13"/>
      <c r="L185" s="17">
        <f>G185-J185</f>
        <v>9.6999999999999993</v>
      </c>
      <c r="M185" s="18">
        <f>L185*(H185*H185)*0.7854/10000</f>
        <v>3.1204884479999997</v>
      </c>
      <c r="N185" s="5"/>
      <c r="O185" s="8" t="s">
        <v>19</v>
      </c>
    </row>
    <row r="186" spans="1:15" s="14" customFormat="1" x14ac:dyDescent="0.25">
      <c r="A186" s="13">
        <v>189</v>
      </c>
      <c r="B186" s="16">
        <v>189</v>
      </c>
      <c r="C186" s="13" t="s">
        <v>3017</v>
      </c>
      <c r="D186" s="6" t="s">
        <v>303</v>
      </c>
      <c r="E186" s="13" t="s">
        <v>2931</v>
      </c>
      <c r="F186" s="13"/>
      <c r="G186" s="17">
        <v>8.3000000000000007</v>
      </c>
      <c r="H186" s="16">
        <v>124</v>
      </c>
      <c r="I186" s="18">
        <v>10.023</v>
      </c>
      <c r="J186" s="13"/>
      <c r="K186" s="13"/>
      <c r="L186" s="17">
        <f>G186-J186</f>
        <v>8.3000000000000007</v>
      </c>
      <c r="M186" s="18">
        <f>L186*(H186*H186)*0.7854/10000</f>
        <v>10.023337632</v>
      </c>
      <c r="N186" s="5"/>
      <c r="O186" s="8" t="s">
        <v>19</v>
      </c>
    </row>
    <row r="187" spans="1:15" s="14" customFormat="1" x14ac:dyDescent="0.25">
      <c r="A187" s="13">
        <v>190</v>
      </c>
      <c r="B187" s="16">
        <v>190</v>
      </c>
      <c r="C187" s="13" t="s">
        <v>3018</v>
      </c>
      <c r="D187" s="6">
        <v>1206</v>
      </c>
      <c r="E187" s="13" t="s">
        <v>2931</v>
      </c>
      <c r="F187" s="13"/>
      <c r="G187" s="17">
        <v>12.8</v>
      </c>
      <c r="H187" s="16">
        <v>77</v>
      </c>
      <c r="I187" s="18">
        <v>5.96</v>
      </c>
      <c r="J187" s="13"/>
      <c r="K187" s="13"/>
      <c r="L187" s="17">
        <f>G187-J187</f>
        <v>12.8</v>
      </c>
      <c r="M187" s="18">
        <f>L187*(H187*H187)*0.7854/10000</f>
        <v>5.9604948479999997</v>
      </c>
      <c r="N187" s="5" t="s">
        <v>157</v>
      </c>
      <c r="O187" s="8" t="s">
        <v>19</v>
      </c>
    </row>
    <row r="188" spans="1:15" s="14" customFormat="1" x14ac:dyDescent="0.25">
      <c r="A188" s="13">
        <v>191</v>
      </c>
      <c r="B188" s="16">
        <v>191</v>
      </c>
      <c r="C188" s="13" t="s">
        <v>3019</v>
      </c>
      <c r="D188" s="6" t="s">
        <v>306</v>
      </c>
      <c r="E188" s="13" t="s">
        <v>2931</v>
      </c>
      <c r="F188" s="13"/>
      <c r="G188" s="17">
        <v>6.2</v>
      </c>
      <c r="H188" s="16">
        <v>65</v>
      </c>
      <c r="I188" s="18">
        <v>2.0569999999999999</v>
      </c>
      <c r="J188" s="13"/>
      <c r="K188" s="13"/>
      <c r="L188" s="17">
        <f>G188-J188</f>
        <v>6.2</v>
      </c>
      <c r="M188" s="18">
        <f>L188*(H188*H188)*0.7854/10000</f>
        <v>2.0573552999999998</v>
      </c>
      <c r="N188" s="5"/>
      <c r="O188" s="8" t="s">
        <v>30</v>
      </c>
    </row>
    <row r="189" spans="1:15" s="14" customFormat="1" x14ac:dyDescent="0.25">
      <c r="A189" s="13">
        <v>192</v>
      </c>
      <c r="B189" s="16">
        <v>192</v>
      </c>
      <c r="C189" s="13" t="s">
        <v>3020</v>
      </c>
      <c r="D189" s="6" t="s">
        <v>308</v>
      </c>
      <c r="E189" s="13" t="s">
        <v>2931</v>
      </c>
      <c r="F189" s="13"/>
      <c r="G189" s="17">
        <v>4.9000000000000004</v>
      </c>
      <c r="H189" s="16">
        <v>121</v>
      </c>
      <c r="I189" s="18">
        <v>5.6349999999999998</v>
      </c>
      <c r="J189" s="13"/>
      <c r="K189" s="13"/>
      <c r="L189" s="17">
        <f>G189-J189</f>
        <v>4.9000000000000004</v>
      </c>
      <c r="M189" s="18">
        <f>L189*(H189*H189)*0.7854/10000</f>
        <v>5.6345302860000004</v>
      </c>
      <c r="N189" s="5"/>
      <c r="O189" s="8" t="s">
        <v>19</v>
      </c>
    </row>
    <row r="190" spans="1:15" s="14" customFormat="1" x14ac:dyDescent="0.25">
      <c r="A190" s="13">
        <v>194</v>
      </c>
      <c r="B190" s="16">
        <v>194</v>
      </c>
      <c r="C190" s="13" t="s">
        <v>3021</v>
      </c>
      <c r="D190" s="6">
        <v>1208</v>
      </c>
      <c r="E190" s="13" t="s">
        <v>2931</v>
      </c>
      <c r="F190" s="13"/>
      <c r="G190" s="17">
        <v>13.1</v>
      </c>
      <c r="H190" s="16">
        <v>90</v>
      </c>
      <c r="I190" s="18">
        <v>8.3339999999999996</v>
      </c>
      <c r="J190" s="13"/>
      <c r="K190" s="13"/>
      <c r="L190" s="17">
        <f>G190-J190</f>
        <v>13.1</v>
      </c>
      <c r="M190" s="18">
        <f>L190*(H190*H190)*0.7854/10000</f>
        <v>8.3338793999999989</v>
      </c>
      <c r="N190" s="5"/>
      <c r="O190" s="8" t="s">
        <v>19</v>
      </c>
    </row>
    <row r="191" spans="1:15" s="14" customFormat="1" x14ac:dyDescent="0.25">
      <c r="A191" s="13">
        <v>195</v>
      </c>
      <c r="B191" s="16">
        <v>195</v>
      </c>
      <c r="C191" s="13" t="s">
        <v>3022</v>
      </c>
      <c r="D191" s="6" t="s">
        <v>311</v>
      </c>
      <c r="E191" s="13" t="s">
        <v>2931</v>
      </c>
      <c r="F191" s="13"/>
      <c r="G191" s="17">
        <v>10.1</v>
      </c>
      <c r="H191" s="16">
        <v>122</v>
      </c>
      <c r="I191" s="18">
        <v>11.807</v>
      </c>
      <c r="J191" s="13"/>
      <c r="K191" s="13"/>
      <c r="L191" s="17">
        <f>G191-J191</f>
        <v>10.1</v>
      </c>
      <c r="M191" s="18">
        <f>L191*(H191*H191)*0.7854/10000</f>
        <v>11.806792536</v>
      </c>
      <c r="N191" s="5"/>
      <c r="O191" s="8" t="s">
        <v>30</v>
      </c>
    </row>
    <row r="192" spans="1:15" s="14" customFormat="1" x14ac:dyDescent="0.25">
      <c r="A192" s="13">
        <v>196</v>
      </c>
      <c r="B192" s="16">
        <v>196</v>
      </c>
      <c r="C192" s="13" t="s">
        <v>3023</v>
      </c>
      <c r="D192" s="6" t="s">
        <v>313</v>
      </c>
      <c r="E192" s="13" t="s">
        <v>2931</v>
      </c>
      <c r="F192" s="13"/>
      <c r="G192" s="17">
        <v>9</v>
      </c>
      <c r="H192" s="16">
        <v>115</v>
      </c>
      <c r="I192" s="18">
        <v>9.3480000000000008</v>
      </c>
      <c r="J192" s="13"/>
      <c r="K192" s="13"/>
      <c r="L192" s="17">
        <f>G192-J192</f>
        <v>9</v>
      </c>
      <c r="M192" s="18">
        <f>L192*(H192*H192)*0.7854/10000</f>
        <v>9.3482234999999996</v>
      </c>
      <c r="N192" s="5"/>
      <c r="O192" s="8" t="s">
        <v>19</v>
      </c>
    </row>
    <row r="193" spans="1:15" s="14" customFormat="1" x14ac:dyDescent="0.25">
      <c r="A193" s="13">
        <v>197</v>
      </c>
      <c r="B193" s="16">
        <v>197</v>
      </c>
      <c r="C193" s="13" t="s">
        <v>3024</v>
      </c>
      <c r="D193" s="6" t="s">
        <v>315</v>
      </c>
      <c r="E193" s="13" t="s">
        <v>2931</v>
      </c>
      <c r="F193" s="13"/>
      <c r="G193" s="17">
        <v>12</v>
      </c>
      <c r="H193" s="16">
        <v>85</v>
      </c>
      <c r="I193" s="18">
        <v>6.8090000000000002</v>
      </c>
      <c r="J193" s="13"/>
      <c r="K193" s="13"/>
      <c r="L193" s="17">
        <f>G193-J193</f>
        <v>12</v>
      </c>
      <c r="M193" s="18">
        <f>L193*(H193*H193)*0.7854/10000</f>
        <v>6.8094179999999991</v>
      </c>
      <c r="N193" s="5"/>
      <c r="O193" s="8" t="s">
        <v>19</v>
      </c>
    </row>
    <row r="194" spans="1:15" s="14" customFormat="1" x14ac:dyDescent="0.25">
      <c r="A194" s="13">
        <v>198</v>
      </c>
      <c r="B194" s="16">
        <v>198</v>
      </c>
      <c r="C194" s="13" t="s">
        <v>3025</v>
      </c>
      <c r="D194" s="6">
        <v>4707</v>
      </c>
      <c r="E194" s="13" t="s">
        <v>2931</v>
      </c>
      <c r="F194" s="13"/>
      <c r="G194" s="17">
        <v>11.2</v>
      </c>
      <c r="H194" s="16">
        <v>82</v>
      </c>
      <c r="I194" s="18">
        <v>5.915</v>
      </c>
      <c r="J194" s="13">
        <v>0.3</v>
      </c>
      <c r="K194" s="13"/>
      <c r="L194" s="17">
        <f>G194-J194</f>
        <v>10.899999999999999</v>
      </c>
      <c r="M194" s="18">
        <f>L194*(H194*H194)*0.7854/10000</f>
        <v>5.7563222639999996</v>
      </c>
      <c r="N194" s="5"/>
      <c r="O194" s="8" t="s">
        <v>30</v>
      </c>
    </row>
    <row r="195" spans="1:15" s="14" customFormat="1" x14ac:dyDescent="0.25">
      <c r="A195" s="13">
        <v>199</v>
      </c>
      <c r="B195" s="16">
        <v>199</v>
      </c>
      <c r="C195" s="13" t="s">
        <v>3026</v>
      </c>
      <c r="D195" s="6">
        <v>181</v>
      </c>
      <c r="E195" s="13" t="s">
        <v>2931</v>
      </c>
      <c r="F195" s="13"/>
      <c r="G195" s="17">
        <v>10.3</v>
      </c>
      <c r="H195" s="16">
        <v>67</v>
      </c>
      <c r="I195" s="18">
        <v>3.6309999999999998</v>
      </c>
      <c r="J195" s="13">
        <v>0.5</v>
      </c>
      <c r="K195" s="13"/>
      <c r="L195" s="17">
        <f>G195-J195</f>
        <v>9.8000000000000007</v>
      </c>
      <c r="M195" s="18">
        <f>L195*(H195*H195)*0.7854/10000</f>
        <v>3.4551473880000003</v>
      </c>
      <c r="N195" s="5"/>
      <c r="O195" s="8" t="s">
        <v>19</v>
      </c>
    </row>
    <row r="196" spans="1:15" s="14" customFormat="1" x14ac:dyDescent="0.25">
      <c r="A196" s="13">
        <v>200</v>
      </c>
      <c r="B196" s="16">
        <v>200</v>
      </c>
      <c r="C196" s="13" t="s">
        <v>3027</v>
      </c>
      <c r="D196" s="6" t="s">
        <v>319</v>
      </c>
      <c r="E196" s="13" t="s">
        <v>2931</v>
      </c>
      <c r="F196" s="13"/>
      <c r="G196" s="17">
        <v>11.6</v>
      </c>
      <c r="H196" s="16">
        <v>62</v>
      </c>
      <c r="I196" s="18">
        <v>3.5019999999999998</v>
      </c>
      <c r="J196" s="13"/>
      <c r="K196" s="13"/>
      <c r="L196" s="17">
        <f>G196-J196</f>
        <v>11.6</v>
      </c>
      <c r="M196" s="18">
        <f>L196*(H196*H196)*0.7854/10000</f>
        <v>3.5021300159999997</v>
      </c>
      <c r="N196" s="5"/>
      <c r="O196" s="8" t="s">
        <v>19</v>
      </c>
    </row>
    <row r="197" spans="1:15" s="14" customFormat="1" x14ac:dyDescent="0.25">
      <c r="A197" s="13">
        <v>201</v>
      </c>
      <c r="B197" s="16">
        <v>201</v>
      </c>
      <c r="C197" s="13" t="s">
        <v>3028</v>
      </c>
      <c r="D197" s="6" t="s">
        <v>321</v>
      </c>
      <c r="E197" s="13" t="s">
        <v>2931</v>
      </c>
      <c r="F197" s="13"/>
      <c r="G197" s="17">
        <v>7.6</v>
      </c>
      <c r="H197" s="16">
        <v>71</v>
      </c>
      <c r="I197" s="18">
        <v>3.0089999999999999</v>
      </c>
      <c r="J197" s="13"/>
      <c r="K197" s="13"/>
      <c r="L197" s="17">
        <f>G197-J197</f>
        <v>7.6</v>
      </c>
      <c r="M197" s="18">
        <f>L197*(H197*H197)*0.7854/10000</f>
        <v>3.0089930639999998</v>
      </c>
      <c r="N197" s="5"/>
      <c r="O197" s="8" t="s">
        <v>19</v>
      </c>
    </row>
    <row r="198" spans="1:15" s="14" customFormat="1" x14ac:dyDescent="0.25">
      <c r="A198" s="13">
        <v>202</v>
      </c>
      <c r="B198" s="16">
        <v>202</v>
      </c>
      <c r="C198" s="13" t="s">
        <v>3029</v>
      </c>
      <c r="D198" s="6" t="s">
        <v>323</v>
      </c>
      <c r="E198" s="13" t="s">
        <v>2931</v>
      </c>
      <c r="F198" s="13"/>
      <c r="G198" s="17">
        <v>6.6</v>
      </c>
      <c r="H198" s="16">
        <v>57</v>
      </c>
      <c r="I198" s="18">
        <v>1.6839999999999999</v>
      </c>
      <c r="J198" s="13"/>
      <c r="K198" s="13"/>
      <c r="L198" s="17">
        <f>G198-J198</f>
        <v>6.6</v>
      </c>
      <c r="M198" s="18">
        <f>L198*(H198*H198)*0.7854/10000</f>
        <v>1.684164636</v>
      </c>
      <c r="N198" s="5"/>
      <c r="O198" s="8" t="s">
        <v>19</v>
      </c>
    </row>
    <row r="199" spans="1:15" s="14" customFormat="1" x14ac:dyDescent="0.25">
      <c r="A199" s="13">
        <v>203</v>
      </c>
      <c r="B199" s="16">
        <v>203</v>
      </c>
      <c r="C199" s="13" t="s">
        <v>3030</v>
      </c>
      <c r="D199" s="6">
        <v>4708</v>
      </c>
      <c r="E199" s="13" t="s">
        <v>2931</v>
      </c>
      <c r="F199" s="13"/>
      <c r="G199" s="17">
        <v>11.7</v>
      </c>
      <c r="H199" s="16">
        <v>94</v>
      </c>
      <c r="I199" s="18">
        <v>8.1199999999999992</v>
      </c>
      <c r="J199" s="13">
        <v>0.3</v>
      </c>
      <c r="K199" s="13"/>
      <c r="L199" s="17">
        <f>G199-J199</f>
        <v>11.399999999999999</v>
      </c>
      <c r="M199" s="18">
        <f>L199*(H199*H199)*0.7854/10000</f>
        <v>7.9113656159999994</v>
      </c>
      <c r="N199" s="5"/>
      <c r="O199" s="8" t="s">
        <v>19</v>
      </c>
    </row>
    <row r="200" spans="1:15" s="14" customFormat="1" x14ac:dyDescent="0.25">
      <c r="A200" s="13">
        <v>204</v>
      </c>
      <c r="B200" s="16">
        <v>204</v>
      </c>
      <c r="C200" s="13" t="s">
        <v>3031</v>
      </c>
      <c r="D200" s="6">
        <v>1212</v>
      </c>
      <c r="E200" s="13" t="s">
        <v>2931</v>
      </c>
      <c r="F200" s="13"/>
      <c r="G200" s="17">
        <v>8.9</v>
      </c>
      <c r="H200" s="16">
        <v>56</v>
      </c>
      <c r="I200" s="18">
        <v>2.1920000000000002</v>
      </c>
      <c r="J200" s="13"/>
      <c r="K200" s="13"/>
      <c r="L200" s="17">
        <f>G200-J200</f>
        <v>8.9</v>
      </c>
      <c r="M200" s="18">
        <f>L200*(H200*H200)*0.7854/10000</f>
        <v>2.1920828160000001</v>
      </c>
      <c r="N200" s="5"/>
      <c r="O200" s="8" t="s">
        <v>19</v>
      </c>
    </row>
    <row r="201" spans="1:15" s="14" customFormat="1" x14ac:dyDescent="0.25">
      <c r="A201" s="13">
        <v>205</v>
      </c>
      <c r="B201" s="16">
        <v>205</v>
      </c>
      <c r="C201" s="13" t="s">
        <v>3032</v>
      </c>
      <c r="D201" s="6">
        <v>4709</v>
      </c>
      <c r="E201" s="13" t="s">
        <v>2931</v>
      </c>
      <c r="F201" s="13"/>
      <c r="G201" s="17">
        <v>12.4</v>
      </c>
      <c r="H201" s="16">
        <v>97</v>
      </c>
      <c r="I201" s="18">
        <v>9.1630000000000003</v>
      </c>
      <c r="J201" s="13">
        <v>0.3</v>
      </c>
      <c r="K201" s="13"/>
      <c r="L201" s="17">
        <f>G201-J201</f>
        <v>12.1</v>
      </c>
      <c r="M201" s="18">
        <f>L201*(H201*H201)*0.7854/10000</f>
        <v>8.9416926060000002</v>
      </c>
      <c r="N201" s="5"/>
      <c r="O201" s="8" t="s">
        <v>19</v>
      </c>
    </row>
    <row r="202" spans="1:15" s="14" customFormat="1" x14ac:dyDescent="0.25">
      <c r="A202" s="13">
        <v>206</v>
      </c>
      <c r="B202" s="16">
        <v>206</v>
      </c>
      <c r="C202" s="13" t="s">
        <v>3033</v>
      </c>
      <c r="D202" s="6" t="s">
        <v>328</v>
      </c>
      <c r="E202" s="13" t="s">
        <v>2931</v>
      </c>
      <c r="F202" s="13"/>
      <c r="G202" s="17">
        <v>10.1</v>
      </c>
      <c r="H202" s="16">
        <v>82</v>
      </c>
      <c r="I202" s="18">
        <v>5.3339999999999996</v>
      </c>
      <c r="J202" s="13"/>
      <c r="K202" s="13"/>
      <c r="L202" s="17">
        <f>G202-J202</f>
        <v>10.1</v>
      </c>
      <c r="M202" s="18">
        <f>L202*(H202*H202)*0.7854/10000</f>
        <v>5.3338398959999989</v>
      </c>
      <c r="N202" s="5"/>
      <c r="O202" s="8" t="s">
        <v>19</v>
      </c>
    </row>
    <row r="203" spans="1:15" s="14" customFormat="1" x14ac:dyDescent="0.25">
      <c r="A203" s="13">
        <v>207</v>
      </c>
      <c r="B203" s="16">
        <v>207</v>
      </c>
      <c r="C203" s="13" t="s">
        <v>3034</v>
      </c>
      <c r="D203" s="6">
        <v>1213</v>
      </c>
      <c r="E203" s="13" t="s">
        <v>2931</v>
      </c>
      <c r="F203" s="13"/>
      <c r="G203" s="17">
        <v>13.1</v>
      </c>
      <c r="H203" s="16">
        <v>117</v>
      </c>
      <c r="I203" s="18">
        <v>14.084</v>
      </c>
      <c r="J203" s="13"/>
      <c r="K203" s="13"/>
      <c r="L203" s="17">
        <f>G203-J203</f>
        <v>13.1</v>
      </c>
      <c r="M203" s="18">
        <f>L203*(H203*H203)*0.7854/10000</f>
        <v>14.084256185999999</v>
      </c>
      <c r="N203" s="5"/>
      <c r="O203" s="8" t="s">
        <v>30</v>
      </c>
    </row>
    <row r="204" spans="1:15" s="14" customFormat="1" x14ac:dyDescent="0.25">
      <c r="A204" s="13">
        <v>208</v>
      </c>
      <c r="B204" s="16">
        <v>208</v>
      </c>
      <c r="C204" s="13" t="s">
        <v>3035</v>
      </c>
      <c r="D204" s="6">
        <v>4710</v>
      </c>
      <c r="E204" s="13" t="s">
        <v>2931</v>
      </c>
      <c r="F204" s="13"/>
      <c r="G204" s="17">
        <v>11</v>
      </c>
      <c r="H204" s="16">
        <v>130</v>
      </c>
      <c r="I204" s="18">
        <v>14.601000000000001</v>
      </c>
      <c r="J204" s="13">
        <v>0.4</v>
      </c>
      <c r="K204" s="13"/>
      <c r="L204" s="17">
        <f>G204-J204</f>
        <v>10.6</v>
      </c>
      <c r="M204" s="18">
        <f>L204*(H204*H204)*0.7854/10000</f>
        <v>14.069655600000001</v>
      </c>
      <c r="N204" s="5"/>
      <c r="O204" s="8" t="s">
        <v>19</v>
      </c>
    </row>
    <row r="205" spans="1:15" s="14" customFormat="1" x14ac:dyDescent="0.25">
      <c r="A205" s="13">
        <v>209</v>
      </c>
      <c r="B205" s="16">
        <v>209</v>
      </c>
      <c r="C205" s="13" t="s">
        <v>3036</v>
      </c>
      <c r="D205" s="6" t="s">
        <v>332</v>
      </c>
      <c r="E205" s="13" t="s">
        <v>2931</v>
      </c>
      <c r="F205" s="13"/>
      <c r="G205" s="17">
        <v>7</v>
      </c>
      <c r="H205" s="16">
        <v>75</v>
      </c>
      <c r="I205" s="18">
        <v>3.093</v>
      </c>
      <c r="J205" s="13"/>
      <c r="K205" s="13"/>
      <c r="L205" s="17">
        <f>G205-J205</f>
        <v>7</v>
      </c>
      <c r="M205" s="18">
        <f>L205*(H205*H205)*0.7854/10000</f>
        <v>3.0925125000000002</v>
      </c>
      <c r="N205" s="5"/>
      <c r="O205" s="8" t="s">
        <v>19</v>
      </c>
    </row>
    <row r="206" spans="1:15" s="14" customFormat="1" x14ac:dyDescent="0.25">
      <c r="A206" s="13">
        <v>210</v>
      </c>
      <c r="B206" s="16">
        <v>210</v>
      </c>
      <c r="C206" s="13" t="s">
        <v>3037</v>
      </c>
      <c r="D206" s="6" t="s">
        <v>334</v>
      </c>
      <c r="E206" s="13" t="s">
        <v>2931</v>
      </c>
      <c r="F206" s="13"/>
      <c r="G206" s="17">
        <v>11.7</v>
      </c>
      <c r="H206" s="16">
        <v>80</v>
      </c>
      <c r="I206" s="18">
        <v>5.8810000000000002</v>
      </c>
      <c r="J206" s="13"/>
      <c r="K206" s="13"/>
      <c r="L206" s="17">
        <f>G206-J206</f>
        <v>11.7</v>
      </c>
      <c r="M206" s="18">
        <f>L206*(H206*H206)*0.7854/10000</f>
        <v>5.8810751999999997</v>
      </c>
      <c r="N206" s="5"/>
      <c r="O206" s="8" t="s">
        <v>30</v>
      </c>
    </row>
    <row r="207" spans="1:15" s="14" customFormat="1" x14ac:dyDescent="0.25">
      <c r="A207" s="13">
        <v>211</v>
      </c>
      <c r="B207" s="16">
        <v>211</v>
      </c>
      <c r="C207" s="13" t="s">
        <v>3038</v>
      </c>
      <c r="D207" s="6" t="s">
        <v>336</v>
      </c>
      <c r="E207" s="13" t="s">
        <v>2931</v>
      </c>
      <c r="F207" s="13"/>
      <c r="G207" s="17">
        <v>10.1</v>
      </c>
      <c r="H207" s="16">
        <v>96</v>
      </c>
      <c r="I207" s="18">
        <v>7.3109999999999999</v>
      </c>
      <c r="J207" s="13"/>
      <c r="K207" s="13"/>
      <c r="L207" s="17">
        <f>G207-J207</f>
        <v>10.1</v>
      </c>
      <c r="M207" s="18">
        <f>L207*(H207*H207)*0.7854/10000</f>
        <v>7.3106288639999999</v>
      </c>
      <c r="N207" s="5"/>
      <c r="O207" s="8" t="s">
        <v>19</v>
      </c>
    </row>
    <row r="208" spans="1:15" s="14" customFormat="1" x14ac:dyDescent="0.25">
      <c r="A208" s="13">
        <v>212</v>
      </c>
      <c r="B208" s="16">
        <v>212</v>
      </c>
      <c r="C208" s="13" t="s">
        <v>3039</v>
      </c>
      <c r="D208" s="6" t="s">
        <v>338</v>
      </c>
      <c r="E208" s="13" t="s">
        <v>2931</v>
      </c>
      <c r="F208" s="13"/>
      <c r="G208" s="17">
        <v>5.5</v>
      </c>
      <c r="H208" s="16">
        <v>76</v>
      </c>
      <c r="I208" s="18">
        <v>2.4950000000000001</v>
      </c>
      <c r="J208" s="13"/>
      <c r="K208" s="13"/>
      <c r="L208" s="17">
        <f>G208-J208</f>
        <v>5.5</v>
      </c>
      <c r="M208" s="18">
        <f>L208*(H208*H208)*0.7854/10000</f>
        <v>2.4950587199999998</v>
      </c>
      <c r="N208" s="5"/>
      <c r="O208" s="8" t="s">
        <v>19</v>
      </c>
    </row>
    <row r="209" spans="1:15" s="14" customFormat="1" x14ac:dyDescent="0.25">
      <c r="A209" s="13">
        <v>213</v>
      </c>
      <c r="B209" s="16">
        <v>213</v>
      </c>
      <c r="C209" s="13" t="s">
        <v>3040</v>
      </c>
      <c r="D209" s="6" t="s">
        <v>340</v>
      </c>
      <c r="E209" s="13" t="s">
        <v>2931</v>
      </c>
      <c r="F209" s="13"/>
      <c r="G209" s="17">
        <v>12.4</v>
      </c>
      <c r="H209" s="16">
        <v>110</v>
      </c>
      <c r="I209" s="18">
        <v>11.784000000000001</v>
      </c>
      <c r="J209" s="13"/>
      <c r="K209" s="13"/>
      <c r="L209" s="17">
        <f>G209-J209</f>
        <v>12.4</v>
      </c>
      <c r="M209" s="18">
        <f>L209*(H209*H209)*0.7854/10000</f>
        <v>11.7841416</v>
      </c>
      <c r="N209" s="5"/>
      <c r="O209" s="8" t="s">
        <v>30</v>
      </c>
    </row>
    <row r="210" spans="1:15" s="14" customFormat="1" x14ac:dyDescent="0.25">
      <c r="A210" s="13">
        <v>214</v>
      </c>
      <c r="B210" s="16">
        <v>214</v>
      </c>
      <c r="C210" s="13" t="s">
        <v>3041</v>
      </c>
      <c r="D210" s="6">
        <v>4712</v>
      </c>
      <c r="E210" s="13" t="s">
        <v>2931</v>
      </c>
      <c r="F210" s="13"/>
      <c r="G210" s="17">
        <v>11</v>
      </c>
      <c r="H210" s="16">
        <v>102</v>
      </c>
      <c r="I210" s="18">
        <v>8.9879999999999995</v>
      </c>
      <c r="J210" s="13">
        <v>0.4</v>
      </c>
      <c r="K210" s="13"/>
      <c r="L210" s="17">
        <f>G210-J210</f>
        <v>10.6</v>
      </c>
      <c r="M210" s="18">
        <f>L210*(H210*H210)*0.7854/10000</f>
        <v>8.6615796959999987</v>
      </c>
      <c r="N210" s="5"/>
      <c r="O210" s="8" t="s">
        <v>19</v>
      </c>
    </row>
    <row r="211" spans="1:15" s="14" customFormat="1" x14ac:dyDescent="0.25">
      <c r="A211" s="13">
        <v>215</v>
      </c>
      <c r="B211" s="16">
        <v>215</v>
      </c>
      <c r="C211" s="13" t="s">
        <v>3042</v>
      </c>
      <c r="D211" s="6">
        <v>185</v>
      </c>
      <c r="E211" s="13" t="s">
        <v>2931</v>
      </c>
      <c r="F211" s="13"/>
      <c r="G211" s="17">
        <v>10.4</v>
      </c>
      <c r="H211" s="16">
        <v>83</v>
      </c>
      <c r="I211" s="18">
        <v>5.6269999999999998</v>
      </c>
      <c r="J211" s="13"/>
      <c r="K211" s="13"/>
      <c r="L211" s="17">
        <f>G211-J211</f>
        <v>10.4</v>
      </c>
      <c r="M211" s="18">
        <f>L211*(H211*H211)*0.7854/10000</f>
        <v>5.6270454240000003</v>
      </c>
      <c r="N211" s="5"/>
      <c r="O211" s="8" t="s">
        <v>19</v>
      </c>
    </row>
    <row r="212" spans="1:15" s="14" customFormat="1" x14ac:dyDescent="0.25">
      <c r="A212" s="13">
        <v>216</v>
      </c>
      <c r="B212" s="16">
        <v>216</v>
      </c>
      <c r="C212" s="13" t="s">
        <v>3043</v>
      </c>
      <c r="D212" s="6" t="s">
        <v>344</v>
      </c>
      <c r="E212" s="13" t="s">
        <v>2931</v>
      </c>
      <c r="F212" s="13"/>
      <c r="G212" s="17">
        <v>6.9</v>
      </c>
      <c r="H212" s="16">
        <v>105</v>
      </c>
      <c r="I212" s="18">
        <v>5.9749999999999996</v>
      </c>
      <c r="J212" s="13"/>
      <c r="K212" s="13"/>
      <c r="L212" s="17">
        <f>G212-J212</f>
        <v>6.9</v>
      </c>
      <c r="M212" s="18">
        <f>L212*(H212*H212)*0.7854/10000</f>
        <v>5.9747341500000006</v>
      </c>
      <c r="N212" s="5"/>
      <c r="O212" s="8" t="s">
        <v>19</v>
      </c>
    </row>
    <row r="213" spans="1:15" s="14" customFormat="1" x14ac:dyDescent="0.25">
      <c r="A213" s="13">
        <v>217</v>
      </c>
      <c r="B213" s="16">
        <v>217</v>
      </c>
      <c r="C213" s="13" t="s">
        <v>3044</v>
      </c>
      <c r="D213" s="6" t="s">
        <v>346</v>
      </c>
      <c r="E213" s="13" t="s">
        <v>2931</v>
      </c>
      <c r="F213" s="13"/>
      <c r="G213" s="17">
        <v>8.4</v>
      </c>
      <c r="H213" s="16">
        <v>69</v>
      </c>
      <c r="I213" s="18">
        <v>3.141</v>
      </c>
      <c r="J213" s="13">
        <v>0.3</v>
      </c>
      <c r="K213" s="13"/>
      <c r="L213" s="17">
        <f>G213-J213</f>
        <v>8.1</v>
      </c>
      <c r="M213" s="18">
        <f>L213*(H213*H213)*0.7854/10000</f>
        <v>3.0288244139999998</v>
      </c>
      <c r="N213" s="5"/>
      <c r="O213" s="8" t="s">
        <v>19</v>
      </c>
    </row>
    <row r="214" spans="1:15" s="14" customFormat="1" x14ac:dyDescent="0.25">
      <c r="A214" s="13">
        <v>218</v>
      </c>
      <c r="B214" s="16">
        <v>218</v>
      </c>
      <c r="C214" s="13" t="s">
        <v>3045</v>
      </c>
      <c r="D214" s="6">
        <v>1216</v>
      </c>
      <c r="E214" s="13" t="s">
        <v>2931</v>
      </c>
      <c r="F214" s="13"/>
      <c r="G214" s="17">
        <v>12.4</v>
      </c>
      <c r="H214" s="16">
        <v>72</v>
      </c>
      <c r="I214" s="18">
        <v>5.0490000000000004</v>
      </c>
      <c r="J214" s="13"/>
      <c r="K214" s="13"/>
      <c r="L214" s="17">
        <f>G214-J214</f>
        <v>12.4</v>
      </c>
      <c r="M214" s="18">
        <f>L214*(H214*H214)*0.7854/10000</f>
        <v>5.048676863999999</v>
      </c>
      <c r="N214" s="5"/>
      <c r="O214" s="8" t="s">
        <v>19</v>
      </c>
    </row>
    <row r="215" spans="1:15" s="14" customFormat="1" x14ac:dyDescent="0.25">
      <c r="A215" s="13">
        <v>219</v>
      </c>
      <c r="B215" s="16">
        <v>219</v>
      </c>
      <c r="C215" s="13" t="s">
        <v>3046</v>
      </c>
      <c r="D215" s="6" t="s">
        <v>349</v>
      </c>
      <c r="E215" s="13" t="s">
        <v>2931</v>
      </c>
      <c r="F215" s="13"/>
      <c r="G215" s="17">
        <v>8.9</v>
      </c>
      <c r="H215" s="16">
        <v>62</v>
      </c>
      <c r="I215" s="18">
        <v>2.6869999999999998</v>
      </c>
      <c r="J215" s="13"/>
      <c r="K215" s="13"/>
      <c r="L215" s="17">
        <f>G215-J215</f>
        <v>8.9</v>
      </c>
      <c r="M215" s="18">
        <f>L215*(H215*H215)*0.7854/10000</f>
        <v>2.686979064</v>
      </c>
      <c r="N215" s="5"/>
      <c r="O215" s="8" t="s">
        <v>19</v>
      </c>
    </row>
    <row r="216" spans="1:15" s="14" customFormat="1" x14ac:dyDescent="0.25">
      <c r="A216" s="13">
        <v>220</v>
      </c>
      <c r="B216" s="16">
        <v>220</v>
      </c>
      <c r="C216" s="13" t="s">
        <v>3047</v>
      </c>
      <c r="D216" s="6" t="s">
        <v>351</v>
      </c>
      <c r="E216" s="13" t="s">
        <v>2931</v>
      </c>
      <c r="F216" s="13"/>
      <c r="G216" s="17">
        <v>10.5</v>
      </c>
      <c r="H216" s="16">
        <v>104</v>
      </c>
      <c r="I216" s="18">
        <v>8.92</v>
      </c>
      <c r="J216" s="13"/>
      <c r="K216" s="13"/>
      <c r="L216" s="17">
        <f>G216-J216</f>
        <v>10.5</v>
      </c>
      <c r="M216" s="18">
        <f>L216*(H216*H216)*0.7854/10000</f>
        <v>8.9196307199999989</v>
      </c>
      <c r="N216" s="5"/>
      <c r="O216" s="8" t="s">
        <v>19</v>
      </c>
    </row>
    <row r="217" spans="1:15" s="14" customFormat="1" x14ac:dyDescent="0.25">
      <c r="A217" s="13">
        <v>221</v>
      </c>
      <c r="B217" s="16">
        <v>221</v>
      </c>
      <c r="C217" s="13" t="s">
        <v>3048</v>
      </c>
      <c r="D217" s="6" t="s">
        <v>353</v>
      </c>
      <c r="E217" s="13" t="s">
        <v>2931</v>
      </c>
      <c r="F217" s="13"/>
      <c r="G217" s="17">
        <v>9.3000000000000007</v>
      </c>
      <c r="H217" s="16">
        <v>111</v>
      </c>
      <c r="I217" s="18">
        <v>9</v>
      </c>
      <c r="J217" s="13"/>
      <c r="K217" s="13"/>
      <c r="L217" s="17">
        <f>G217-J217</f>
        <v>9.3000000000000007</v>
      </c>
      <c r="M217" s="18">
        <f>L217*(H217*H217)*0.7854/10000</f>
        <v>8.9995294619999999</v>
      </c>
      <c r="N217" s="5"/>
      <c r="O217" s="8" t="s">
        <v>19</v>
      </c>
    </row>
    <row r="218" spans="1:15" s="14" customFormat="1" x14ac:dyDescent="0.25">
      <c r="A218" s="13">
        <v>222</v>
      </c>
      <c r="B218" s="16">
        <v>222</v>
      </c>
      <c r="C218" s="13" t="s">
        <v>3049</v>
      </c>
      <c r="D218" s="6">
        <v>4672</v>
      </c>
      <c r="E218" s="13" t="s">
        <v>2931</v>
      </c>
      <c r="F218" s="13"/>
      <c r="G218" s="17">
        <v>10.3</v>
      </c>
      <c r="H218" s="16">
        <v>93</v>
      </c>
      <c r="I218" s="18">
        <v>6.9969999999999999</v>
      </c>
      <c r="J218" s="13">
        <v>0.3</v>
      </c>
      <c r="K218" s="13"/>
      <c r="L218" s="17">
        <f>G218-J218</f>
        <v>10</v>
      </c>
      <c r="M218" s="18">
        <f>L218*(H218*H218)*0.7854/10000</f>
        <v>6.7929246000000001</v>
      </c>
      <c r="N218" s="5" t="s">
        <v>53</v>
      </c>
      <c r="O218" s="8" t="s">
        <v>30</v>
      </c>
    </row>
    <row r="219" spans="1:15" s="14" customFormat="1" x14ac:dyDescent="0.25">
      <c r="A219" s="13">
        <v>223</v>
      </c>
      <c r="B219" s="16">
        <v>223</v>
      </c>
      <c r="C219" s="13" t="s">
        <v>3050</v>
      </c>
      <c r="D219" s="6" t="s">
        <v>356</v>
      </c>
      <c r="E219" s="13" t="s">
        <v>2931</v>
      </c>
      <c r="F219" s="13"/>
      <c r="G219" s="17">
        <v>6.5</v>
      </c>
      <c r="H219" s="16">
        <v>94</v>
      </c>
      <c r="I219" s="18">
        <v>4.5110000000000001</v>
      </c>
      <c r="J219" s="13"/>
      <c r="K219" s="13"/>
      <c r="L219" s="17">
        <f>G219-J219</f>
        <v>6.5</v>
      </c>
      <c r="M219" s="18">
        <f>L219*(H219*H219)*0.7854/10000</f>
        <v>4.5108663599999996</v>
      </c>
      <c r="N219" s="5"/>
      <c r="O219" s="8" t="s">
        <v>19</v>
      </c>
    </row>
    <row r="220" spans="1:15" s="14" customFormat="1" x14ac:dyDescent="0.25">
      <c r="A220" s="13">
        <v>224</v>
      </c>
      <c r="B220" s="16">
        <v>224</v>
      </c>
      <c r="C220" s="13" t="s">
        <v>3051</v>
      </c>
      <c r="D220" s="6" t="s">
        <v>358</v>
      </c>
      <c r="E220" s="13" t="s">
        <v>2931</v>
      </c>
      <c r="F220" s="13"/>
      <c r="G220" s="17">
        <v>4.8</v>
      </c>
      <c r="H220" s="16">
        <v>103</v>
      </c>
      <c r="I220" s="18">
        <v>3.9990000000000001</v>
      </c>
      <c r="J220" s="13"/>
      <c r="K220" s="13"/>
      <c r="L220" s="17">
        <f>G220-J220</f>
        <v>4.8</v>
      </c>
      <c r="M220" s="18">
        <f>L220*(H220*H220)*0.7854/10000</f>
        <v>3.999508128</v>
      </c>
      <c r="N220" s="5"/>
      <c r="O220" s="8" t="s">
        <v>19</v>
      </c>
    </row>
    <row r="221" spans="1:15" s="14" customFormat="1" x14ac:dyDescent="0.25">
      <c r="A221" s="13">
        <v>225</v>
      </c>
      <c r="B221" s="16">
        <v>225</v>
      </c>
      <c r="C221" s="13" t="s">
        <v>3052</v>
      </c>
      <c r="D221" s="6" t="s">
        <v>360</v>
      </c>
      <c r="E221" s="13" t="s">
        <v>2931</v>
      </c>
      <c r="F221" s="13"/>
      <c r="G221" s="17">
        <v>5.5</v>
      </c>
      <c r="H221" s="16">
        <v>86</v>
      </c>
      <c r="I221" s="18">
        <v>3.1949999999999998</v>
      </c>
      <c r="J221" s="13"/>
      <c r="K221" s="13"/>
      <c r="L221" s="17">
        <f>G221-J221</f>
        <v>5.5</v>
      </c>
      <c r="M221" s="18">
        <f>L221*(H221*H221)*0.7854/10000</f>
        <v>3.1948501199999999</v>
      </c>
      <c r="N221" s="5" t="s">
        <v>361</v>
      </c>
      <c r="O221" s="8" t="s">
        <v>30</v>
      </c>
    </row>
    <row r="222" spans="1:15" s="14" customFormat="1" x14ac:dyDescent="0.25">
      <c r="A222" s="13">
        <v>226</v>
      </c>
      <c r="B222" s="16">
        <v>226</v>
      </c>
      <c r="C222" s="13" t="s">
        <v>3053</v>
      </c>
      <c r="D222" s="6" t="s">
        <v>363</v>
      </c>
      <c r="E222" s="13" t="s">
        <v>2931</v>
      </c>
      <c r="F222" s="13"/>
      <c r="G222" s="17">
        <v>10.5</v>
      </c>
      <c r="H222" s="16">
        <v>145</v>
      </c>
      <c r="I222" s="18">
        <v>17.338999999999999</v>
      </c>
      <c r="J222" s="13"/>
      <c r="K222" s="13"/>
      <c r="L222" s="17">
        <f>G222-J222</f>
        <v>10.5</v>
      </c>
      <c r="M222" s="18">
        <f>L222*(H222*H222)*0.7854/10000</f>
        <v>17.338686750000001</v>
      </c>
      <c r="N222" s="5" t="s">
        <v>21</v>
      </c>
      <c r="O222" s="8" t="s">
        <v>19</v>
      </c>
    </row>
    <row r="223" spans="1:15" s="14" customFormat="1" x14ac:dyDescent="0.25">
      <c r="A223" s="13">
        <v>227</v>
      </c>
      <c r="B223" s="16">
        <v>227</v>
      </c>
      <c r="C223" s="13" t="s">
        <v>3054</v>
      </c>
      <c r="D223" s="6">
        <v>1219</v>
      </c>
      <c r="E223" s="13" t="s">
        <v>2931</v>
      </c>
      <c r="F223" s="13"/>
      <c r="G223" s="17">
        <v>14.8</v>
      </c>
      <c r="H223" s="16">
        <v>93</v>
      </c>
      <c r="I223" s="18">
        <v>10.054</v>
      </c>
      <c r="J223" s="13"/>
      <c r="K223" s="13"/>
      <c r="L223" s="17">
        <f>G223-J223</f>
        <v>14.8</v>
      </c>
      <c r="M223" s="18">
        <f>L223*(H223*H223)*0.7854/10000</f>
        <v>10.053528408000002</v>
      </c>
      <c r="N223" s="5"/>
      <c r="O223" s="8" t="s">
        <v>19</v>
      </c>
    </row>
    <row r="224" spans="1:15" s="14" customFormat="1" x14ac:dyDescent="0.25">
      <c r="A224" s="13">
        <v>228</v>
      </c>
      <c r="B224" s="16">
        <v>228</v>
      </c>
      <c r="C224" s="13" t="s">
        <v>3055</v>
      </c>
      <c r="D224" s="6" t="s">
        <v>366</v>
      </c>
      <c r="E224" s="13" t="s">
        <v>2931</v>
      </c>
      <c r="F224" s="13"/>
      <c r="G224" s="17">
        <v>9.6</v>
      </c>
      <c r="H224" s="16">
        <v>92</v>
      </c>
      <c r="I224" s="18">
        <v>6.3819999999999997</v>
      </c>
      <c r="J224" s="13">
        <v>0.4</v>
      </c>
      <c r="K224" s="13"/>
      <c r="L224" s="17">
        <f>G224-J224</f>
        <v>9.1999999999999993</v>
      </c>
      <c r="M224" s="18">
        <f>L224*(H224*H224)*0.7854/10000</f>
        <v>6.115815551999999</v>
      </c>
      <c r="N224" s="5"/>
      <c r="O224" s="8" t="s">
        <v>30</v>
      </c>
    </row>
    <row r="225" spans="1:15" s="14" customFormat="1" x14ac:dyDescent="0.25">
      <c r="A225" s="13">
        <v>229</v>
      </c>
      <c r="B225" s="16">
        <v>229</v>
      </c>
      <c r="C225" s="13" t="s">
        <v>3056</v>
      </c>
      <c r="D225" s="6" t="s">
        <v>368</v>
      </c>
      <c r="E225" s="13" t="s">
        <v>2931</v>
      </c>
      <c r="F225" s="13"/>
      <c r="G225" s="17">
        <v>7.9</v>
      </c>
      <c r="H225" s="16">
        <v>133</v>
      </c>
      <c r="I225" s="18">
        <v>10.975</v>
      </c>
      <c r="J225" s="13"/>
      <c r="K225" s="13"/>
      <c r="L225" s="17">
        <f>G225-J225</f>
        <v>7.9</v>
      </c>
      <c r="M225" s="18">
        <f>L225*(H225*H225)*0.7854/10000</f>
        <v>10.975423074</v>
      </c>
      <c r="N225" s="5"/>
      <c r="O225" s="8" t="s">
        <v>19</v>
      </c>
    </row>
    <row r="226" spans="1:15" s="14" customFormat="1" x14ac:dyDescent="0.25">
      <c r="A226" s="13">
        <v>230</v>
      </c>
      <c r="B226" s="16">
        <v>230</v>
      </c>
      <c r="C226" s="13" t="s">
        <v>3057</v>
      </c>
      <c r="D226" s="6" t="s">
        <v>370</v>
      </c>
      <c r="E226" s="13" t="s">
        <v>2931</v>
      </c>
      <c r="F226" s="13"/>
      <c r="G226" s="17">
        <v>4.5</v>
      </c>
      <c r="H226" s="16">
        <v>87</v>
      </c>
      <c r="I226" s="18">
        <v>2.6749999999999998</v>
      </c>
      <c r="J226" s="13"/>
      <c r="K226" s="13"/>
      <c r="L226" s="17">
        <f>G226-J226</f>
        <v>4.5</v>
      </c>
      <c r="M226" s="18">
        <f>L226*(H226*H226)*0.7854/10000</f>
        <v>2.6751116699999997</v>
      </c>
      <c r="N226" s="5"/>
      <c r="O226" s="8" t="s">
        <v>19</v>
      </c>
    </row>
    <row r="227" spans="1:15" s="14" customFormat="1" x14ac:dyDescent="0.25">
      <c r="A227" s="13">
        <v>231</v>
      </c>
      <c r="B227" s="16">
        <v>231</v>
      </c>
      <c r="C227" s="13" t="s">
        <v>3058</v>
      </c>
      <c r="D227" s="6" t="s">
        <v>372</v>
      </c>
      <c r="E227" s="13" t="s">
        <v>2931</v>
      </c>
      <c r="F227" s="13"/>
      <c r="G227" s="17">
        <v>10.3</v>
      </c>
      <c r="H227" s="16">
        <v>80</v>
      </c>
      <c r="I227" s="18">
        <v>5.1769999999999996</v>
      </c>
      <c r="J227" s="13">
        <v>0.4</v>
      </c>
      <c r="K227" s="13"/>
      <c r="L227" s="17">
        <f>G227-J227</f>
        <v>9.9</v>
      </c>
      <c r="M227" s="18">
        <f>L227*(H227*H227)*0.7854/10000</f>
        <v>4.9762943999999996</v>
      </c>
      <c r="N227" s="5"/>
      <c r="O227" s="8" t="s">
        <v>19</v>
      </c>
    </row>
    <row r="228" spans="1:15" s="14" customFormat="1" x14ac:dyDescent="0.25">
      <c r="A228" s="13">
        <v>232</v>
      </c>
      <c r="B228" s="16">
        <v>232</v>
      </c>
      <c r="C228" s="13" t="s">
        <v>3059</v>
      </c>
      <c r="D228" s="6" t="s">
        <v>374</v>
      </c>
      <c r="E228" s="13" t="s">
        <v>2931</v>
      </c>
      <c r="F228" s="13"/>
      <c r="G228" s="17">
        <v>12.3</v>
      </c>
      <c r="H228" s="16">
        <v>73</v>
      </c>
      <c r="I228" s="18">
        <v>5.1479999999999997</v>
      </c>
      <c r="J228" s="13"/>
      <c r="K228" s="13"/>
      <c r="L228" s="17">
        <f>G228-J228</f>
        <v>12.3</v>
      </c>
      <c r="M228" s="18">
        <f>L228*(H228*H228)*0.7854/10000</f>
        <v>5.1480378179999997</v>
      </c>
      <c r="N228" s="5"/>
      <c r="O228" s="8" t="s">
        <v>19</v>
      </c>
    </row>
    <row r="229" spans="1:15" s="14" customFormat="1" x14ac:dyDescent="0.25">
      <c r="A229" s="13">
        <v>233</v>
      </c>
      <c r="B229" s="16">
        <v>233</v>
      </c>
      <c r="C229" s="13" t="s">
        <v>3060</v>
      </c>
      <c r="D229" s="6" t="s">
        <v>376</v>
      </c>
      <c r="E229" s="13" t="s">
        <v>2931</v>
      </c>
      <c r="F229" s="13"/>
      <c r="G229" s="17">
        <v>10.1</v>
      </c>
      <c r="H229" s="16">
        <v>101</v>
      </c>
      <c r="I229" s="18">
        <v>8.0920000000000005</v>
      </c>
      <c r="J229" s="13">
        <v>0.4</v>
      </c>
      <c r="K229" s="13"/>
      <c r="L229" s="17">
        <f>G229-J229</f>
        <v>9.6999999999999993</v>
      </c>
      <c r="M229" s="18">
        <f>L229*(H229*H229)*0.7854/10000</f>
        <v>7.7715094379999998</v>
      </c>
      <c r="N229" s="5"/>
      <c r="O229" s="8" t="s">
        <v>19</v>
      </c>
    </row>
    <row r="230" spans="1:15" s="14" customFormat="1" x14ac:dyDescent="0.25">
      <c r="A230" s="13">
        <v>234</v>
      </c>
      <c r="B230" s="16">
        <v>234</v>
      </c>
      <c r="C230" s="13" t="s">
        <v>3061</v>
      </c>
      <c r="D230" s="6" t="s">
        <v>378</v>
      </c>
      <c r="E230" s="13" t="s">
        <v>2931</v>
      </c>
      <c r="F230" s="13"/>
      <c r="G230" s="17">
        <v>4.7</v>
      </c>
      <c r="H230" s="16">
        <v>76</v>
      </c>
      <c r="I230" s="18">
        <v>2.1320000000000001</v>
      </c>
      <c r="J230" s="13"/>
      <c r="K230" s="13"/>
      <c r="L230" s="17">
        <f>G230-J230</f>
        <v>4.7</v>
      </c>
      <c r="M230" s="18">
        <f>L230*(H230*H230)*0.7854/10000</f>
        <v>2.132141088</v>
      </c>
      <c r="N230" s="5"/>
      <c r="O230" s="8" t="s">
        <v>19</v>
      </c>
    </row>
    <row r="231" spans="1:15" s="14" customFormat="1" x14ac:dyDescent="0.25">
      <c r="A231" s="13">
        <v>235</v>
      </c>
      <c r="B231" s="16">
        <v>235</v>
      </c>
      <c r="C231" s="13" t="s">
        <v>3062</v>
      </c>
      <c r="D231" s="6" t="s">
        <v>380</v>
      </c>
      <c r="E231" s="13" t="s">
        <v>2931</v>
      </c>
      <c r="F231" s="13"/>
      <c r="G231" s="17">
        <v>13.5</v>
      </c>
      <c r="H231" s="16">
        <v>72</v>
      </c>
      <c r="I231" s="18">
        <v>5.4969999999999999</v>
      </c>
      <c r="J231" s="13"/>
      <c r="K231" s="13"/>
      <c r="L231" s="17">
        <f>G231-J231</f>
        <v>13.5</v>
      </c>
      <c r="M231" s="18">
        <f>L231*(H231*H231)*0.7854/10000</f>
        <v>5.4965433599999995</v>
      </c>
      <c r="N231" s="5"/>
      <c r="O231" s="8" t="s">
        <v>19</v>
      </c>
    </row>
    <row r="232" spans="1:15" s="14" customFormat="1" x14ac:dyDescent="0.25">
      <c r="A232" s="13">
        <v>236</v>
      </c>
      <c r="B232" s="16">
        <v>236</v>
      </c>
      <c r="C232" s="13" t="s">
        <v>3063</v>
      </c>
      <c r="D232" s="6" t="s">
        <v>382</v>
      </c>
      <c r="E232" s="13" t="s">
        <v>2931</v>
      </c>
      <c r="F232" s="13"/>
      <c r="G232" s="17">
        <v>6.7</v>
      </c>
      <c r="H232" s="16">
        <v>94</v>
      </c>
      <c r="I232" s="18">
        <v>4.6500000000000004</v>
      </c>
      <c r="J232" s="13"/>
      <c r="K232" s="13"/>
      <c r="L232" s="17">
        <f>G232-J232</f>
        <v>6.7</v>
      </c>
      <c r="M232" s="18">
        <f>L232*(H232*H232)*0.7854/10000</f>
        <v>4.6496622480000003</v>
      </c>
      <c r="N232" s="5" t="s">
        <v>35</v>
      </c>
      <c r="O232" s="8" t="s">
        <v>19</v>
      </c>
    </row>
    <row r="233" spans="1:15" s="14" customFormat="1" x14ac:dyDescent="0.25">
      <c r="A233" s="13">
        <v>237</v>
      </c>
      <c r="B233" s="16">
        <v>237</v>
      </c>
      <c r="C233" s="13" t="s">
        <v>3064</v>
      </c>
      <c r="D233" s="6" t="s">
        <v>384</v>
      </c>
      <c r="E233" s="13" t="s">
        <v>2931</v>
      </c>
      <c r="F233" s="13"/>
      <c r="G233" s="17">
        <v>6.1</v>
      </c>
      <c r="H233" s="16">
        <v>63</v>
      </c>
      <c r="I233" s="18">
        <v>1.9019999999999999</v>
      </c>
      <c r="J233" s="13"/>
      <c r="K233" s="13"/>
      <c r="L233" s="17">
        <f>G233-J233</f>
        <v>6.1</v>
      </c>
      <c r="M233" s="18">
        <f>L233*(H233*H233)*0.7854/10000</f>
        <v>1.9015240859999998</v>
      </c>
      <c r="N233" s="5"/>
      <c r="O233" s="8" t="s">
        <v>30</v>
      </c>
    </row>
    <row r="234" spans="1:15" s="14" customFormat="1" x14ac:dyDescent="0.25">
      <c r="A234" s="13">
        <v>238</v>
      </c>
      <c r="B234" s="16">
        <v>238</v>
      </c>
      <c r="C234" s="13" t="s">
        <v>3065</v>
      </c>
      <c r="D234" s="6">
        <v>12223</v>
      </c>
      <c r="E234" s="13" t="s">
        <v>2931</v>
      </c>
      <c r="F234" s="13"/>
      <c r="G234" s="17">
        <v>12.4</v>
      </c>
      <c r="H234" s="16">
        <v>97</v>
      </c>
      <c r="I234" s="18">
        <v>9.1630000000000003</v>
      </c>
      <c r="J234" s="13"/>
      <c r="K234" s="13"/>
      <c r="L234" s="17">
        <f>G234-J234</f>
        <v>12.4</v>
      </c>
      <c r="M234" s="18">
        <f>L234*(H234*H234)*0.7854/10000</f>
        <v>9.1633874640000013</v>
      </c>
      <c r="N234" s="5"/>
      <c r="O234" s="8" t="s">
        <v>19</v>
      </c>
    </row>
    <row r="235" spans="1:15" s="14" customFormat="1" x14ac:dyDescent="0.25">
      <c r="A235" s="13">
        <v>239</v>
      </c>
      <c r="B235" s="16">
        <v>239</v>
      </c>
      <c r="C235" s="13" t="s">
        <v>3066</v>
      </c>
      <c r="D235" s="6">
        <v>1224</v>
      </c>
      <c r="E235" s="13" t="s">
        <v>2931</v>
      </c>
      <c r="F235" s="13"/>
      <c r="G235" s="17">
        <v>12.9</v>
      </c>
      <c r="H235" s="16">
        <v>92</v>
      </c>
      <c r="I235" s="18">
        <v>8.5749999999999993</v>
      </c>
      <c r="J235" s="13"/>
      <c r="K235" s="13"/>
      <c r="L235" s="17">
        <f>G235-J235</f>
        <v>12.9</v>
      </c>
      <c r="M235" s="18">
        <f>L235*(H235*H235)*0.7854/10000</f>
        <v>8.5754370240000011</v>
      </c>
      <c r="N235" s="5"/>
      <c r="O235" s="8" t="s">
        <v>19</v>
      </c>
    </row>
    <row r="236" spans="1:15" s="14" customFormat="1" x14ac:dyDescent="0.25">
      <c r="A236" s="13">
        <v>240</v>
      </c>
      <c r="B236" s="16">
        <v>240</v>
      </c>
      <c r="C236" s="13" t="s">
        <v>3067</v>
      </c>
      <c r="D236" s="6">
        <v>4676</v>
      </c>
      <c r="E236" s="13" t="s">
        <v>2931</v>
      </c>
      <c r="F236" s="13"/>
      <c r="G236" s="17">
        <v>12</v>
      </c>
      <c r="H236" s="16">
        <v>81</v>
      </c>
      <c r="I236" s="18">
        <v>6.1840000000000002</v>
      </c>
      <c r="J236" s="13"/>
      <c r="K236" s="13"/>
      <c r="L236" s="17">
        <f>G236-J236</f>
        <v>12</v>
      </c>
      <c r="M236" s="18">
        <f>L236*(H236*H236)*0.7854/10000</f>
        <v>6.18361128</v>
      </c>
      <c r="N236" s="5" t="s">
        <v>157</v>
      </c>
      <c r="O236" s="8" t="s">
        <v>30</v>
      </c>
    </row>
    <row r="237" spans="1:15" s="14" customFormat="1" x14ac:dyDescent="0.25">
      <c r="A237" s="13">
        <v>241</v>
      </c>
      <c r="B237" s="16">
        <v>241</v>
      </c>
      <c r="C237" s="13" t="s">
        <v>3068</v>
      </c>
      <c r="D237" s="6">
        <v>129</v>
      </c>
      <c r="E237" s="13" t="s">
        <v>2931</v>
      </c>
      <c r="F237" s="13"/>
      <c r="G237" s="17">
        <v>12.6</v>
      </c>
      <c r="H237" s="16">
        <v>63</v>
      </c>
      <c r="I237" s="18">
        <v>3.9279999999999999</v>
      </c>
      <c r="J237" s="13"/>
      <c r="K237" s="13"/>
      <c r="L237" s="17">
        <f>G237-J237</f>
        <v>12.6</v>
      </c>
      <c r="M237" s="18">
        <f>L237*(H237*H237)*0.7854/10000</f>
        <v>3.9277382759999999</v>
      </c>
      <c r="N237" s="5"/>
      <c r="O237" s="8" t="s">
        <v>19</v>
      </c>
    </row>
    <row r="238" spans="1:15" s="14" customFormat="1" x14ac:dyDescent="0.25">
      <c r="A238" s="13">
        <v>242</v>
      </c>
      <c r="B238" s="16">
        <v>242</v>
      </c>
      <c r="C238" s="13" t="s">
        <v>3069</v>
      </c>
      <c r="D238" s="6">
        <v>130</v>
      </c>
      <c r="E238" s="13" t="s">
        <v>2931</v>
      </c>
      <c r="F238" s="13"/>
      <c r="G238" s="17">
        <v>12.2</v>
      </c>
      <c r="H238" s="16">
        <v>58</v>
      </c>
      <c r="I238" s="18">
        <v>3.2229999999999999</v>
      </c>
      <c r="J238" s="13"/>
      <c r="K238" s="13"/>
      <c r="L238" s="17">
        <f>G238-J238</f>
        <v>12.2</v>
      </c>
      <c r="M238" s="18">
        <f>L238*(H238*H238)*0.7854/10000</f>
        <v>3.2233444319999993</v>
      </c>
      <c r="N238" s="5"/>
      <c r="O238" s="8" t="s">
        <v>19</v>
      </c>
    </row>
    <row r="239" spans="1:15" s="14" customFormat="1" x14ac:dyDescent="0.25">
      <c r="A239" s="13">
        <v>243</v>
      </c>
      <c r="B239" s="16">
        <v>243</v>
      </c>
      <c r="C239" s="13" t="s">
        <v>3070</v>
      </c>
      <c r="D239" s="6" t="s">
        <v>391</v>
      </c>
      <c r="E239" s="13" t="s">
        <v>2931</v>
      </c>
      <c r="F239" s="13"/>
      <c r="G239" s="17">
        <v>5.6</v>
      </c>
      <c r="H239" s="16">
        <v>69</v>
      </c>
      <c r="I239" s="18">
        <v>2.0939999999999999</v>
      </c>
      <c r="J239" s="13"/>
      <c r="K239" s="13"/>
      <c r="L239" s="17">
        <f>G239-J239</f>
        <v>5.6</v>
      </c>
      <c r="M239" s="18">
        <f>L239*(H239*H239)*0.7854/10000</f>
        <v>2.0940020639999997</v>
      </c>
      <c r="N239" s="5"/>
      <c r="O239" s="8" t="s">
        <v>30</v>
      </c>
    </row>
    <row r="240" spans="1:15" s="14" customFormat="1" x14ac:dyDescent="0.25">
      <c r="A240" s="13">
        <v>244</v>
      </c>
      <c r="B240" s="16">
        <v>244</v>
      </c>
      <c r="C240" s="13" t="s">
        <v>3071</v>
      </c>
      <c r="D240" s="6" t="s">
        <v>393</v>
      </c>
      <c r="E240" s="13" t="s">
        <v>2931</v>
      </c>
      <c r="F240" s="13"/>
      <c r="G240" s="17">
        <v>9.6</v>
      </c>
      <c r="H240" s="16">
        <v>61</v>
      </c>
      <c r="I240" s="18">
        <v>2.806</v>
      </c>
      <c r="J240" s="13"/>
      <c r="K240" s="13"/>
      <c r="L240" s="17">
        <f>G240-J240</f>
        <v>9.6</v>
      </c>
      <c r="M240" s="18">
        <f>L240*(H240*H240)*0.7854/10000</f>
        <v>2.8055744639999998</v>
      </c>
      <c r="N240" s="5"/>
      <c r="O240" s="8" t="s">
        <v>19</v>
      </c>
    </row>
    <row r="241" spans="1:15" s="14" customFormat="1" x14ac:dyDescent="0.25">
      <c r="A241" s="13">
        <v>245</v>
      </c>
      <c r="B241" s="16">
        <v>245</v>
      </c>
      <c r="C241" s="13" t="s">
        <v>3072</v>
      </c>
      <c r="D241" s="6" t="s">
        <v>395</v>
      </c>
      <c r="E241" s="13" t="s">
        <v>2931</v>
      </c>
      <c r="F241" s="13"/>
      <c r="G241" s="17">
        <v>11.1</v>
      </c>
      <c r="H241" s="16">
        <v>92</v>
      </c>
      <c r="I241" s="18">
        <v>7.3789999999999996</v>
      </c>
      <c r="J241" s="13"/>
      <c r="K241" s="13"/>
      <c r="L241" s="17">
        <f>G241-J241</f>
        <v>11.1</v>
      </c>
      <c r="M241" s="18">
        <f>L241*(H241*H241)*0.7854/10000</f>
        <v>7.3788644159999999</v>
      </c>
      <c r="N241" s="5"/>
      <c r="O241" s="8" t="s">
        <v>19</v>
      </c>
    </row>
    <row r="242" spans="1:15" s="14" customFormat="1" x14ac:dyDescent="0.25">
      <c r="A242" s="13">
        <v>246</v>
      </c>
      <c r="B242" s="16">
        <v>246</v>
      </c>
      <c r="C242" s="13" t="s">
        <v>3073</v>
      </c>
      <c r="D242" s="6" t="s">
        <v>397</v>
      </c>
      <c r="E242" s="13" t="s">
        <v>2931</v>
      </c>
      <c r="F242" s="13"/>
      <c r="G242" s="17">
        <v>4.9000000000000004</v>
      </c>
      <c r="H242" s="16">
        <v>56</v>
      </c>
      <c r="I242" s="18">
        <v>1.2070000000000001</v>
      </c>
      <c r="J242" s="13"/>
      <c r="K242" s="13"/>
      <c r="L242" s="17">
        <f>G242-J242</f>
        <v>4.9000000000000004</v>
      </c>
      <c r="M242" s="18">
        <f>L242*(H242*H242)*0.7854/10000</f>
        <v>1.2068770560000002</v>
      </c>
      <c r="N242" s="5"/>
      <c r="O242" s="8" t="s">
        <v>19</v>
      </c>
    </row>
    <row r="243" spans="1:15" s="14" customFormat="1" x14ac:dyDescent="0.25">
      <c r="A243" s="13">
        <v>247</v>
      </c>
      <c r="B243" s="16">
        <v>247</v>
      </c>
      <c r="C243" s="13" t="s">
        <v>3074</v>
      </c>
      <c r="D243" s="6" t="s">
        <v>399</v>
      </c>
      <c r="E243" s="13" t="s">
        <v>2931</v>
      </c>
      <c r="F243" s="13"/>
      <c r="G243" s="17">
        <v>4.8</v>
      </c>
      <c r="H243" s="16">
        <v>87</v>
      </c>
      <c r="I243" s="18">
        <v>2.8530000000000002</v>
      </c>
      <c r="J243" s="13"/>
      <c r="K243" s="13"/>
      <c r="L243" s="17">
        <f>G243-J243</f>
        <v>4.8</v>
      </c>
      <c r="M243" s="18">
        <f>L243*(H243*H243)*0.7854/10000</f>
        <v>2.8534524479999996</v>
      </c>
      <c r="N243" s="5"/>
      <c r="O243" s="8" t="s">
        <v>19</v>
      </c>
    </row>
    <row r="244" spans="1:15" s="14" customFormat="1" x14ac:dyDescent="0.25">
      <c r="A244" s="13">
        <v>248</v>
      </c>
      <c r="B244" s="16">
        <v>248</v>
      </c>
      <c r="C244" s="13" t="s">
        <v>3075</v>
      </c>
      <c r="D244" s="6">
        <v>132</v>
      </c>
      <c r="E244" s="13" t="s">
        <v>2931</v>
      </c>
      <c r="F244" s="13"/>
      <c r="G244" s="17">
        <v>6.9</v>
      </c>
      <c r="H244" s="16">
        <v>106</v>
      </c>
      <c r="I244" s="18">
        <v>6.0890000000000004</v>
      </c>
      <c r="J244" s="13"/>
      <c r="K244" s="13"/>
      <c r="L244" s="17">
        <f>G244-J244</f>
        <v>6.9</v>
      </c>
      <c r="M244" s="18">
        <f>L244*(H244*H244)*0.7854/10000</f>
        <v>6.0890805360000009</v>
      </c>
      <c r="N244" s="5"/>
      <c r="O244" s="8" t="s">
        <v>19</v>
      </c>
    </row>
    <row r="245" spans="1:15" s="14" customFormat="1" x14ac:dyDescent="0.25">
      <c r="A245" s="13">
        <v>249</v>
      </c>
      <c r="B245" s="16">
        <v>249</v>
      </c>
      <c r="C245" s="13" t="s">
        <v>3076</v>
      </c>
      <c r="D245" s="6" t="s">
        <v>402</v>
      </c>
      <c r="E245" s="13" t="s">
        <v>2931</v>
      </c>
      <c r="F245" s="13"/>
      <c r="G245" s="17">
        <v>11.7</v>
      </c>
      <c r="H245" s="16">
        <v>104</v>
      </c>
      <c r="I245" s="18">
        <v>9.9390000000000001</v>
      </c>
      <c r="J245" s="13"/>
      <c r="K245" s="13"/>
      <c r="L245" s="17">
        <f>G245-J245</f>
        <v>11.7</v>
      </c>
      <c r="M245" s="18">
        <f>L245*(H245*H245)*0.7854/10000</f>
        <v>9.9390170879999999</v>
      </c>
      <c r="N245" s="5"/>
      <c r="O245" s="8" t="s">
        <v>19</v>
      </c>
    </row>
    <row r="246" spans="1:15" s="14" customFormat="1" x14ac:dyDescent="0.25">
      <c r="A246" s="13">
        <v>250</v>
      </c>
      <c r="B246" s="16">
        <v>250</v>
      </c>
      <c r="C246" s="13" t="s">
        <v>3077</v>
      </c>
      <c r="D246" s="6" t="s">
        <v>404</v>
      </c>
      <c r="E246" s="13" t="s">
        <v>2931</v>
      </c>
      <c r="F246" s="13"/>
      <c r="G246" s="17">
        <v>11.5</v>
      </c>
      <c r="H246" s="16">
        <v>97</v>
      </c>
      <c r="I246" s="18">
        <v>8.4979999999999993</v>
      </c>
      <c r="J246" s="13"/>
      <c r="K246" s="13"/>
      <c r="L246" s="17">
        <f>G246-J246</f>
        <v>11.5</v>
      </c>
      <c r="M246" s="18">
        <f>L246*(H246*H246)*0.7854/10000</f>
        <v>8.4983028899999997</v>
      </c>
      <c r="N246" s="5"/>
      <c r="O246" s="8" t="s">
        <v>19</v>
      </c>
    </row>
    <row r="247" spans="1:15" s="14" customFormat="1" x14ac:dyDescent="0.25">
      <c r="A247" s="13">
        <v>251</v>
      </c>
      <c r="B247" s="16">
        <v>251</v>
      </c>
      <c r="C247" s="13" t="s">
        <v>3078</v>
      </c>
      <c r="D247" s="6" t="s">
        <v>406</v>
      </c>
      <c r="E247" s="13" t="s">
        <v>2931</v>
      </c>
      <c r="F247" s="13"/>
      <c r="G247" s="17">
        <v>6.6</v>
      </c>
      <c r="H247" s="16">
        <v>94</v>
      </c>
      <c r="I247" s="18">
        <v>4.58</v>
      </c>
      <c r="J247" s="13"/>
      <c r="K247" s="13"/>
      <c r="L247" s="17">
        <f>G247-J247</f>
        <v>6.6</v>
      </c>
      <c r="M247" s="18">
        <f>L247*(H247*H247)*0.7854/10000</f>
        <v>4.580264304</v>
      </c>
      <c r="N247" s="5"/>
      <c r="O247" s="8" t="s">
        <v>19</v>
      </c>
    </row>
    <row r="248" spans="1:15" s="14" customFormat="1" x14ac:dyDescent="0.25">
      <c r="A248" s="13">
        <v>252</v>
      </c>
      <c r="B248" s="16">
        <v>252</v>
      </c>
      <c r="C248" s="13" t="s">
        <v>3079</v>
      </c>
      <c r="D248" s="6" t="s">
        <v>408</v>
      </c>
      <c r="E248" s="13" t="s">
        <v>2931</v>
      </c>
      <c r="F248" s="13"/>
      <c r="G248" s="17">
        <v>5.3</v>
      </c>
      <c r="H248" s="16">
        <v>90</v>
      </c>
      <c r="I248" s="18">
        <v>3.3719999999999999</v>
      </c>
      <c r="J248" s="13"/>
      <c r="K248" s="13"/>
      <c r="L248" s="17">
        <f>G248-J248</f>
        <v>5.3</v>
      </c>
      <c r="M248" s="18">
        <f>L248*(H248*H248)*0.7854/10000</f>
        <v>3.3717222000000002</v>
      </c>
      <c r="N248" s="5"/>
      <c r="O248" s="8" t="s">
        <v>30</v>
      </c>
    </row>
    <row r="249" spans="1:15" s="14" customFormat="1" x14ac:dyDescent="0.25">
      <c r="A249" s="13">
        <v>254</v>
      </c>
      <c r="B249" s="16">
        <v>254</v>
      </c>
      <c r="C249" s="13" t="s">
        <v>3080</v>
      </c>
      <c r="D249" s="6" t="s">
        <v>410</v>
      </c>
      <c r="E249" s="13" t="s">
        <v>2931</v>
      </c>
      <c r="F249" s="13"/>
      <c r="G249" s="17">
        <v>9.1999999999999993</v>
      </c>
      <c r="H249" s="16">
        <v>87</v>
      </c>
      <c r="I249" s="18">
        <v>5.4690000000000003</v>
      </c>
      <c r="J249" s="13"/>
      <c r="K249" s="13"/>
      <c r="L249" s="17">
        <f>G249-J249</f>
        <v>9.1999999999999993</v>
      </c>
      <c r="M249" s="18">
        <f>L249*(H249*H249)*0.7854/10000</f>
        <v>5.4691171919999997</v>
      </c>
      <c r="N249" s="5"/>
      <c r="O249" s="8" t="s">
        <v>19</v>
      </c>
    </row>
    <row r="250" spans="1:15" s="14" customFormat="1" x14ac:dyDescent="0.25">
      <c r="A250" s="13">
        <v>255</v>
      </c>
      <c r="B250" s="16">
        <v>255</v>
      </c>
      <c r="C250" s="13" t="s">
        <v>3081</v>
      </c>
      <c r="D250" s="6" t="s">
        <v>412</v>
      </c>
      <c r="E250" s="13" t="s">
        <v>2931</v>
      </c>
      <c r="F250" s="13"/>
      <c r="G250" s="17">
        <v>10.1</v>
      </c>
      <c r="H250" s="16">
        <v>73</v>
      </c>
      <c r="I250" s="18">
        <v>4.2270000000000003</v>
      </c>
      <c r="J250" s="13"/>
      <c r="K250" s="13"/>
      <c r="L250" s="17">
        <f>G250-J250</f>
        <v>10.1</v>
      </c>
      <c r="M250" s="18">
        <f>L250*(H250*H250)*0.7854/10000</f>
        <v>4.2272505660000004</v>
      </c>
      <c r="N250" s="5"/>
      <c r="O250" s="8" t="s">
        <v>19</v>
      </c>
    </row>
    <row r="251" spans="1:15" s="14" customFormat="1" x14ac:dyDescent="0.25">
      <c r="A251" s="13">
        <v>256</v>
      </c>
      <c r="B251" s="16">
        <v>256</v>
      </c>
      <c r="C251" s="13" t="s">
        <v>3082</v>
      </c>
      <c r="D251" s="6" t="s">
        <v>414</v>
      </c>
      <c r="E251" s="13" t="s">
        <v>2931</v>
      </c>
      <c r="F251" s="13"/>
      <c r="G251" s="17">
        <v>10.199999999999999</v>
      </c>
      <c r="H251" s="16">
        <v>107</v>
      </c>
      <c r="I251" s="18">
        <v>9.1720000000000006</v>
      </c>
      <c r="J251" s="13"/>
      <c r="K251" s="13"/>
      <c r="L251" s="17">
        <f>G251-J251</f>
        <v>10.199999999999999</v>
      </c>
      <c r="M251" s="18">
        <f>L251*(H251*H251)*0.7854/10000</f>
        <v>9.1718854919999977</v>
      </c>
      <c r="N251" s="5" t="s">
        <v>53</v>
      </c>
      <c r="O251" s="8" t="s">
        <v>30</v>
      </c>
    </row>
    <row r="252" spans="1:15" s="14" customFormat="1" x14ac:dyDescent="0.25">
      <c r="A252" s="13">
        <v>257</v>
      </c>
      <c r="B252" s="16">
        <v>257</v>
      </c>
      <c r="C252" s="13" t="s">
        <v>3083</v>
      </c>
      <c r="D252" s="6">
        <v>4658</v>
      </c>
      <c r="E252" s="13" t="s">
        <v>2931</v>
      </c>
      <c r="F252" s="13"/>
      <c r="G252" s="17">
        <v>5.3</v>
      </c>
      <c r="H252" s="16">
        <v>83</v>
      </c>
      <c r="I252" s="18">
        <v>2.8679999999999999</v>
      </c>
      <c r="J252" s="13"/>
      <c r="K252" s="13"/>
      <c r="L252" s="17">
        <f>G252-J252</f>
        <v>5.3</v>
      </c>
      <c r="M252" s="18">
        <f>L252*(H252*H252)*0.7854/10000</f>
        <v>2.8676289179999994</v>
      </c>
      <c r="N252" s="5"/>
      <c r="O252" s="8" t="s">
        <v>19</v>
      </c>
    </row>
    <row r="253" spans="1:15" s="14" customFormat="1" x14ac:dyDescent="0.25">
      <c r="A253" s="13">
        <v>258</v>
      </c>
      <c r="B253" s="16">
        <v>258</v>
      </c>
      <c r="C253" s="13" t="s">
        <v>3084</v>
      </c>
      <c r="D253" s="6" t="s">
        <v>417</v>
      </c>
      <c r="E253" s="13" t="s">
        <v>2931</v>
      </c>
      <c r="F253" s="13"/>
      <c r="G253" s="17">
        <v>5.6</v>
      </c>
      <c r="H253" s="16">
        <v>70</v>
      </c>
      <c r="I253" s="18">
        <v>2.1549999999999998</v>
      </c>
      <c r="J253" s="13"/>
      <c r="K253" s="13"/>
      <c r="L253" s="17">
        <f>G253-J253</f>
        <v>5.6</v>
      </c>
      <c r="M253" s="18">
        <f>L253*(H253*H253)*0.7854/10000</f>
        <v>2.1551376000000002</v>
      </c>
      <c r="N253" s="5"/>
      <c r="O253" s="8" t="s">
        <v>19</v>
      </c>
    </row>
    <row r="254" spans="1:15" s="14" customFormat="1" x14ac:dyDescent="0.25">
      <c r="A254" s="13">
        <v>259</v>
      </c>
      <c r="B254" s="16">
        <v>259</v>
      </c>
      <c r="C254" s="13" t="s">
        <v>3085</v>
      </c>
      <c r="D254" s="6" t="s">
        <v>419</v>
      </c>
      <c r="E254" s="13" t="s">
        <v>2931</v>
      </c>
      <c r="F254" s="13"/>
      <c r="G254" s="17">
        <v>5</v>
      </c>
      <c r="H254" s="16">
        <v>103</v>
      </c>
      <c r="I254" s="18">
        <v>4.1660000000000004</v>
      </c>
      <c r="J254" s="13"/>
      <c r="K254" s="13"/>
      <c r="L254" s="17">
        <f>G254-J254</f>
        <v>5</v>
      </c>
      <c r="M254" s="18">
        <f>L254*(H254*H254)*0.7854/10000</f>
        <v>4.1661542999999996</v>
      </c>
      <c r="N254" s="5"/>
      <c r="O254" s="8" t="s">
        <v>30</v>
      </c>
    </row>
    <row r="255" spans="1:15" s="14" customFormat="1" x14ac:dyDescent="0.25">
      <c r="A255" s="13">
        <v>260</v>
      </c>
      <c r="B255" s="16">
        <v>260</v>
      </c>
      <c r="C255" s="13" t="s">
        <v>3086</v>
      </c>
      <c r="D255" s="6">
        <v>135</v>
      </c>
      <c r="E255" s="13" t="s">
        <v>2931</v>
      </c>
      <c r="F255" s="13"/>
      <c r="G255" s="17">
        <v>10</v>
      </c>
      <c r="H255" s="16">
        <v>75</v>
      </c>
      <c r="I255" s="18">
        <v>4.4180000000000001</v>
      </c>
      <c r="J255" s="13">
        <v>0.3</v>
      </c>
      <c r="K255" s="13"/>
      <c r="L255" s="17">
        <f>G255-J255</f>
        <v>9.6999999999999993</v>
      </c>
      <c r="M255" s="18">
        <f>L255*(H255*H255)*0.7854/10000</f>
        <v>4.2853387499999993</v>
      </c>
      <c r="N255" s="5"/>
      <c r="O255" s="8" t="s">
        <v>19</v>
      </c>
    </row>
    <row r="256" spans="1:15" s="14" customFormat="1" x14ac:dyDescent="0.25">
      <c r="A256" s="13">
        <v>261</v>
      </c>
      <c r="B256" s="16">
        <v>261</v>
      </c>
      <c r="C256" s="13" t="s">
        <v>3087</v>
      </c>
      <c r="D256" s="6" t="s">
        <v>374</v>
      </c>
      <c r="E256" s="13" t="s">
        <v>2931</v>
      </c>
      <c r="F256" s="13"/>
      <c r="G256" s="17">
        <v>5.5</v>
      </c>
      <c r="H256" s="16">
        <v>75</v>
      </c>
      <c r="I256" s="18">
        <v>2.4300000000000002</v>
      </c>
      <c r="J256" s="13"/>
      <c r="K256" s="13"/>
      <c r="L256" s="17">
        <f>G256-J256</f>
        <v>5.5</v>
      </c>
      <c r="M256" s="18">
        <f>L256*(H256*H256)*0.7854/10000</f>
        <v>2.4298312499999999</v>
      </c>
      <c r="N256" s="5"/>
      <c r="O256" s="8" t="s">
        <v>19</v>
      </c>
    </row>
    <row r="257" spans="1:15" s="14" customFormat="1" x14ac:dyDescent="0.25">
      <c r="A257" s="13">
        <v>262</v>
      </c>
      <c r="B257" s="16">
        <v>262</v>
      </c>
      <c r="C257" s="13" t="s">
        <v>3088</v>
      </c>
      <c r="D257" s="6" t="s">
        <v>423</v>
      </c>
      <c r="E257" s="13" t="s">
        <v>2931</v>
      </c>
      <c r="F257" s="13"/>
      <c r="G257" s="17">
        <v>9.4</v>
      </c>
      <c r="H257" s="16">
        <v>108</v>
      </c>
      <c r="I257" s="18">
        <v>8.6110000000000007</v>
      </c>
      <c r="J257" s="13"/>
      <c r="K257" s="13"/>
      <c r="L257" s="17">
        <f>G257-J257</f>
        <v>9.4</v>
      </c>
      <c r="M257" s="18">
        <f>L257*(H257*H257)*0.7854/10000</f>
        <v>8.6112512639999998</v>
      </c>
      <c r="N257" s="5"/>
      <c r="O257" s="8" t="s">
        <v>19</v>
      </c>
    </row>
    <row r="258" spans="1:15" s="14" customFormat="1" x14ac:dyDescent="0.25">
      <c r="A258" s="13">
        <v>263</v>
      </c>
      <c r="B258" s="16">
        <v>263</v>
      </c>
      <c r="C258" s="13" t="s">
        <v>3089</v>
      </c>
      <c r="D258" s="6" t="s">
        <v>425</v>
      </c>
      <c r="E258" s="13" t="s">
        <v>2931</v>
      </c>
      <c r="F258" s="13"/>
      <c r="G258" s="17">
        <v>10.199999999999999</v>
      </c>
      <c r="H258" s="16">
        <v>63</v>
      </c>
      <c r="I258" s="18">
        <v>3.18</v>
      </c>
      <c r="J258" s="13"/>
      <c r="K258" s="13"/>
      <c r="L258" s="17">
        <f>G258-J258</f>
        <v>10.199999999999999</v>
      </c>
      <c r="M258" s="18">
        <f>L258*(H258*H258)*0.7854/10000</f>
        <v>3.1795976519999996</v>
      </c>
      <c r="N258" s="5"/>
      <c r="O258" s="8" t="s">
        <v>19</v>
      </c>
    </row>
    <row r="259" spans="1:15" s="14" customFormat="1" x14ac:dyDescent="0.25">
      <c r="A259" s="13">
        <v>264</v>
      </c>
      <c r="B259" s="16">
        <v>264</v>
      </c>
      <c r="C259" s="13" t="s">
        <v>3090</v>
      </c>
      <c r="D259" s="6" t="s">
        <v>427</v>
      </c>
      <c r="E259" s="13" t="s">
        <v>2931</v>
      </c>
      <c r="F259" s="13"/>
      <c r="G259" s="17">
        <v>4.4000000000000004</v>
      </c>
      <c r="H259" s="16">
        <v>102</v>
      </c>
      <c r="I259" s="18">
        <v>3.5950000000000002</v>
      </c>
      <c r="J259" s="13"/>
      <c r="K259" s="13"/>
      <c r="L259" s="17">
        <f>G259-J259</f>
        <v>4.4000000000000004</v>
      </c>
      <c r="M259" s="18">
        <f>L259*(H259*H259)*0.7854/10000</f>
        <v>3.5953727040000003</v>
      </c>
      <c r="N259" s="5"/>
      <c r="O259" s="8" t="s">
        <v>19</v>
      </c>
    </row>
    <row r="260" spans="1:15" s="14" customFormat="1" x14ac:dyDescent="0.25">
      <c r="A260" s="13">
        <v>265</v>
      </c>
      <c r="B260" s="16">
        <v>265</v>
      </c>
      <c r="C260" s="13" t="s">
        <v>3091</v>
      </c>
      <c r="D260" s="6">
        <v>1232</v>
      </c>
      <c r="E260" s="13" t="s">
        <v>2931</v>
      </c>
      <c r="F260" s="13"/>
      <c r="G260" s="17">
        <v>12.3</v>
      </c>
      <c r="H260" s="16">
        <v>84</v>
      </c>
      <c r="I260" s="18">
        <v>6.8159999999999998</v>
      </c>
      <c r="J260" s="13"/>
      <c r="K260" s="13"/>
      <c r="L260" s="17">
        <f>G260-J260</f>
        <v>12.3</v>
      </c>
      <c r="M260" s="18">
        <f>L260*(H260*H260)*0.7854/10000</f>
        <v>6.8163923519999994</v>
      </c>
      <c r="N260" s="5"/>
      <c r="O260" s="8" t="s">
        <v>19</v>
      </c>
    </row>
    <row r="261" spans="1:15" s="14" customFormat="1" x14ac:dyDescent="0.25">
      <c r="A261" s="13">
        <v>266</v>
      </c>
      <c r="B261" s="16">
        <v>266</v>
      </c>
      <c r="C261" s="13" t="s">
        <v>3092</v>
      </c>
      <c r="D261" s="6">
        <v>137</v>
      </c>
      <c r="E261" s="13" t="s">
        <v>2931</v>
      </c>
      <c r="F261" s="13"/>
      <c r="G261" s="17">
        <v>10.5</v>
      </c>
      <c r="H261" s="16">
        <v>83</v>
      </c>
      <c r="I261" s="18">
        <v>5.681</v>
      </c>
      <c r="J261" s="13"/>
      <c r="K261" s="13"/>
      <c r="L261" s="17">
        <f>G261-J261</f>
        <v>10.5</v>
      </c>
      <c r="M261" s="18">
        <f>L261*(H261*H261)*0.7854/10000</f>
        <v>5.6811516299999996</v>
      </c>
      <c r="N261" s="5"/>
      <c r="O261" s="8" t="s">
        <v>19</v>
      </c>
    </row>
    <row r="262" spans="1:15" s="14" customFormat="1" x14ac:dyDescent="0.25">
      <c r="A262" s="13">
        <v>267</v>
      </c>
      <c r="B262" s="16">
        <v>267</v>
      </c>
      <c r="C262" s="13" t="s">
        <v>3093</v>
      </c>
      <c r="D262" s="6">
        <v>1233</v>
      </c>
      <c r="E262" s="13" t="s">
        <v>2931</v>
      </c>
      <c r="F262" s="13"/>
      <c r="G262" s="17">
        <v>15.4</v>
      </c>
      <c r="H262" s="16">
        <v>71</v>
      </c>
      <c r="I262" s="18">
        <v>6.0970000000000004</v>
      </c>
      <c r="J262" s="13"/>
      <c r="K262" s="13"/>
      <c r="L262" s="17">
        <f>G262-J262</f>
        <v>15.4</v>
      </c>
      <c r="M262" s="18">
        <f>L262*(H262*H262)*0.7854/10000</f>
        <v>6.0971701560000007</v>
      </c>
      <c r="N262" s="5" t="s">
        <v>157</v>
      </c>
      <c r="O262" s="8" t="s">
        <v>19</v>
      </c>
    </row>
    <row r="263" spans="1:15" s="14" customFormat="1" x14ac:dyDescent="0.25">
      <c r="A263" s="13">
        <v>268</v>
      </c>
      <c r="B263" s="16">
        <v>268</v>
      </c>
      <c r="C263" s="13" t="s">
        <v>3094</v>
      </c>
      <c r="D263" s="6">
        <v>4721</v>
      </c>
      <c r="E263" s="13" t="s">
        <v>2931</v>
      </c>
      <c r="F263" s="13"/>
      <c r="G263" s="17">
        <v>13.4</v>
      </c>
      <c r="H263" s="16">
        <v>94</v>
      </c>
      <c r="I263" s="18">
        <v>9.2989999999999995</v>
      </c>
      <c r="J263" s="13"/>
      <c r="K263" s="13"/>
      <c r="L263" s="17">
        <f>G263-J263</f>
        <v>13.4</v>
      </c>
      <c r="M263" s="18">
        <f>L263*(H263*H263)*0.7854/10000</f>
        <v>9.2993244960000006</v>
      </c>
      <c r="N263" s="5"/>
      <c r="O263" s="8" t="s">
        <v>30</v>
      </c>
    </row>
    <row r="264" spans="1:15" s="14" customFormat="1" x14ac:dyDescent="0.25">
      <c r="A264" s="13">
        <v>269</v>
      </c>
      <c r="B264" s="16">
        <v>269</v>
      </c>
      <c r="C264" s="13" t="s">
        <v>3095</v>
      </c>
      <c r="D264" s="6">
        <v>1234</v>
      </c>
      <c r="E264" s="13" t="s">
        <v>2931</v>
      </c>
      <c r="F264" s="13"/>
      <c r="G264" s="17">
        <v>9.4</v>
      </c>
      <c r="H264" s="16">
        <v>89</v>
      </c>
      <c r="I264" s="18">
        <v>5.8479999999999999</v>
      </c>
      <c r="J264" s="13"/>
      <c r="K264" s="13"/>
      <c r="L264" s="17">
        <f>G264-J264</f>
        <v>9.4</v>
      </c>
      <c r="M264" s="18">
        <f>L264*(H264*H264)*0.7854/10000</f>
        <v>5.8478841960000008</v>
      </c>
      <c r="N264" s="5"/>
      <c r="O264" s="8" t="s">
        <v>19</v>
      </c>
    </row>
    <row r="265" spans="1:15" s="14" customFormat="1" x14ac:dyDescent="0.25">
      <c r="A265" s="13">
        <v>270</v>
      </c>
      <c r="B265" s="16">
        <v>270</v>
      </c>
      <c r="C265" s="13" t="s">
        <v>3096</v>
      </c>
      <c r="D265" s="6" t="s">
        <v>434</v>
      </c>
      <c r="E265" s="13" t="s">
        <v>2931</v>
      </c>
      <c r="F265" s="13"/>
      <c r="G265" s="17">
        <v>4.2</v>
      </c>
      <c r="H265" s="16">
        <v>80</v>
      </c>
      <c r="I265" s="18">
        <v>2.1110000000000002</v>
      </c>
      <c r="J265" s="13"/>
      <c r="K265" s="13"/>
      <c r="L265" s="17">
        <f>G265-J265</f>
        <v>4.2</v>
      </c>
      <c r="M265" s="18">
        <f>L265*(H265*H265)*0.7854/10000</f>
        <v>2.1111551999999998</v>
      </c>
      <c r="N265" s="5"/>
      <c r="O265" s="8" t="s">
        <v>19</v>
      </c>
    </row>
    <row r="266" spans="1:15" s="14" customFormat="1" x14ac:dyDescent="0.25">
      <c r="A266" s="13">
        <v>271</v>
      </c>
      <c r="B266" s="16">
        <v>271</v>
      </c>
      <c r="C266" s="13" t="s">
        <v>3097</v>
      </c>
      <c r="D266" s="6">
        <v>1236</v>
      </c>
      <c r="E266" s="13" t="s">
        <v>2931</v>
      </c>
      <c r="F266" s="13"/>
      <c r="G266" s="17">
        <v>13.6</v>
      </c>
      <c r="H266" s="16">
        <v>103</v>
      </c>
      <c r="I266" s="18">
        <v>11.332000000000001</v>
      </c>
      <c r="J266" s="13">
        <v>0.4</v>
      </c>
      <c r="K266" s="13"/>
      <c r="L266" s="17">
        <f>G266-J266</f>
        <v>13.2</v>
      </c>
      <c r="M266" s="18">
        <f>L266*(H266*H266)*0.7854/10000</f>
        <v>10.998647351999999</v>
      </c>
      <c r="N266" s="5"/>
      <c r="O266" s="8" t="s">
        <v>30</v>
      </c>
    </row>
    <row r="267" spans="1:15" s="14" customFormat="1" x14ac:dyDescent="0.25">
      <c r="A267" s="13">
        <v>272</v>
      </c>
      <c r="B267" s="16">
        <v>272</v>
      </c>
      <c r="C267" s="13" t="s">
        <v>3098</v>
      </c>
      <c r="D267" s="6">
        <v>4663</v>
      </c>
      <c r="E267" s="13" t="s">
        <v>2931</v>
      </c>
      <c r="F267" s="13"/>
      <c r="G267" s="17">
        <v>12.6</v>
      </c>
      <c r="H267" s="16">
        <v>91</v>
      </c>
      <c r="I267" s="18">
        <v>8.1950000000000003</v>
      </c>
      <c r="J267" s="13"/>
      <c r="K267" s="13"/>
      <c r="L267" s="17">
        <f>G267-J267</f>
        <v>12.6</v>
      </c>
      <c r="M267" s="18">
        <f>L267*(H267*H267)*0.7854/10000</f>
        <v>8.1949107239999996</v>
      </c>
      <c r="N267" s="5"/>
      <c r="O267" s="8" t="s">
        <v>19</v>
      </c>
    </row>
    <row r="268" spans="1:15" s="14" customFormat="1" x14ac:dyDescent="0.25">
      <c r="A268" s="13">
        <v>273</v>
      </c>
      <c r="B268" s="16">
        <v>273</v>
      </c>
      <c r="C268" s="13" t="s">
        <v>3099</v>
      </c>
      <c r="D268" s="6">
        <v>140</v>
      </c>
      <c r="E268" s="13" t="s">
        <v>2931</v>
      </c>
      <c r="F268" s="13"/>
      <c r="G268" s="17">
        <v>10.1</v>
      </c>
      <c r="H268" s="16">
        <v>77</v>
      </c>
      <c r="I268" s="18">
        <v>4.7030000000000003</v>
      </c>
      <c r="J268" s="13"/>
      <c r="K268" s="13"/>
      <c r="L268" s="17">
        <f>G268-J268</f>
        <v>10.1</v>
      </c>
      <c r="M268" s="18">
        <f>L268*(H268*H268)*0.7854/10000</f>
        <v>4.7032029660000001</v>
      </c>
      <c r="N268" s="5"/>
      <c r="O268" s="8" t="s">
        <v>19</v>
      </c>
    </row>
    <row r="269" spans="1:15" s="14" customFormat="1" x14ac:dyDescent="0.25">
      <c r="A269" s="13">
        <v>274</v>
      </c>
      <c r="B269" s="16">
        <v>274</v>
      </c>
      <c r="C269" s="13" t="s">
        <v>3100</v>
      </c>
      <c r="D269" s="6">
        <v>1238</v>
      </c>
      <c r="E269" s="13" t="s">
        <v>2931</v>
      </c>
      <c r="F269" s="13"/>
      <c r="G269" s="17">
        <v>14.5</v>
      </c>
      <c r="H269" s="16">
        <v>111</v>
      </c>
      <c r="I269" s="18">
        <v>14.031000000000001</v>
      </c>
      <c r="J269" s="13"/>
      <c r="K269" s="13"/>
      <c r="L269" s="17">
        <f>G269-J269</f>
        <v>14.5</v>
      </c>
      <c r="M269" s="18">
        <f>L269*(H269*H269)*0.7854/10000</f>
        <v>14.031524429999999</v>
      </c>
      <c r="N269" s="5"/>
      <c r="O269" s="8" t="s">
        <v>30</v>
      </c>
    </row>
    <row r="270" spans="1:15" s="14" customFormat="1" x14ac:dyDescent="0.25">
      <c r="A270" s="13">
        <v>275</v>
      </c>
      <c r="B270" s="16">
        <v>275</v>
      </c>
      <c r="C270" s="13" t="s">
        <v>3101</v>
      </c>
      <c r="D270" s="6">
        <v>1239</v>
      </c>
      <c r="E270" s="13" t="s">
        <v>2931</v>
      </c>
      <c r="F270" s="13"/>
      <c r="G270" s="17">
        <v>13.6</v>
      </c>
      <c r="H270" s="16">
        <v>111</v>
      </c>
      <c r="I270" s="18">
        <v>13.161</v>
      </c>
      <c r="J270" s="13"/>
      <c r="K270" s="13"/>
      <c r="L270" s="17">
        <f>G270-J270</f>
        <v>13.6</v>
      </c>
      <c r="M270" s="18">
        <f>L270*(H270*H270)*0.7854/10000</f>
        <v>13.160602224</v>
      </c>
      <c r="N270" s="5"/>
      <c r="O270" s="8" t="s">
        <v>19</v>
      </c>
    </row>
    <row r="271" spans="1:15" s="14" customFormat="1" x14ac:dyDescent="0.25">
      <c r="A271" s="13">
        <v>277</v>
      </c>
      <c r="B271" s="16">
        <v>277</v>
      </c>
      <c r="C271" s="13" t="s">
        <v>3102</v>
      </c>
      <c r="D271" s="6" t="s">
        <v>441</v>
      </c>
      <c r="E271" s="13" t="s">
        <v>2931</v>
      </c>
      <c r="F271" s="13"/>
      <c r="G271" s="17">
        <v>5.0999999999999996</v>
      </c>
      <c r="H271" s="16">
        <v>102</v>
      </c>
      <c r="I271" s="18">
        <v>4.1669999999999998</v>
      </c>
      <c r="J271" s="13"/>
      <c r="K271" s="13"/>
      <c r="L271" s="17">
        <f>G271-J271</f>
        <v>5.0999999999999996</v>
      </c>
      <c r="M271" s="18">
        <f>L271*(H271*H271)*0.7854/10000</f>
        <v>4.1673638159999991</v>
      </c>
      <c r="N271" s="5"/>
      <c r="O271" s="8" t="s">
        <v>19</v>
      </c>
    </row>
    <row r="272" spans="1:15" s="14" customFormat="1" x14ac:dyDescent="0.25">
      <c r="A272" s="13">
        <v>278</v>
      </c>
      <c r="B272" s="16">
        <v>278</v>
      </c>
      <c r="C272" s="13" t="s">
        <v>3103</v>
      </c>
      <c r="D272" s="6">
        <v>4667</v>
      </c>
      <c r="E272" s="13" t="s">
        <v>2931</v>
      </c>
      <c r="F272" s="13"/>
      <c r="G272" s="17">
        <v>8.4</v>
      </c>
      <c r="H272" s="16">
        <v>119</v>
      </c>
      <c r="I272" s="18">
        <v>9.3420000000000005</v>
      </c>
      <c r="J272" s="13">
        <v>0.3</v>
      </c>
      <c r="K272" s="13"/>
      <c r="L272" s="17">
        <f>G272-J272</f>
        <v>8.1</v>
      </c>
      <c r="M272" s="18">
        <f>L272*(H272*H272)*0.7854/10000</f>
        <v>9.0088600139999997</v>
      </c>
      <c r="N272" s="5"/>
      <c r="O272" s="8" t="s">
        <v>19</v>
      </c>
    </row>
    <row r="273" spans="1:15" s="14" customFormat="1" x14ac:dyDescent="0.25">
      <c r="A273" s="13">
        <v>279</v>
      </c>
      <c r="B273" s="16">
        <v>279</v>
      </c>
      <c r="C273" s="13" t="s">
        <v>3104</v>
      </c>
      <c r="D273" s="6">
        <v>4668</v>
      </c>
      <c r="E273" s="13" t="s">
        <v>2931</v>
      </c>
      <c r="F273" s="13"/>
      <c r="G273" s="17">
        <v>9.6999999999999993</v>
      </c>
      <c r="H273" s="16">
        <v>126</v>
      </c>
      <c r="I273" s="18">
        <v>12.095000000000001</v>
      </c>
      <c r="J273" s="13">
        <v>0.4</v>
      </c>
      <c r="K273" s="13"/>
      <c r="L273" s="17">
        <f>G273-J273</f>
        <v>9.2999999999999989</v>
      </c>
      <c r="M273" s="18">
        <f>L273*(H273*H273)*0.7854/10000</f>
        <v>11.596179671999998</v>
      </c>
      <c r="N273" s="5"/>
      <c r="O273" s="8" t="s">
        <v>19</v>
      </c>
    </row>
    <row r="274" spans="1:15" s="14" customFormat="1" x14ac:dyDescent="0.25">
      <c r="A274" s="13">
        <v>280</v>
      </c>
      <c r="B274" s="16">
        <v>280</v>
      </c>
      <c r="C274" s="13" t="s">
        <v>3105</v>
      </c>
      <c r="D274" s="6" t="s">
        <v>445</v>
      </c>
      <c r="E274" s="13" t="s">
        <v>2931</v>
      </c>
      <c r="F274" s="13"/>
      <c r="G274" s="17">
        <v>9.3000000000000007</v>
      </c>
      <c r="H274" s="16">
        <v>84</v>
      </c>
      <c r="I274" s="18">
        <v>5.1539999999999999</v>
      </c>
      <c r="J274" s="13"/>
      <c r="K274" s="13"/>
      <c r="L274" s="17">
        <f>G274-J274</f>
        <v>9.3000000000000007</v>
      </c>
      <c r="M274" s="18">
        <f>L274*(H274*H274)*0.7854/10000</f>
        <v>5.1538576320000002</v>
      </c>
      <c r="N274" s="5"/>
      <c r="O274" s="8" t="s">
        <v>19</v>
      </c>
    </row>
    <row r="275" spans="1:15" s="14" customFormat="1" x14ac:dyDescent="0.25">
      <c r="A275" s="13">
        <v>281</v>
      </c>
      <c r="B275" s="16">
        <v>281</v>
      </c>
      <c r="C275" s="13" t="s">
        <v>3106</v>
      </c>
      <c r="D275" s="6" t="s">
        <v>445</v>
      </c>
      <c r="E275" s="13" t="s">
        <v>2931</v>
      </c>
      <c r="F275" s="13"/>
      <c r="G275" s="17">
        <v>5.9</v>
      </c>
      <c r="H275" s="16">
        <v>82</v>
      </c>
      <c r="I275" s="18">
        <v>3.1160000000000001</v>
      </c>
      <c r="J275" s="13"/>
      <c r="K275" s="13"/>
      <c r="L275" s="17">
        <f>G275-J275</f>
        <v>5.9</v>
      </c>
      <c r="M275" s="18">
        <f>L275*(H275*H275)*0.7854/10000</f>
        <v>3.1158074640000004</v>
      </c>
      <c r="N275" s="5"/>
      <c r="O275" s="8" t="s">
        <v>19</v>
      </c>
    </row>
    <row r="276" spans="1:15" s="14" customFormat="1" x14ac:dyDescent="0.25">
      <c r="A276" s="13">
        <v>282</v>
      </c>
      <c r="B276" s="16">
        <v>282</v>
      </c>
      <c r="C276" s="13" t="s">
        <v>3107</v>
      </c>
      <c r="D276" s="6" t="s">
        <v>448</v>
      </c>
      <c r="E276" s="13" t="s">
        <v>2931</v>
      </c>
      <c r="F276" s="13"/>
      <c r="G276" s="17">
        <v>8.8000000000000007</v>
      </c>
      <c r="H276" s="16">
        <v>135</v>
      </c>
      <c r="I276" s="18">
        <v>12.596</v>
      </c>
      <c r="J276" s="13"/>
      <c r="K276" s="13"/>
      <c r="L276" s="17">
        <f>G276-J276</f>
        <v>8.8000000000000007</v>
      </c>
      <c r="M276" s="18">
        <f>L276*(H276*H276)*0.7854/10000</f>
        <v>12.5962452</v>
      </c>
      <c r="N276" s="5"/>
      <c r="O276" s="8" t="s">
        <v>19</v>
      </c>
    </row>
    <row r="277" spans="1:15" s="14" customFormat="1" x14ac:dyDescent="0.25">
      <c r="A277" s="13">
        <v>283</v>
      </c>
      <c r="B277" s="16">
        <v>283</v>
      </c>
      <c r="C277" s="13" t="s">
        <v>3108</v>
      </c>
      <c r="D277" s="6" t="s">
        <v>450</v>
      </c>
      <c r="E277" s="13" t="s">
        <v>2931</v>
      </c>
      <c r="F277" s="13"/>
      <c r="G277" s="17">
        <v>5.3</v>
      </c>
      <c r="H277" s="16">
        <v>134</v>
      </c>
      <c r="I277" s="18">
        <v>7.4740000000000002</v>
      </c>
      <c r="J277" s="13"/>
      <c r="K277" s="13"/>
      <c r="L277" s="17">
        <f>G277-J277</f>
        <v>5.3</v>
      </c>
      <c r="M277" s="18">
        <f>L277*(H277*H277)*0.7854/10000</f>
        <v>7.4744004720000001</v>
      </c>
      <c r="N277" s="5"/>
      <c r="O277" s="8" t="s">
        <v>19</v>
      </c>
    </row>
    <row r="278" spans="1:15" s="14" customFormat="1" x14ac:dyDescent="0.25">
      <c r="A278" s="13">
        <v>284</v>
      </c>
      <c r="B278" s="16">
        <v>284</v>
      </c>
      <c r="C278" s="13" t="s">
        <v>3109</v>
      </c>
      <c r="D278" s="6">
        <v>4655</v>
      </c>
      <c r="E278" s="13" t="s">
        <v>2931</v>
      </c>
      <c r="F278" s="13"/>
      <c r="G278" s="17">
        <v>11.4</v>
      </c>
      <c r="H278" s="16">
        <v>108</v>
      </c>
      <c r="I278" s="18">
        <v>10.443</v>
      </c>
      <c r="J278" s="13">
        <v>0.5</v>
      </c>
      <c r="K278" s="13"/>
      <c r="L278" s="17">
        <f>G278-J278</f>
        <v>10.9</v>
      </c>
      <c r="M278" s="18">
        <f>L278*(H278*H278)*0.7854/10000</f>
        <v>9.9853871039999991</v>
      </c>
      <c r="N278" s="5"/>
      <c r="O278" s="8" t="s">
        <v>30</v>
      </c>
    </row>
    <row r="279" spans="1:15" s="14" customFormat="1" x14ac:dyDescent="0.25">
      <c r="A279" s="13">
        <v>285</v>
      </c>
      <c r="B279" s="16">
        <v>285</v>
      </c>
      <c r="C279" s="13" t="s">
        <v>3110</v>
      </c>
      <c r="D279" s="6" t="s">
        <v>453</v>
      </c>
      <c r="E279" s="13" t="s">
        <v>2931</v>
      </c>
      <c r="F279" s="13"/>
      <c r="G279" s="17">
        <v>10.199999999999999</v>
      </c>
      <c r="H279" s="16">
        <v>115</v>
      </c>
      <c r="I279" s="18">
        <v>10.595000000000001</v>
      </c>
      <c r="J279" s="13"/>
      <c r="K279" s="13"/>
      <c r="L279" s="17">
        <f>G279-J279</f>
        <v>10.199999999999999</v>
      </c>
      <c r="M279" s="18">
        <f>L279*(H279*H279)*0.7854/10000</f>
        <v>10.594653299999999</v>
      </c>
      <c r="N279" s="5" t="s">
        <v>21</v>
      </c>
      <c r="O279" s="8" t="s">
        <v>19</v>
      </c>
    </row>
    <row r="280" spans="1:15" s="14" customFormat="1" x14ac:dyDescent="0.25">
      <c r="A280" s="13">
        <v>286</v>
      </c>
      <c r="B280" s="16">
        <v>286</v>
      </c>
      <c r="C280" s="13" t="s">
        <v>3111</v>
      </c>
      <c r="D280" s="6" t="s">
        <v>455</v>
      </c>
      <c r="E280" s="13" t="s">
        <v>2931</v>
      </c>
      <c r="F280" s="13"/>
      <c r="G280" s="17">
        <v>4.7</v>
      </c>
      <c r="H280" s="16">
        <v>110</v>
      </c>
      <c r="I280" s="18">
        <v>4.4669999999999996</v>
      </c>
      <c r="J280" s="13"/>
      <c r="K280" s="13"/>
      <c r="L280" s="17">
        <f>G280-J280</f>
        <v>4.7</v>
      </c>
      <c r="M280" s="18">
        <f>L280*(H280*H280)*0.7854/10000</f>
        <v>4.4665697999999994</v>
      </c>
      <c r="N280" s="5" t="s">
        <v>157</v>
      </c>
      <c r="O280" s="8" t="s">
        <v>19</v>
      </c>
    </row>
    <row r="281" spans="1:15" s="14" customFormat="1" x14ac:dyDescent="0.25">
      <c r="A281" s="13">
        <v>287</v>
      </c>
      <c r="B281" s="16">
        <v>287</v>
      </c>
      <c r="C281" s="13" t="s">
        <v>3112</v>
      </c>
      <c r="D281" s="6" t="s">
        <v>457</v>
      </c>
      <c r="E281" s="13" t="s">
        <v>2931</v>
      </c>
      <c r="F281" s="13"/>
      <c r="G281" s="17">
        <v>12.1</v>
      </c>
      <c r="H281" s="16">
        <v>81</v>
      </c>
      <c r="I281" s="18">
        <v>6.2350000000000003</v>
      </c>
      <c r="J281" s="13"/>
      <c r="K281" s="13"/>
      <c r="L281" s="17">
        <f>G281-J281</f>
        <v>12.1</v>
      </c>
      <c r="M281" s="18">
        <f>L281*(H281*H281)*0.7854/10000</f>
        <v>6.2351413739999986</v>
      </c>
      <c r="N281" s="5"/>
      <c r="O281" s="8" t="s">
        <v>30</v>
      </c>
    </row>
    <row r="282" spans="1:15" s="14" customFormat="1" x14ac:dyDescent="0.25">
      <c r="A282" s="13">
        <v>288</v>
      </c>
      <c r="B282" s="16">
        <v>288</v>
      </c>
      <c r="C282" s="13" t="s">
        <v>3113</v>
      </c>
      <c r="D282" s="6" t="s">
        <v>459</v>
      </c>
      <c r="E282" s="13" t="s">
        <v>2931</v>
      </c>
      <c r="F282" s="13"/>
      <c r="G282" s="17">
        <v>10.4</v>
      </c>
      <c r="H282" s="16">
        <v>83</v>
      </c>
      <c r="I282" s="18">
        <v>5.6269999999999998</v>
      </c>
      <c r="J282" s="13"/>
      <c r="K282" s="13"/>
      <c r="L282" s="17">
        <f>G282-J282</f>
        <v>10.4</v>
      </c>
      <c r="M282" s="18">
        <f>L282*(H282*H282)*0.7854/10000</f>
        <v>5.6270454240000003</v>
      </c>
      <c r="N282" s="5"/>
      <c r="O282" s="8" t="s">
        <v>19</v>
      </c>
    </row>
    <row r="283" spans="1:15" s="14" customFormat="1" x14ac:dyDescent="0.25">
      <c r="A283" s="13">
        <v>289</v>
      </c>
      <c r="B283" s="16">
        <v>289</v>
      </c>
      <c r="C283" s="13" t="s">
        <v>3114</v>
      </c>
      <c r="D283" s="6" t="s">
        <v>461</v>
      </c>
      <c r="E283" s="13" t="s">
        <v>2931</v>
      </c>
      <c r="F283" s="13"/>
      <c r="G283" s="17">
        <v>5.9</v>
      </c>
      <c r="H283" s="16">
        <v>70</v>
      </c>
      <c r="I283" s="18">
        <v>2.2709999999999999</v>
      </c>
      <c r="J283" s="13"/>
      <c r="K283" s="13"/>
      <c r="L283" s="17">
        <f>G283-J283</f>
        <v>5.9</v>
      </c>
      <c r="M283" s="18">
        <f>L283*(H283*H283)*0.7854/10000</f>
        <v>2.2705914000000003</v>
      </c>
      <c r="N283" s="5"/>
      <c r="O283" s="8" t="s">
        <v>19</v>
      </c>
    </row>
    <row r="284" spans="1:15" s="14" customFormat="1" x14ac:dyDescent="0.25">
      <c r="A284" s="13">
        <v>290</v>
      </c>
      <c r="B284" s="16">
        <v>290</v>
      </c>
      <c r="C284" s="13" t="s">
        <v>3115</v>
      </c>
      <c r="D284" s="6" t="s">
        <v>463</v>
      </c>
      <c r="E284" s="13" t="s">
        <v>2931</v>
      </c>
      <c r="F284" s="13"/>
      <c r="G284" s="17">
        <v>6.9</v>
      </c>
      <c r="H284" s="16">
        <v>77</v>
      </c>
      <c r="I284" s="18">
        <v>3.2130000000000001</v>
      </c>
      <c r="J284" s="13"/>
      <c r="K284" s="13"/>
      <c r="L284" s="17">
        <f>G284-J284</f>
        <v>6.9</v>
      </c>
      <c r="M284" s="18">
        <f>L284*(H284*H284)*0.7854/10000</f>
        <v>3.2130792539999997</v>
      </c>
      <c r="N284" s="5"/>
      <c r="O284" s="8" t="s">
        <v>30</v>
      </c>
    </row>
    <row r="285" spans="1:15" s="14" customFormat="1" x14ac:dyDescent="0.25">
      <c r="A285" s="13">
        <v>291</v>
      </c>
      <c r="B285" s="16">
        <v>291</v>
      </c>
      <c r="C285" s="13" t="s">
        <v>3116</v>
      </c>
      <c r="D285" s="6">
        <v>195</v>
      </c>
      <c r="E285" s="13" t="s">
        <v>2931</v>
      </c>
      <c r="F285" s="13"/>
      <c r="G285" s="17">
        <v>9.3000000000000007</v>
      </c>
      <c r="H285" s="16">
        <v>72</v>
      </c>
      <c r="I285" s="18">
        <v>3.786</v>
      </c>
      <c r="J285" s="13">
        <v>0.4</v>
      </c>
      <c r="K285" s="13"/>
      <c r="L285" s="17">
        <f>G285-J285</f>
        <v>8.9</v>
      </c>
      <c r="M285" s="18">
        <f>L285*(H285*H285)*0.7854/10000</f>
        <v>3.6236471039999998</v>
      </c>
      <c r="N285" s="5"/>
      <c r="O285" s="8" t="s">
        <v>19</v>
      </c>
    </row>
    <row r="286" spans="1:15" s="14" customFormat="1" x14ac:dyDescent="0.25">
      <c r="A286" s="13">
        <v>292</v>
      </c>
      <c r="B286" s="16">
        <v>292</v>
      </c>
      <c r="C286" s="13" t="s">
        <v>3117</v>
      </c>
      <c r="D286" s="6">
        <v>4816</v>
      </c>
      <c r="E286" s="13" t="s">
        <v>2931</v>
      </c>
      <c r="F286" s="13"/>
      <c r="G286" s="17">
        <v>11.5</v>
      </c>
      <c r="H286" s="16">
        <v>86</v>
      </c>
      <c r="I286" s="18">
        <v>6.68</v>
      </c>
      <c r="J286" s="13"/>
      <c r="K286" s="13"/>
      <c r="L286" s="17">
        <f>G286-J286</f>
        <v>11.5</v>
      </c>
      <c r="M286" s="18">
        <f>L286*(H286*H286)*0.7854/10000</f>
        <v>6.6801411599999989</v>
      </c>
      <c r="N286" s="5"/>
      <c r="O286" s="8" t="s">
        <v>19</v>
      </c>
    </row>
    <row r="287" spans="1:15" s="14" customFormat="1" x14ac:dyDescent="0.25">
      <c r="A287" s="13">
        <v>293</v>
      </c>
      <c r="B287" s="16">
        <v>293</v>
      </c>
      <c r="C287" s="13" t="s">
        <v>3118</v>
      </c>
      <c r="D287" s="6">
        <v>1294</v>
      </c>
      <c r="E287" s="13" t="s">
        <v>2931</v>
      </c>
      <c r="F287" s="13"/>
      <c r="G287" s="17">
        <v>11.8</v>
      </c>
      <c r="H287" s="16">
        <v>82</v>
      </c>
      <c r="I287" s="18">
        <v>6.2320000000000002</v>
      </c>
      <c r="J287" s="13"/>
      <c r="K287" s="13"/>
      <c r="L287" s="17">
        <f>G287-J287</f>
        <v>11.8</v>
      </c>
      <c r="M287" s="18">
        <f>L287*(H287*H287)*0.7854/10000</f>
        <v>6.2316149280000008</v>
      </c>
      <c r="N287" s="5"/>
      <c r="O287" s="8" t="s">
        <v>19</v>
      </c>
    </row>
    <row r="288" spans="1:15" s="14" customFormat="1" x14ac:dyDescent="0.25">
      <c r="A288" s="13">
        <v>294</v>
      </c>
      <c r="B288" s="16">
        <v>294</v>
      </c>
      <c r="C288" s="13" t="s">
        <v>3119</v>
      </c>
      <c r="D288" s="6">
        <v>1295</v>
      </c>
      <c r="E288" s="13" t="s">
        <v>2931</v>
      </c>
      <c r="F288" s="13"/>
      <c r="G288" s="17">
        <v>13.9</v>
      </c>
      <c r="H288" s="16">
        <v>93</v>
      </c>
      <c r="I288" s="18">
        <v>9.4420000000000002</v>
      </c>
      <c r="J288" s="13"/>
      <c r="K288" s="13"/>
      <c r="L288" s="17">
        <f>G288-J288</f>
        <v>13.9</v>
      </c>
      <c r="M288" s="18">
        <f>L288*(H288*H288)*0.7854/10000</f>
        <v>9.4421651939999993</v>
      </c>
      <c r="N288" s="5"/>
      <c r="O288" s="8" t="s">
        <v>19</v>
      </c>
    </row>
    <row r="289" spans="1:15" s="14" customFormat="1" x14ac:dyDescent="0.25">
      <c r="A289" s="13">
        <v>295</v>
      </c>
      <c r="B289" s="16">
        <v>295</v>
      </c>
      <c r="C289" s="13" t="s">
        <v>3120</v>
      </c>
      <c r="D289" s="6" t="s">
        <v>469</v>
      </c>
      <c r="E289" s="13" t="s">
        <v>2931</v>
      </c>
      <c r="F289" s="13"/>
      <c r="G289" s="17">
        <v>11.1</v>
      </c>
      <c r="H289" s="16">
        <v>75</v>
      </c>
      <c r="I289" s="18">
        <v>4.9039999999999999</v>
      </c>
      <c r="J289" s="13"/>
      <c r="K289" s="13"/>
      <c r="L289" s="17">
        <f>G289-J289</f>
        <v>11.1</v>
      </c>
      <c r="M289" s="18">
        <f>L289*(H289*H289)*0.7854/10000</f>
        <v>4.9038412500000002</v>
      </c>
      <c r="N289" s="5" t="s">
        <v>157</v>
      </c>
      <c r="O289" s="8" t="s">
        <v>19</v>
      </c>
    </row>
    <row r="290" spans="1:15" s="14" customFormat="1" x14ac:dyDescent="0.25">
      <c r="A290" s="13">
        <v>296</v>
      </c>
      <c r="B290" s="16">
        <v>296</v>
      </c>
      <c r="C290" s="13" t="s">
        <v>3121</v>
      </c>
      <c r="D290" s="6" t="s">
        <v>471</v>
      </c>
      <c r="E290" s="13" t="s">
        <v>2931</v>
      </c>
      <c r="F290" s="13"/>
      <c r="G290" s="17">
        <v>4.7</v>
      </c>
      <c r="H290" s="16">
        <v>71</v>
      </c>
      <c r="I290" s="18">
        <v>1.861</v>
      </c>
      <c r="J290" s="13"/>
      <c r="K290" s="13"/>
      <c r="L290" s="17">
        <f>G290-J290</f>
        <v>4.7</v>
      </c>
      <c r="M290" s="18">
        <f>L290*(H290*H290)*0.7854/10000</f>
        <v>1.8608246579999999</v>
      </c>
      <c r="N290" s="5"/>
      <c r="O290" s="8" t="s">
        <v>19</v>
      </c>
    </row>
    <row r="291" spans="1:15" s="14" customFormat="1" x14ac:dyDescent="0.25">
      <c r="A291" s="13">
        <v>297</v>
      </c>
      <c r="B291" s="16">
        <v>297</v>
      </c>
      <c r="C291" s="13" t="s">
        <v>3122</v>
      </c>
      <c r="D291" s="6" t="s">
        <v>473</v>
      </c>
      <c r="E291" s="13" t="s">
        <v>2931</v>
      </c>
      <c r="F291" s="13"/>
      <c r="G291" s="17">
        <v>5.6</v>
      </c>
      <c r="H291" s="16">
        <v>114</v>
      </c>
      <c r="I291" s="18">
        <v>5.7160000000000002</v>
      </c>
      <c r="J291" s="13"/>
      <c r="K291" s="13"/>
      <c r="L291" s="17">
        <f>G291-J291</f>
        <v>5.6</v>
      </c>
      <c r="M291" s="18">
        <f>L291*(H291*H291)*0.7854/10000</f>
        <v>5.7159527039999993</v>
      </c>
      <c r="N291" s="5" t="s">
        <v>157</v>
      </c>
      <c r="O291" s="8" t="s">
        <v>19</v>
      </c>
    </row>
    <row r="292" spans="1:15" s="14" customFormat="1" x14ac:dyDescent="0.25">
      <c r="A292" s="13">
        <v>298</v>
      </c>
      <c r="B292" s="16">
        <v>298</v>
      </c>
      <c r="C292" s="13" t="s">
        <v>3123</v>
      </c>
      <c r="D292" s="6">
        <v>1298</v>
      </c>
      <c r="E292" s="13" t="s">
        <v>2931</v>
      </c>
      <c r="F292" s="13"/>
      <c r="G292" s="17">
        <v>11.5</v>
      </c>
      <c r="H292" s="16">
        <v>69</v>
      </c>
      <c r="I292" s="18">
        <v>4.3</v>
      </c>
      <c r="J292" s="13">
        <v>0.3</v>
      </c>
      <c r="K292" s="13"/>
      <c r="L292" s="17">
        <f>G292-J292</f>
        <v>11.2</v>
      </c>
      <c r="M292" s="18">
        <f>L292*(H292*H292)*0.7854/10000</f>
        <v>4.1880041279999993</v>
      </c>
      <c r="N292" s="5"/>
      <c r="O292" s="8" t="s">
        <v>19</v>
      </c>
    </row>
    <row r="293" spans="1:15" s="14" customFormat="1" x14ac:dyDescent="0.25">
      <c r="A293" s="13">
        <v>299</v>
      </c>
      <c r="B293" s="16">
        <v>299</v>
      </c>
      <c r="C293" s="13" t="s">
        <v>3124</v>
      </c>
      <c r="D293" s="6">
        <v>1299</v>
      </c>
      <c r="E293" s="13" t="s">
        <v>2931</v>
      </c>
      <c r="F293" s="13"/>
      <c r="G293" s="17">
        <v>12.8</v>
      </c>
      <c r="H293" s="16">
        <v>99</v>
      </c>
      <c r="I293" s="18">
        <v>9.8529999999999998</v>
      </c>
      <c r="J293" s="13"/>
      <c r="K293" s="13"/>
      <c r="L293" s="17">
        <f>G293-J293</f>
        <v>12.8</v>
      </c>
      <c r="M293" s="18">
        <f>L293*(H293*H293)*0.7854/10000</f>
        <v>9.8530629120000004</v>
      </c>
      <c r="N293" s="5"/>
      <c r="O293" s="8" t="s">
        <v>30</v>
      </c>
    </row>
    <row r="294" spans="1:15" s="14" customFormat="1" x14ac:dyDescent="0.25">
      <c r="A294" s="13">
        <v>300</v>
      </c>
      <c r="B294" s="16">
        <v>300</v>
      </c>
      <c r="C294" s="13" t="s">
        <v>3125</v>
      </c>
      <c r="D294" s="6" t="s">
        <v>477</v>
      </c>
      <c r="E294" s="13" t="s">
        <v>2931</v>
      </c>
      <c r="F294" s="13"/>
      <c r="G294" s="17">
        <v>11.3</v>
      </c>
      <c r="H294" s="16">
        <v>87</v>
      </c>
      <c r="I294" s="18">
        <v>6.7169999999999996</v>
      </c>
      <c r="J294" s="13"/>
      <c r="K294" s="13"/>
      <c r="L294" s="17">
        <f>G294-J294</f>
        <v>11.3</v>
      </c>
      <c r="M294" s="18">
        <f>L294*(H294*H294)*0.7854/10000</f>
        <v>6.7175026380000009</v>
      </c>
      <c r="N294" s="5"/>
      <c r="O294" s="8" t="s">
        <v>19</v>
      </c>
    </row>
    <row r="295" spans="1:15" s="14" customFormat="1" x14ac:dyDescent="0.25">
      <c r="A295" s="13">
        <v>301</v>
      </c>
      <c r="B295" s="16">
        <v>301</v>
      </c>
      <c r="C295" s="13" t="s">
        <v>3126</v>
      </c>
      <c r="D295" s="6" t="s">
        <v>479</v>
      </c>
      <c r="E295" s="13" t="s">
        <v>2931</v>
      </c>
      <c r="F295" s="13"/>
      <c r="G295" s="17">
        <v>10.1</v>
      </c>
      <c r="H295" s="16">
        <v>122</v>
      </c>
      <c r="I295" s="18">
        <v>11.807</v>
      </c>
      <c r="J295" s="13">
        <v>0.3</v>
      </c>
      <c r="K295" s="13"/>
      <c r="L295" s="17">
        <f>G295-J295</f>
        <v>9.7999999999999989</v>
      </c>
      <c r="M295" s="18">
        <f>L295*(H295*H295)*0.7854/10000</f>
        <v>11.456095727999999</v>
      </c>
      <c r="N295" s="5"/>
      <c r="O295" s="8" t="s">
        <v>19</v>
      </c>
    </row>
    <row r="296" spans="1:15" s="14" customFormat="1" x14ac:dyDescent="0.25">
      <c r="A296" s="13">
        <v>302</v>
      </c>
      <c r="B296" s="16">
        <v>302</v>
      </c>
      <c r="C296" s="13" t="s">
        <v>3127</v>
      </c>
      <c r="D296" s="6">
        <v>1401</v>
      </c>
      <c r="E296" s="13" t="s">
        <v>2931</v>
      </c>
      <c r="F296" s="13"/>
      <c r="G296" s="17">
        <v>13.3</v>
      </c>
      <c r="H296" s="16">
        <v>88</v>
      </c>
      <c r="I296" s="18">
        <v>8.0890000000000004</v>
      </c>
      <c r="J296" s="13">
        <v>0.3</v>
      </c>
      <c r="K296" s="13"/>
      <c r="L296" s="17">
        <f>G296-J296</f>
        <v>13</v>
      </c>
      <c r="M296" s="18">
        <f>L296*(H296*H296)*0.7854/10000</f>
        <v>7.9067788799999992</v>
      </c>
      <c r="N296" s="5"/>
      <c r="O296" s="8" t="s">
        <v>30</v>
      </c>
    </row>
    <row r="297" spans="1:15" s="14" customFormat="1" x14ac:dyDescent="0.25">
      <c r="A297" s="13">
        <v>303</v>
      </c>
      <c r="B297" s="16">
        <v>303</v>
      </c>
      <c r="C297" s="13" t="s">
        <v>3128</v>
      </c>
      <c r="D297" s="6" t="s">
        <v>482</v>
      </c>
      <c r="E297" s="13" t="s">
        <v>2931</v>
      </c>
      <c r="F297" s="13"/>
      <c r="G297" s="17">
        <v>5.2</v>
      </c>
      <c r="H297" s="16">
        <v>118</v>
      </c>
      <c r="I297" s="18">
        <v>5.6870000000000003</v>
      </c>
      <c r="J297" s="13">
        <v>0.3</v>
      </c>
      <c r="K297" s="13"/>
      <c r="L297" s="17">
        <f>G297-J297</f>
        <v>4.9000000000000004</v>
      </c>
      <c r="M297" s="18">
        <f>L297*(H297*H297)*0.7854/10000</f>
        <v>5.3585957039999998</v>
      </c>
      <c r="N297" s="5"/>
      <c r="O297" s="8" t="s">
        <v>19</v>
      </c>
    </row>
    <row r="298" spans="1:15" s="14" customFormat="1" x14ac:dyDescent="0.25">
      <c r="A298" s="13">
        <v>304</v>
      </c>
      <c r="B298" s="16">
        <v>304</v>
      </c>
      <c r="C298" s="13" t="s">
        <v>3129</v>
      </c>
      <c r="D298" s="6">
        <v>1402</v>
      </c>
      <c r="E298" s="13" t="s">
        <v>2931</v>
      </c>
      <c r="F298" s="13"/>
      <c r="G298" s="17">
        <v>13.4</v>
      </c>
      <c r="H298" s="16">
        <v>76</v>
      </c>
      <c r="I298" s="18">
        <v>6.0789999999999997</v>
      </c>
      <c r="J298" s="13"/>
      <c r="K298" s="13"/>
      <c r="L298" s="17">
        <f>G298-J298</f>
        <v>13.4</v>
      </c>
      <c r="M298" s="18">
        <f>L298*(H298*H298)*0.7854/10000</f>
        <v>6.0788703360000005</v>
      </c>
      <c r="N298" s="5"/>
      <c r="O298" s="8" t="s">
        <v>19</v>
      </c>
    </row>
    <row r="299" spans="1:15" s="14" customFormat="1" x14ac:dyDescent="0.25">
      <c r="A299" s="13">
        <v>305</v>
      </c>
      <c r="B299" s="16">
        <v>305</v>
      </c>
      <c r="C299" s="13" t="s">
        <v>3130</v>
      </c>
      <c r="D299" s="6" t="s">
        <v>485</v>
      </c>
      <c r="E299" s="13" t="s">
        <v>2931</v>
      </c>
      <c r="F299" s="13"/>
      <c r="G299" s="17">
        <v>9.1</v>
      </c>
      <c r="H299" s="16">
        <v>102</v>
      </c>
      <c r="I299" s="18">
        <v>7.4359999999999999</v>
      </c>
      <c r="J299" s="13"/>
      <c r="K299" s="13"/>
      <c r="L299" s="17">
        <f>G299-J299</f>
        <v>9.1</v>
      </c>
      <c r="M299" s="18">
        <f>L299*(H299*H299)*0.7854/10000</f>
        <v>7.4358844560000001</v>
      </c>
      <c r="N299" s="5"/>
      <c r="O299" s="8" t="s">
        <v>30</v>
      </c>
    </row>
    <row r="300" spans="1:15" s="14" customFormat="1" x14ac:dyDescent="0.25">
      <c r="A300" s="13">
        <v>306</v>
      </c>
      <c r="B300" s="16">
        <v>306</v>
      </c>
      <c r="C300" s="13" t="s">
        <v>3131</v>
      </c>
      <c r="D300" s="6" t="s">
        <v>487</v>
      </c>
      <c r="E300" s="13" t="s">
        <v>2931</v>
      </c>
      <c r="F300" s="13"/>
      <c r="G300" s="17">
        <v>9.8000000000000007</v>
      </c>
      <c r="H300" s="16">
        <v>85</v>
      </c>
      <c r="I300" s="18">
        <v>5.5609999999999999</v>
      </c>
      <c r="J300" s="13"/>
      <c r="K300" s="13"/>
      <c r="L300" s="17">
        <f>G300-J300</f>
        <v>9.8000000000000007</v>
      </c>
      <c r="M300" s="18">
        <f>L300*(H300*H300)*0.7854/10000</f>
        <v>5.5610246999999999</v>
      </c>
      <c r="N300" s="5"/>
      <c r="O300" s="8" t="s">
        <v>19</v>
      </c>
    </row>
    <row r="301" spans="1:15" s="14" customFormat="1" x14ac:dyDescent="0.25">
      <c r="A301" s="13">
        <v>307</v>
      </c>
      <c r="B301" s="16">
        <v>307</v>
      </c>
      <c r="C301" s="13" t="s">
        <v>3132</v>
      </c>
      <c r="D301" s="6">
        <v>4733</v>
      </c>
      <c r="E301" s="13" t="s">
        <v>2931</v>
      </c>
      <c r="F301" s="13"/>
      <c r="G301" s="17">
        <v>10.9</v>
      </c>
      <c r="H301" s="16">
        <v>109</v>
      </c>
      <c r="I301" s="18">
        <v>10.170999999999999</v>
      </c>
      <c r="J301" s="13"/>
      <c r="K301" s="13"/>
      <c r="L301" s="17">
        <f>G301-J301</f>
        <v>10.9</v>
      </c>
      <c r="M301" s="18">
        <f>L301*(H301*H301)*0.7854/10000</f>
        <v>10.171157766</v>
      </c>
      <c r="N301" s="5"/>
      <c r="O301" s="8" t="s">
        <v>19</v>
      </c>
    </row>
    <row r="302" spans="1:15" s="14" customFormat="1" x14ac:dyDescent="0.25">
      <c r="A302" s="13">
        <v>308</v>
      </c>
      <c r="B302" s="16">
        <v>308</v>
      </c>
      <c r="C302" s="13" t="s">
        <v>3133</v>
      </c>
      <c r="D302" s="6" t="s">
        <v>490</v>
      </c>
      <c r="E302" s="13" t="s">
        <v>2931</v>
      </c>
      <c r="F302" s="13"/>
      <c r="G302" s="17">
        <v>9.9</v>
      </c>
      <c r="H302" s="16">
        <v>86</v>
      </c>
      <c r="I302" s="18">
        <v>5.7510000000000003</v>
      </c>
      <c r="J302" s="13"/>
      <c r="K302" s="13"/>
      <c r="L302" s="17">
        <f>G302-J302</f>
        <v>9.9</v>
      </c>
      <c r="M302" s="18">
        <f>L302*(H302*H302)*0.7854/10000</f>
        <v>5.7507302160000009</v>
      </c>
      <c r="N302" s="5"/>
      <c r="O302" s="8" t="s">
        <v>19</v>
      </c>
    </row>
    <row r="303" spans="1:15" s="14" customFormat="1" x14ac:dyDescent="0.25">
      <c r="A303" s="13">
        <v>309</v>
      </c>
      <c r="B303" s="16">
        <v>309</v>
      </c>
      <c r="C303" s="13" t="s">
        <v>3134</v>
      </c>
      <c r="D303" s="6" t="s">
        <v>492</v>
      </c>
      <c r="E303" s="13" t="s">
        <v>2931</v>
      </c>
      <c r="F303" s="13"/>
      <c r="G303" s="17">
        <v>4.8</v>
      </c>
      <c r="H303" s="16">
        <v>79</v>
      </c>
      <c r="I303" s="18">
        <v>2.3530000000000002</v>
      </c>
      <c r="J303" s="13"/>
      <c r="K303" s="13"/>
      <c r="L303" s="17">
        <f>G303-J303</f>
        <v>4.8</v>
      </c>
      <c r="M303" s="18">
        <f>L303*(H303*H303)*0.7854/10000</f>
        <v>2.3528070720000001</v>
      </c>
      <c r="N303" s="5"/>
      <c r="O303" s="8" t="s">
        <v>19</v>
      </c>
    </row>
    <row r="304" spans="1:15" s="14" customFormat="1" x14ac:dyDescent="0.25">
      <c r="A304" s="13">
        <v>310</v>
      </c>
      <c r="B304" s="16">
        <v>310</v>
      </c>
      <c r="C304" s="13" t="s">
        <v>3135</v>
      </c>
      <c r="D304" s="6" t="s">
        <v>494</v>
      </c>
      <c r="E304" s="13" t="s">
        <v>2931</v>
      </c>
      <c r="F304" s="13"/>
      <c r="G304" s="17">
        <v>10.3</v>
      </c>
      <c r="H304" s="16">
        <v>124</v>
      </c>
      <c r="I304" s="18">
        <v>12.439</v>
      </c>
      <c r="J304" s="13">
        <v>0.3</v>
      </c>
      <c r="K304" s="13"/>
      <c r="L304" s="17">
        <f>G304-J304</f>
        <v>10</v>
      </c>
      <c r="M304" s="18">
        <f>L304*(H304*H304)*0.7854/10000</f>
        <v>12.076310399999999</v>
      </c>
      <c r="N304" s="5"/>
      <c r="O304" s="8" t="s">
        <v>19</v>
      </c>
    </row>
    <row r="305" spans="1:15" s="14" customFormat="1" x14ac:dyDescent="0.25">
      <c r="A305" s="13">
        <v>311</v>
      </c>
      <c r="B305" s="16">
        <v>311</v>
      </c>
      <c r="C305" s="13" t="s">
        <v>3136</v>
      </c>
      <c r="D305" s="6" t="s">
        <v>496</v>
      </c>
      <c r="E305" s="13" t="s">
        <v>2931</v>
      </c>
      <c r="F305" s="13"/>
      <c r="G305" s="17">
        <v>7.4</v>
      </c>
      <c r="H305" s="16">
        <v>86</v>
      </c>
      <c r="I305" s="18">
        <v>4.2990000000000004</v>
      </c>
      <c r="J305" s="13"/>
      <c r="K305" s="13"/>
      <c r="L305" s="17">
        <f>G305-J305</f>
        <v>7.4</v>
      </c>
      <c r="M305" s="18">
        <f>L305*(H305*H305)*0.7854/10000</f>
        <v>4.298525616</v>
      </c>
      <c r="N305" s="5" t="s">
        <v>157</v>
      </c>
      <c r="O305" s="8" t="s">
        <v>19</v>
      </c>
    </row>
    <row r="306" spans="1:15" s="14" customFormat="1" x14ac:dyDescent="0.25">
      <c r="A306" s="13">
        <v>312</v>
      </c>
      <c r="B306" s="16">
        <v>312</v>
      </c>
      <c r="C306" s="13" t="s">
        <v>3137</v>
      </c>
      <c r="D306" s="6">
        <v>104</v>
      </c>
      <c r="E306" s="13" t="s">
        <v>2931</v>
      </c>
      <c r="F306" s="13"/>
      <c r="G306" s="17">
        <v>12.2</v>
      </c>
      <c r="H306" s="16">
        <v>82</v>
      </c>
      <c r="I306" s="18">
        <v>6.4429999999999996</v>
      </c>
      <c r="J306" s="13"/>
      <c r="K306" s="13"/>
      <c r="L306" s="17">
        <f>G306-J306</f>
        <v>12.2</v>
      </c>
      <c r="M306" s="18">
        <f>L306*(H306*H306)*0.7854/10000</f>
        <v>6.4428561119999994</v>
      </c>
      <c r="N306" s="5"/>
      <c r="O306" s="8" t="s">
        <v>19</v>
      </c>
    </row>
    <row r="307" spans="1:15" s="14" customFormat="1" x14ac:dyDescent="0.25">
      <c r="A307" s="13">
        <v>313</v>
      </c>
      <c r="B307" s="16">
        <v>313</v>
      </c>
      <c r="C307" s="13" t="s">
        <v>3138</v>
      </c>
      <c r="D307" s="6">
        <v>4642</v>
      </c>
      <c r="E307" s="13" t="s">
        <v>2931</v>
      </c>
      <c r="F307" s="13"/>
      <c r="G307" s="17">
        <v>11.7</v>
      </c>
      <c r="H307" s="16">
        <v>119</v>
      </c>
      <c r="I307" s="18">
        <v>13.013</v>
      </c>
      <c r="J307" s="13">
        <v>0.3</v>
      </c>
      <c r="K307" s="13"/>
      <c r="L307" s="17">
        <f>G307-J307</f>
        <v>11.399999999999999</v>
      </c>
      <c r="M307" s="18">
        <f>L307*(H307*H307)*0.7854/10000</f>
        <v>12.679136315999999</v>
      </c>
      <c r="N307" s="5"/>
      <c r="O307" s="8" t="s">
        <v>19</v>
      </c>
    </row>
    <row r="308" spans="1:15" s="14" customFormat="1" x14ac:dyDescent="0.25">
      <c r="A308" s="13">
        <v>314</v>
      </c>
      <c r="B308" s="16">
        <v>314</v>
      </c>
      <c r="C308" s="13" t="s">
        <v>3139</v>
      </c>
      <c r="D308" s="6" t="s">
        <v>500</v>
      </c>
      <c r="E308" s="13" t="s">
        <v>2931</v>
      </c>
      <c r="F308" s="13"/>
      <c r="G308" s="17">
        <v>10.3</v>
      </c>
      <c r="H308" s="16">
        <v>90</v>
      </c>
      <c r="I308" s="18">
        <v>6.5529999999999999</v>
      </c>
      <c r="J308" s="13"/>
      <c r="K308" s="13"/>
      <c r="L308" s="17">
        <f>G308-J308</f>
        <v>10.3</v>
      </c>
      <c r="M308" s="18">
        <f>L308*(H308*H308)*0.7854/10000</f>
        <v>6.5525921999999994</v>
      </c>
      <c r="N308" s="5"/>
      <c r="O308" s="8" t="s">
        <v>30</v>
      </c>
    </row>
    <row r="309" spans="1:15" s="14" customFormat="1" x14ac:dyDescent="0.25">
      <c r="A309" s="13">
        <v>315</v>
      </c>
      <c r="B309" s="16">
        <v>315</v>
      </c>
      <c r="C309" s="13" t="s">
        <v>3140</v>
      </c>
      <c r="D309" s="6">
        <v>1405</v>
      </c>
      <c r="E309" s="13" t="s">
        <v>2931</v>
      </c>
      <c r="F309" s="13"/>
      <c r="G309" s="17">
        <v>9.1</v>
      </c>
      <c r="H309" s="16">
        <v>118</v>
      </c>
      <c r="I309" s="18">
        <v>9.952</v>
      </c>
      <c r="J309" s="13">
        <v>0.3</v>
      </c>
      <c r="K309" s="13"/>
      <c r="L309" s="17">
        <f>G309-J309</f>
        <v>8.7999999999999989</v>
      </c>
      <c r="M309" s="18">
        <f>L309*(H309*H309)*0.7854/10000</f>
        <v>9.6236004479999995</v>
      </c>
      <c r="N309" s="5"/>
      <c r="O309" s="8" t="s">
        <v>19</v>
      </c>
    </row>
    <row r="310" spans="1:15" s="14" customFormat="1" x14ac:dyDescent="0.25">
      <c r="A310" s="13">
        <v>316</v>
      </c>
      <c r="B310" s="16">
        <v>316</v>
      </c>
      <c r="C310" s="13" t="s">
        <v>3141</v>
      </c>
      <c r="D310" s="6">
        <v>4643</v>
      </c>
      <c r="E310" s="13" t="s">
        <v>2931</v>
      </c>
      <c r="F310" s="13"/>
      <c r="G310" s="17">
        <v>13.5</v>
      </c>
      <c r="H310" s="16">
        <v>103</v>
      </c>
      <c r="I310" s="18">
        <v>11.249000000000001</v>
      </c>
      <c r="J310" s="13">
        <v>0.5</v>
      </c>
      <c r="K310" s="13"/>
      <c r="L310" s="17">
        <f>G310-J310</f>
        <v>13</v>
      </c>
      <c r="M310" s="18">
        <f>L310*(H310*H310)*0.7854/10000</f>
        <v>10.832001179999999</v>
      </c>
      <c r="N310" s="5"/>
      <c r="O310" s="8" t="s">
        <v>19</v>
      </c>
    </row>
    <row r="311" spans="1:15" s="14" customFormat="1" x14ac:dyDescent="0.25">
      <c r="A311" s="13">
        <v>317</v>
      </c>
      <c r="B311" s="16">
        <v>317</v>
      </c>
      <c r="C311" s="13" t="s">
        <v>3142</v>
      </c>
      <c r="D311" s="6" t="s">
        <v>504</v>
      </c>
      <c r="E311" s="13" t="s">
        <v>2931</v>
      </c>
      <c r="F311" s="13"/>
      <c r="G311" s="17">
        <v>4.5999999999999996</v>
      </c>
      <c r="H311" s="16">
        <v>87</v>
      </c>
      <c r="I311" s="18">
        <v>2.7349999999999999</v>
      </c>
      <c r="J311" s="13"/>
      <c r="K311" s="13"/>
      <c r="L311" s="17">
        <f>G311-J311</f>
        <v>4.5999999999999996</v>
      </c>
      <c r="M311" s="18">
        <f>L311*(H311*H311)*0.7854/10000</f>
        <v>2.7345585959999998</v>
      </c>
      <c r="N311" s="5"/>
      <c r="O311" s="8" t="s">
        <v>30</v>
      </c>
    </row>
    <row r="312" spans="1:15" s="14" customFormat="1" x14ac:dyDescent="0.25">
      <c r="A312" s="13">
        <v>318</v>
      </c>
      <c r="B312" s="16">
        <v>318</v>
      </c>
      <c r="C312" s="13" t="s">
        <v>3143</v>
      </c>
      <c r="D312" s="6" t="s">
        <v>506</v>
      </c>
      <c r="E312" s="13" t="s">
        <v>2931</v>
      </c>
      <c r="F312" s="13"/>
      <c r="G312" s="17">
        <v>10</v>
      </c>
      <c r="H312" s="16">
        <v>109</v>
      </c>
      <c r="I312" s="18">
        <v>9.3309999999999995</v>
      </c>
      <c r="J312" s="13"/>
      <c r="K312" s="13"/>
      <c r="L312" s="17">
        <f>G312-J312</f>
        <v>10</v>
      </c>
      <c r="M312" s="18">
        <f>L312*(H312*H312)*0.7854/10000</f>
        <v>9.3313373999999989</v>
      </c>
      <c r="N312" s="5"/>
      <c r="O312" s="8" t="s">
        <v>19</v>
      </c>
    </row>
    <row r="313" spans="1:15" s="14" customFormat="1" x14ac:dyDescent="0.25">
      <c r="A313" s="13">
        <v>319</v>
      </c>
      <c r="B313" s="16">
        <v>319</v>
      </c>
      <c r="C313" s="13" t="s">
        <v>3144</v>
      </c>
      <c r="D313" s="6">
        <v>4644</v>
      </c>
      <c r="E313" s="13" t="s">
        <v>2931</v>
      </c>
      <c r="F313" s="13"/>
      <c r="G313" s="17">
        <v>11</v>
      </c>
      <c r="H313" s="16">
        <v>87</v>
      </c>
      <c r="I313" s="18">
        <v>6.5389999999999997</v>
      </c>
      <c r="J313" s="13"/>
      <c r="K313" s="13"/>
      <c r="L313" s="17">
        <f>G313-J313</f>
        <v>11</v>
      </c>
      <c r="M313" s="18">
        <f>L313*(H313*H313)*0.7854/10000</f>
        <v>6.5391618600000001</v>
      </c>
      <c r="N313" s="5"/>
      <c r="O313" s="8" t="s">
        <v>19</v>
      </c>
    </row>
    <row r="314" spans="1:15" s="14" customFormat="1" x14ac:dyDescent="0.25">
      <c r="A314" s="13">
        <v>320</v>
      </c>
      <c r="B314" s="16">
        <v>320</v>
      </c>
      <c r="C314" s="13" t="s">
        <v>3145</v>
      </c>
      <c r="D314" s="6" t="s">
        <v>509</v>
      </c>
      <c r="E314" s="13" t="s">
        <v>2931</v>
      </c>
      <c r="F314" s="13"/>
      <c r="G314" s="17">
        <v>4.5</v>
      </c>
      <c r="H314" s="16">
        <v>106</v>
      </c>
      <c r="I314" s="18">
        <v>3.9710000000000001</v>
      </c>
      <c r="J314" s="13"/>
      <c r="K314" s="13"/>
      <c r="L314" s="17">
        <f>G314-J314</f>
        <v>4.5</v>
      </c>
      <c r="M314" s="18">
        <f>L314*(H314*H314)*0.7854/10000</f>
        <v>3.9711394800000002</v>
      </c>
      <c r="N314" s="5"/>
      <c r="O314" s="8" t="s">
        <v>30</v>
      </c>
    </row>
    <row r="315" spans="1:15" s="14" customFormat="1" x14ac:dyDescent="0.25">
      <c r="A315" s="13">
        <v>321</v>
      </c>
      <c r="B315" s="16">
        <v>321</v>
      </c>
      <c r="C315" s="13" t="s">
        <v>3146</v>
      </c>
      <c r="D315" s="6">
        <v>4645</v>
      </c>
      <c r="E315" s="13" t="s">
        <v>2931</v>
      </c>
      <c r="F315" s="13"/>
      <c r="G315" s="17">
        <v>12.3</v>
      </c>
      <c r="H315" s="16">
        <v>108</v>
      </c>
      <c r="I315" s="18">
        <v>11.268000000000001</v>
      </c>
      <c r="J315" s="13">
        <v>0.4</v>
      </c>
      <c r="K315" s="13"/>
      <c r="L315" s="17">
        <f>G315-J315</f>
        <v>11.9</v>
      </c>
      <c r="M315" s="18">
        <f>L315*(H315*H315)*0.7854/10000</f>
        <v>10.901477664</v>
      </c>
      <c r="N315" s="5" t="s">
        <v>21</v>
      </c>
      <c r="O315" s="8" t="s">
        <v>19</v>
      </c>
    </row>
    <row r="316" spans="1:15" s="14" customFormat="1" x14ac:dyDescent="0.25">
      <c r="A316" s="13">
        <v>322</v>
      </c>
      <c r="B316" s="16">
        <v>322</v>
      </c>
      <c r="C316" s="13" t="s">
        <v>3147</v>
      </c>
      <c r="D316" s="6" t="s">
        <v>512</v>
      </c>
      <c r="E316" s="13" t="s">
        <v>2931</v>
      </c>
      <c r="F316" s="13"/>
      <c r="G316" s="17">
        <v>11.1</v>
      </c>
      <c r="H316" s="16">
        <v>108</v>
      </c>
      <c r="I316" s="18">
        <v>10.169</v>
      </c>
      <c r="J316" s="13"/>
      <c r="K316" s="13"/>
      <c r="L316" s="17">
        <f>G316-J316</f>
        <v>11.1</v>
      </c>
      <c r="M316" s="18">
        <f>L316*(H316*H316)*0.7854/10000</f>
        <v>10.168605216</v>
      </c>
      <c r="N316" s="5"/>
      <c r="O316" s="8" t="s">
        <v>19</v>
      </c>
    </row>
    <row r="317" spans="1:15" s="14" customFormat="1" x14ac:dyDescent="0.25">
      <c r="A317" s="13">
        <v>323</v>
      </c>
      <c r="B317" s="16">
        <v>323</v>
      </c>
      <c r="C317" s="13" t="s">
        <v>3148</v>
      </c>
      <c r="D317" s="6">
        <v>107</v>
      </c>
      <c r="E317" s="13" t="s">
        <v>2931</v>
      </c>
      <c r="F317" s="13"/>
      <c r="G317" s="17">
        <v>10.8</v>
      </c>
      <c r="H317" s="16">
        <v>80</v>
      </c>
      <c r="I317" s="18">
        <v>5.4290000000000003</v>
      </c>
      <c r="J317" s="13"/>
      <c r="K317" s="13"/>
      <c r="L317" s="17">
        <f>G317-J317</f>
        <v>10.8</v>
      </c>
      <c r="M317" s="18">
        <f>L317*(H317*H317)*0.7854/10000</f>
        <v>5.4286848000000001</v>
      </c>
      <c r="N317" s="5"/>
      <c r="O317" s="8" t="s">
        <v>19</v>
      </c>
    </row>
    <row r="318" spans="1:15" s="14" customFormat="1" x14ac:dyDescent="0.25">
      <c r="A318" s="13">
        <v>324</v>
      </c>
      <c r="B318" s="16">
        <v>324</v>
      </c>
      <c r="C318" s="13" t="s">
        <v>3149</v>
      </c>
      <c r="D318" s="6" t="s">
        <v>515</v>
      </c>
      <c r="E318" s="13" t="s">
        <v>2931</v>
      </c>
      <c r="F318" s="13"/>
      <c r="G318" s="17">
        <v>5.7</v>
      </c>
      <c r="H318" s="16">
        <v>102</v>
      </c>
      <c r="I318" s="18">
        <v>4.6580000000000004</v>
      </c>
      <c r="J318" s="13"/>
      <c r="K318" s="13"/>
      <c r="L318" s="17">
        <f>G318-J318</f>
        <v>5.7</v>
      </c>
      <c r="M318" s="18">
        <f>L318*(H318*H318)*0.7854/10000</f>
        <v>4.6576419119999999</v>
      </c>
      <c r="N318" s="5"/>
      <c r="O318" s="8" t="s">
        <v>19</v>
      </c>
    </row>
    <row r="319" spans="1:15" s="14" customFormat="1" x14ac:dyDescent="0.25">
      <c r="A319" s="13">
        <v>325</v>
      </c>
      <c r="B319" s="16">
        <v>325</v>
      </c>
      <c r="C319" s="13" t="s">
        <v>3150</v>
      </c>
      <c r="D319" s="6" t="s">
        <v>517</v>
      </c>
      <c r="E319" s="13" t="s">
        <v>2931</v>
      </c>
      <c r="F319" s="13"/>
      <c r="G319" s="17">
        <v>8.6999999999999993</v>
      </c>
      <c r="H319" s="16">
        <v>108</v>
      </c>
      <c r="I319" s="18">
        <v>7.97</v>
      </c>
      <c r="J319" s="13">
        <v>0.5</v>
      </c>
      <c r="K319" s="13"/>
      <c r="L319" s="17">
        <f>G319-J319</f>
        <v>8.1999999999999993</v>
      </c>
      <c r="M319" s="18">
        <f>L319*(H319*H319)*0.7854/10000</f>
        <v>7.5119425919999996</v>
      </c>
      <c r="N319" s="5"/>
      <c r="O319" s="8" t="s">
        <v>19</v>
      </c>
    </row>
    <row r="320" spans="1:15" s="14" customFormat="1" x14ac:dyDescent="0.25">
      <c r="A320" s="13">
        <v>326</v>
      </c>
      <c r="B320" s="16">
        <v>326</v>
      </c>
      <c r="C320" s="13" t="s">
        <v>3151</v>
      </c>
      <c r="D320" s="6" t="s">
        <v>519</v>
      </c>
      <c r="E320" s="13" t="s">
        <v>2931</v>
      </c>
      <c r="F320" s="13"/>
      <c r="G320" s="17">
        <v>11</v>
      </c>
      <c r="H320" s="16">
        <v>87</v>
      </c>
      <c r="I320" s="18">
        <v>6.5389999999999997</v>
      </c>
      <c r="J320" s="13">
        <v>0.3</v>
      </c>
      <c r="K320" s="13"/>
      <c r="L320" s="17">
        <f>G320-J320</f>
        <v>10.7</v>
      </c>
      <c r="M320" s="18">
        <f>L320*(H320*H320)*0.7854/10000</f>
        <v>6.3608210819999993</v>
      </c>
      <c r="N320" s="5"/>
      <c r="O320" s="8" t="s">
        <v>19</v>
      </c>
    </row>
    <row r="321" spans="1:15" s="14" customFormat="1" x14ac:dyDescent="0.25">
      <c r="A321" s="13">
        <v>327</v>
      </c>
      <c r="B321" s="16">
        <v>327</v>
      </c>
      <c r="C321" s="13" t="s">
        <v>3152</v>
      </c>
      <c r="D321" s="6" t="s">
        <v>517</v>
      </c>
      <c r="E321" s="13" t="s">
        <v>2931</v>
      </c>
      <c r="F321" s="13"/>
      <c r="G321" s="17">
        <v>6.8</v>
      </c>
      <c r="H321" s="16">
        <v>98</v>
      </c>
      <c r="I321" s="18">
        <v>5.1289999999999996</v>
      </c>
      <c r="J321" s="13">
        <v>0.3</v>
      </c>
      <c r="K321" s="13"/>
      <c r="L321" s="17">
        <f>G321-J321</f>
        <v>6.5</v>
      </c>
      <c r="M321" s="18">
        <f>L321*(H321*H321)*0.7854/10000</f>
        <v>4.9029380400000004</v>
      </c>
      <c r="N321" s="5"/>
      <c r="O321" s="8" t="s">
        <v>19</v>
      </c>
    </row>
    <row r="322" spans="1:15" s="14" customFormat="1" x14ac:dyDescent="0.25">
      <c r="A322" s="13">
        <v>328</v>
      </c>
      <c r="B322" s="16">
        <v>328</v>
      </c>
      <c r="C322" s="13" t="s">
        <v>3153</v>
      </c>
      <c r="D322" s="6" t="s">
        <v>522</v>
      </c>
      <c r="E322" s="13" t="s">
        <v>2931</v>
      </c>
      <c r="F322" s="13"/>
      <c r="G322" s="17">
        <v>10.7</v>
      </c>
      <c r="H322" s="16">
        <v>91</v>
      </c>
      <c r="I322" s="18">
        <v>6.9589999999999996</v>
      </c>
      <c r="J322" s="13"/>
      <c r="K322" s="13"/>
      <c r="L322" s="17">
        <f>G322-J322</f>
        <v>10.7</v>
      </c>
      <c r="M322" s="18">
        <f>L322*(H322*H322)*0.7854/10000</f>
        <v>6.9591702179999997</v>
      </c>
      <c r="N322" s="5"/>
      <c r="O322" s="8" t="s">
        <v>19</v>
      </c>
    </row>
    <row r="323" spans="1:15" s="14" customFormat="1" x14ac:dyDescent="0.25">
      <c r="A323" s="13">
        <v>329</v>
      </c>
      <c r="B323" s="16">
        <v>329</v>
      </c>
      <c r="C323" s="13" t="s">
        <v>3154</v>
      </c>
      <c r="D323" s="6" t="s">
        <v>524</v>
      </c>
      <c r="E323" s="13" t="s">
        <v>2931</v>
      </c>
      <c r="F323" s="13"/>
      <c r="G323" s="17">
        <v>11.1</v>
      </c>
      <c r="H323" s="16">
        <v>112</v>
      </c>
      <c r="I323" s="18">
        <v>10.936</v>
      </c>
      <c r="J323" s="13"/>
      <c r="K323" s="13"/>
      <c r="L323" s="17">
        <f>G323-J323</f>
        <v>11.1</v>
      </c>
      <c r="M323" s="18">
        <f>L323*(H323*H323)*0.7854/10000</f>
        <v>10.935783936</v>
      </c>
      <c r="N323" s="5"/>
      <c r="O323" s="8" t="s">
        <v>30</v>
      </c>
    </row>
    <row r="324" spans="1:15" s="14" customFormat="1" x14ac:dyDescent="0.25">
      <c r="A324" s="13">
        <v>330</v>
      </c>
      <c r="B324" s="16">
        <v>330</v>
      </c>
      <c r="C324" s="13" t="s">
        <v>3155</v>
      </c>
      <c r="D324" s="6" t="s">
        <v>526</v>
      </c>
      <c r="E324" s="13" t="s">
        <v>2931</v>
      </c>
      <c r="F324" s="13"/>
      <c r="G324" s="17">
        <v>7.9</v>
      </c>
      <c r="H324" s="16">
        <v>90</v>
      </c>
      <c r="I324" s="18">
        <v>5.0259999999999998</v>
      </c>
      <c r="J324" s="13"/>
      <c r="K324" s="13"/>
      <c r="L324" s="17">
        <f>G324-J324</f>
        <v>7.9</v>
      </c>
      <c r="M324" s="18">
        <f>L324*(H324*H324)*0.7854/10000</f>
        <v>5.0257746000000001</v>
      </c>
      <c r="N324" s="5"/>
      <c r="O324" s="8" t="s">
        <v>19</v>
      </c>
    </row>
    <row r="325" spans="1:15" s="14" customFormat="1" x14ac:dyDescent="0.25">
      <c r="A325" s="13">
        <v>331</v>
      </c>
      <c r="B325" s="16">
        <v>331</v>
      </c>
      <c r="C325" s="13" t="s">
        <v>3156</v>
      </c>
      <c r="D325" s="6" t="s">
        <v>528</v>
      </c>
      <c r="E325" s="13" t="s">
        <v>2931</v>
      </c>
      <c r="F325" s="13"/>
      <c r="G325" s="17">
        <v>5.0999999999999996</v>
      </c>
      <c r="H325" s="16">
        <v>106</v>
      </c>
      <c r="I325" s="18">
        <v>4.5010000000000003</v>
      </c>
      <c r="J325" s="13"/>
      <c r="K325" s="13"/>
      <c r="L325" s="17">
        <f>G325-J325</f>
        <v>5.0999999999999996</v>
      </c>
      <c r="M325" s="18">
        <f>L325*(H325*H325)*0.7854/10000</f>
        <v>4.5006247439999996</v>
      </c>
      <c r="N325" s="5"/>
      <c r="O325" s="8" t="s">
        <v>19</v>
      </c>
    </row>
    <row r="326" spans="1:15" s="14" customFormat="1" x14ac:dyDescent="0.25">
      <c r="A326" s="13">
        <v>332</v>
      </c>
      <c r="B326" s="16">
        <v>332</v>
      </c>
      <c r="C326" s="13" t="s">
        <v>3157</v>
      </c>
      <c r="D326" s="6">
        <v>1410</v>
      </c>
      <c r="E326" s="13" t="s">
        <v>2931</v>
      </c>
      <c r="F326" s="13"/>
      <c r="G326" s="17">
        <v>12.4</v>
      </c>
      <c r="H326" s="16">
        <v>60</v>
      </c>
      <c r="I326" s="18">
        <v>3.5059999999999998</v>
      </c>
      <c r="J326" s="13"/>
      <c r="K326" s="13"/>
      <c r="L326" s="17">
        <f>G326-J326</f>
        <v>12.4</v>
      </c>
      <c r="M326" s="18">
        <f>L326*(H326*H326)*0.7854/10000</f>
        <v>3.5060256000000001</v>
      </c>
      <c r="N326" s="5"/>
      <c r="O326" s="8" t="s">
        <v>30</v>
      </c>
    </row>
    <row r="327" spans="1:15" s="14" customFormat="1" x14ac:dyDescent="0.25">
      <c r="A327" s="13">
        <v>333</v>
      </c>
      <c r="B327" s="16">
        <v>333</v>
      </c>
      <c r="C327" s="13" t="s">
        <v>3158</v>
      </c>
      <c r="D327" s="6" t="s">
        <v>531</v>
      </c>
      <c r="E327" s="13" t="s">
        <v>2931</v>
      </c>
      <c r="F327" s="13"/>
      <c r="G327" s="17">
        <v>12.6</v>
      </c>
      <c r="H327" s="16">
        <v>78</v>
      </c>
      <c r="I327" s="18">
        <v>6.0209999999999999</v>
      </c>
      <c r="J327" s="13"/>
      <c r="K327" s="13"/>
      <c r="L327" s="17">
        <f>G327-J327</f>
        <v>12.6</v>
      </c>
      <c r="M327" s="18">
        <f>L327*(H327*H327)*0.7854/10000</f>
        <v>6.0207507359999992</v>
      </c>
      <c r="N327" s="5"/>
      <c r="O327" s="8" t="s">
        <v>19</v>
      </c>
    </row>
    <row r="328" spans="1:15" s="14" customFormat="1" x14ac:dyDescent="0.25">
      <c r="A328" s="13">
        <v>334</v>
      </c>
      <c r="B328" s="16">
        <v>334</v>
      </c>
      <c r="C328" s="13" t="s">
        <v>3159</v>
      </c>
      <c r="D328" s="6" t="s">
        <v>533</v>
      </c>
      <c r="E328" s="13" t="s">
        <v>2931</v>
      </c>
      <c r="F328" s="13"/>
      <c r="G328" s="17">
        <v>6</v>
      </c>
      <c r="H328" s="16">
        <v>70</v>
      </c>
      <c r="I328" s="18">
        <v>2.3090000000000002</v>
      </c>
      <c r="J328" s="13"/>
      <c r="K328" s="13"/>
      <c r="L328" s="17">
        <f>G328-J328</f>
        <v>6</v>
      </c>
      <c r="M328" s="18">
        <f>L328*(H328*H328)*0.7854/10000</f>
        <v>2.3090759999999997</v>
      </c>
      <c r="N328" s="5"/>
      <c r="O328" s="8" t="s">
        <v>19</v>
      </c>
    </row>
    <row r="329" spans="1:15" s="14" customFormat="1" x14ac:dyDescent="0.25">
      <c r="A329" s="13">
        <v>335</v>
      </c>
      <c r="B329" s="16">
        <v>335</v>
      </c>
      <c r="C329" s="13" t="s">
        <v>3160</v>
      </c>
      <c r="D329" s="6" t="s">
        <v>535</v>
      </c>
      <c r="E329" s="13" t="s">
        <v>2931</v>
      </c>
      <c r="F329" s="13"/>
      <c r="G329" s="17">
        <v>10.4</v>
      </c>
      <c r="H329" s="16">
        <v>105</v>
      </c>
      <c r="I329" s="18">
        <v>9.0050000000000008</v>
      </c>
      <c r="J329" s="13"/>
      <c r="K329" s="13"/>
      <c r="L329" s="17">
        <f>G329-J329</f>
        <v>10.4</v>
      </c>
      <c r="M329" s="18">
        <f>L329*(H329*H329)*0.7854/10000</f>
        <v>9.0053963999999986</v>
      </c>
      <c r="N329" s="5"/>
      <c r="O329" s="8" t="s">
        <v>30</v>
      </c>
    </row>
    <row r="330" spans="1:15" s="14" customFormat="1" x14ac:dyDescent="0.25">
      <c r="A330" s="13">
        <v>336</v>
      </c>
      <c r="B330" s="16">
        <v>336</v>
      </c>
      <c r="C330" s="13" t="s">
        <v>3161</v>
      </c>
      <c r="D330" s="6" t="s">
        <v>537</v>
      </c>
      <c r="E330" s="13" t="s">
        <v>2931</v>
      </c>
      <c r="F330" s="13"/>
      <c r="G330" s="17">
        <v>11.9</v>
      </c>
      <c r="H330" s="16">
        <v>106</v>
      </c>
      <c r="I330" s="18">
        <v>10.500999999999999</v>
      </c>
      <c r="J330" s="13"/>
      <c r="K330" s="13"/>
      <c r="L330" s="17">
        <f>G330-J330</f>
        <v>11.9</v>
      </c>
      <c r="M330" s="18">
        <f>L330*(H330*H330)*0.7854/10000</f>
        <v>10.501457735999999</v>
      </c>
      <c r="N330" s="5"/>
      <c r="O330" s="8" t="s">
        <v>19</v>
      </c>
    </row>
    <row r="331" spans="1:15" s="14" customFormat="1" x14ac:dyDescent="0.25">
      <c r="A331" s="13">
        <v>337</v>
      </c>
      <c r="B331" s="16">
        <v>337</v>
      </c>
      <c r="C331" s="13" t="s">
        <v>3162</v>
      </c>
      <c r="D331" s="6" t="s">
        <v>539</v>
      </c>
      <c r="E331" s="13" t="s">
        <v>2931</v>
      </c>
      <c r="F331" s="13"/>
      <c r="G331" s="17">
        <v>10.199999999999999</v>
      </c>
      <c r="H331" s="16">
        <v>112</v>
      </c>
      <c r="I331" s="18">
        <v>10.048999999999999</v>
      </c>
      <c r="J331" s="13">
        <v>0.3</v>
      </c>
      <c r="K331" s="13"/>
      <c r="L331" s="17">
        <f>G331-J331</f>
        <v>9.8999999999999986</v>
      </c>
      <c r="M331" s="18">
        <f>L331*(H331*H331)*0.7854/10000</f>
        <v>9.7535370239999981</v>
      </c>
      <c r="N331" s="5"/>
      <c r="O331" s="8" t="s">
        <v>19</v>
      </c>
    </row>
    <row r="332" spans="1:15" s="14" customFormat="1" x14ac:dyDescent="0.25">
      <c r="A332" s="13">
        <v>338</v>
      </c>
      <c r="B332" s="16">
        <v>338</v>
      </c>
      <c r="C332" s="13" t="s">
        <v>3163</v>
      </c>
      <c r="D332" s="6" t="s">
        <v>541</v>
      </c>
      <c r="E332" s="13" t="s">
        <v>2931</v>
      </c>
      <c r="F332" s="13"/>
      <c r="G332" s="17">
        <v>7.7</v>
      </c>
      <c r="H332" s="16">
        <v>91</v>
      </c>
      <c r="I332" s="18">
        <v>5.008</v>
      </c>
      <c r="J332" s="13"/>
      <c r="K332" s="13"/>
      <c r="L332" s="17">
        <f>G332-J332</f>
        <v>7.7</v>
      </c>
      <c r="M332" s="18">
        <f>L332*(H332*H332)*0.7854/10000</f>
        <v>5.008000998</v>
      </c>
      <c r="N332" s="5"/>
      <c r="O332" s="8" t="s">
        <v>19</v>
      </c>
    </row>
    <row r="333" spans="1:15" s="14" customFormat="1" x14ac:dyDescent="0.25">
      <c r="A333" s="13">
        <v>339</v>
      </c>
      <c r="B333" s="16">
        <v>339</v>
      </c>
      <c r="C333" s="13" t="s">
        <v>3164</v>
      </c>
      <c r="D333" s="6" t="s">
        <v>543</v>
      </c>
      <c r="E333" s="13" t="s">
        <v>2931</v>
      </c>
      <c r="F333" s="13"/>
      <c r="G333" s="17">
        <v>5.6</v>
      </c>
      <c r="H333" s="16">
        <v>96</v>
      </c>
      <c r="I333" s="18">
        <v>4.0529999999999999</v>
      </c>
      <c r="J333" s="13"/>
      <c r="K333" s="13"/>
      <c r="L333" s="17">
        <f>G333-J333</f>
        <v>5.6</v>
      </c>
      <c r="M333" s="18">
        <f>L333*(H333*H333)*0.7854/10000</f>
        <v>4.0534179839999993</v>
      </c>
      <c r="N333" s="5"/>
      <c r="O333" s="8" t="s">
        <v>19</v>
      </c>
    </row>
    <row r="334" spans="1:15" s="14" customFormat="1" x14ac:dyDescent="0.25">
      <c r="A334" s="13">
        <v>340</v>
      </c>
      <c r="B334" s="16">
        <v>340</v>
      </c>
      <c r="C334" s="13" t="s">
        <v>3165</v>
      </c>
      <c r="D334" s="6" t="s">
        <v>545</v>
      </c>
      <c r="E334" s="13" t="s">
        <v>2931</v>
      </c>
      <c r="F334" s="13"/>
      <c r="G334" s="17">
        <v>5</v>
      </c>
      <c r="H334" s="16">
        <v>108</v>
      </c>
      <c r="I334" s="18">
        <v>4.58</v>
      </c>
      <c r="J334" s="13"/>
      <c r="K334" s="13"/>
      <c r="L334" s="17">
        <f>G334-J334</f>
        <v>5</v>
      </c>
      <c r="M334" s="18">
        <f>L334*(H334*H334)*0.7854/10000</f>
        <v>4.5804527999999998</v>
      </c>
      <c r="N334" s="5" t="s">
        <v>157</v>
      </c>
      <c r="O334" s="8" t="s">
        <v>19</v>
      </c>
    </row>
    <row r="335" spans="1:15" s="14" customFormat="1" x14ac:dyDescent="0.25">
      <c r="A335" s="13">
        <v>341</v>
      </c>
      <c r="B335" s="16">
        <v>341</v>
      </c>
      <c r="C335" s="13" t="s">
        <v>3166</v>
      </c>
      <c r="D335" s="6">
        <v>1414</v>
      </c>
      <c r="E335" s="13" t="s">
        <v>2931</v>
      </c>
      <c r="F335" s="13"/>
      <c r="G335" s="17">
        <v>13.4</v>
      </c>
      <c r="H335" s="16">
        <v>74</v>
      </c>
      <c r="I335" s="18">
        <v>5.7629999999999999</v>
      </c>
      <c r="J335" s="13">
        <v>0.3</v>
      </c>
      <c r="K335" s="13"/>
      <c r="L335" s="17">
        <f>G335-J335</f>
        <v>13.1</v>
      </c>
      <c r="M335" s="18">
        <f>L335*(H335*H335)*0.7854/10000</f>
        <v>5.6341140239999996</v>
      </c>
      <c r="N335" s="5"/>
      <c r="O335" s="8" t="s">
        <v>19</v>
      </c>
    </row>
    <row r="336" spans="1:15" s="14" customFormat="1" x14ac:dyDescent="0.25">
      <c r="A336" s="13">
        <v>342</v>
      </c>
      <c r="B336" s="16">
        <v>342</v>
      </c>
      <c r="C336" s="13" t="s">
        <v>3167</v>
      </c>
      <c r="D336" s="6">
        <v>1415</v>
      </c>
      <c r="E336" s="13" t="s">
        <v>2931</v>
      </c>
      <c r="F336" s="13"/>
      <c r="G336" s="17">
        <v>9.8000000000000007</v>
      </c>
      <c r="H336" s="16">
        <v>126</v>
      </c>
      <c r="I336" s="18">
        <v>12.22</v>
      </c>
      <c r="J336" s="13"/>
      <c r="K336" s="13"/>
      <c r="L336" s="17">
        <f>G336-J336</f>
        <v>9.8000000000000007</v>
      </c>
      <c r="M336" s="18">
        <f>L336*(H336*H336)*0.7854/10000</f>
        <v>12.219630192000002</v>
      </c>
      <c r="N336" s="5"/>
      <c r="O336" s="8" t="s">
        <v>19</v>
      </c>
    </row>
    <row r="337" spans="1:15" s="14" customFormat="1" x14ac:dyDescent="0.25">
      <c r="A337" s="13">
        <v>343</v>
      </c>
      <c r="B337" s="16">
        <v>343</v>
      </c>
      <c r="C337" s="13" t="s">
        <v>3168</v>
      </c>
      <c r="D337" s="6" t="s">
        <v>549</v>
      </c>
      <c r="E337" s="13" t="s">
        <v>2931</v>
      </c>
      <c r="F337" s="13"/>
      <c r="G337" s="17">
        <v>11.8</v>
      </c>
      <c r="H337" s="16">
        <v>96</v>
      </c>
      <c r="I337" s="18">
        <v>8.5410000000000004</v>
      </c>
      <c r="J337" s="13">
        <v>0.3</v>
      </c>
      <c r="K337" s="13"/>
      <c r="L337" s="17">
        <f>G337-J337</f>
        <v>11.5</v>
      </c>
      <c r="M337" s="18">
        <f>L337*(H337*H337)*0.7854/10000</f>
        <v>8.3239833599999997</v>
      </c>
      <c r="N337" s="5"/>
      <c r="O337" s="8" t="s">
        <v>19</v>
      </c>
    </row>
    <row r="338" spans="1:15" s="14" customFormat="1" x14ac:dyDescent="0.25">
      <c r="A338" s="13">
        <v>344</v>
      </c>
      <c r="B338" s="16">
        <v>344</v>
      </c>
      <c r="C338" s="13" t="s">
        <v>3169</v>
      </c>
      <c r="D338" s="6" t="s">
        <v>551</v>
      </c>
      <c r="E338" s="13" t="s">
        <v>2931</v>
      </c>
      <c r="F338" s="13"/>
      <c r="G338" s="17">
        <v>4.3</v>
      </c>
      <c r="H338" s="16">
        <v>89</v>
      </c>
      <c r="I338" s="18">
        <v>2.6749999999999998</v>
      </c>
      <c r="J338" s="13"/>
      <c r="K338" s="13"/>
      <c r="L338" s="17">
        <f>G338-J338</f>
        <v>4.3</v>
      </c>
      <c r="M338" s="18">
        <f>L338*(H338*H338)*0.7854/10000</f>
        <v>2.6750959619999999</v>
      </c>
      <c r="N338" s="5"/>
      <c r="O338" s="8" t="s">
        <v>30</v>
      </c>
    </row>
    <row r="339" spans="1:15" s="14" customFormat="1" x14ac:dyDescent="0.25">
      <c r="A339" s="13">
        <v>345</v>
      </c>
      <c r="B339" s="16">
        <v>345</v>
      </c>
      <c r="C339" s="13" t="s">
        <v>3170</v>
      </c>
      <c r="D339" s="6">
        <v>1417</v>
      </c>
      <c r="E339" s="13" t="s">
        <v>2931</v>
      </c>
      <c r="F339" s="13"/>
      <c r="G339" s="17">
        <v>8.5</v>
      </c>
      <c r="H339" s="16">
        <v>79</v>
      </c>
      <c r="I339" s="18">
        <v>4.1660000000000004</v>
      </c>
      <c r="J339" s="13"/>
      <c r="K339" s="13"/>
      <c r="L339" s="17">
        <f>G339-J339</f>
        <v>8.5</v>
      </c>
      <c r="M339" s="18">
        <f>L339*(H339*H339)*0.7854/10000</f>
        <v>4.1664291899999997</v>
      </c>
      <c r="N339" s="5"/>
      <c r="O339" s="8" t="s">
        <v>19</v>
      </c>
    </row>
    <row r="340" spans="1:15" s="14" customFormat="1" x14ac:dyDescent="0.25">
      <c r="A340" s="13">
        <v>346</v>
      </c>
      <c r="B340" s="16">
        <v>346</v>
      </c>
      <c r="C340" s="13" t="s">
        <v>3171</v>
      </c>
      <c r="D340" s="6">
        <v>1418</v>
      </c>
      <c r="E340" s="13" t="s">
        <v>2931</v>
      </c>
      <c r="F340" s="13"/>
      <c r="G340" s="17">
        <v>11.6</v>
      </c>
      <c r="H340" s="16">
        <v>106</v>
      </c>
      <c r="I340" s="18">
        <v>10.237</v>
      </c>
      <c r="J340" s="13"/>
      <c r="K340" s="13"/>
      <c r="L340" s="17">
        <f>G340-J340</f>
        <v>11.6</v>
      </c>
      <c r="M340" s="18">
        <f>L340*(H340*H340)*0.7854/10000</f>
        <v>10.236715104</v>
      </c>
      <c r="N340" s="5"/>
      <c r="O340" s="8" t="s">
        <v>19</v>
      </c>
    </row>
    <row r="341" spans="1:15" s="14" customFormat="1" x14ac:dyDescent="0.25">
      <c r="A341" s="13">
        <v>348</v>
      </c>
      <c r="B341" s="16">
        <v>348</v>
      </c>
      <c r="C341" s="13" t="s">
        <v>3172</v>
      </c>
      <c r="D341" s="6" t="s">
        <v>555</v>
      </c>
      <c r="E341" s="13" t="s">
        <v>2931</v>
      </c>
      <c r="F341" s="13"/>
      <c r="G341" s="17">
        <v>4.5999999999999996</v>
      </c>
      <c r="H341" s="16">
        <v>96</v>
      </c>
      <c r="I341" s="18">
        <v>3.33</v>
      </c>
      <c r="J341" s="13"/>
      <c r="K341" s="13"/>
      <c r="L341" s="17">
        <f>G341-J341</f>
        <v>4.5999999999999996</v>
      </c>
      <c r="M341" s="18">
        <f>L341*(H341*H341)*0.7854/10000</f>
        <v>3.3295933440000001</v>
      </c>
      <c r="N341" s="5"/>
      <c r="O341" s="8" t="s">
        <v>30</v>
      </c>
    </row>
    <row r="342" spans="1:15" s="14" customFormat="1" x14ac:dyDescent="0.25">
      <c r="A342" s="13">
        <v>349</v>
      </c>
      <c r="B342" s="16">
        <v>349</v>
      </c>
      <c r="C342" s="13" t="s">
        <v>3173</v>
      </c>
      <c r="D342" s="6" t="s">
        <v>557</v>
      </c>
      <c r="E342" s="13" t="s">
        <v>2931</v>
      </c>
      <c r="F342" s="13"/>
      <c r="G342" s="17">
        <v>11.5</v>
      </c>
      <c r="H342" s="16">
        <v>90</v>
      </c>
      <c r="I342" s="18">
        <v>7.3159999999999998</v>
      </c>
      <c r="J342" s="13"/>
      <c r="K342" s="13"/>
      <c r="L342" s="17">
        <f>G342-J342</f>
        <v>11.5</v>
      </c>
      <c r="M342" s="18">
        <f>L342*(H342*H342)*0.7854/10000</f>
        <v>7.3160009999999991</v>
      </c>
      <c r="N342" s="5"/>
      <c r="O342" s="8" t="s">
        <v>19</v>
      </c>
    </row>
    <row r="343" spans="1:15" s="14" customFormat="1" x14ac:dyDescent="0.25">
      <c r="A343" s="13">
        <v>350</v>
      </c>
      <c r="B343" s="16">
        <v>350</v>
      </c>
      <c r="C343" s="13" t="s">
        <v>3174</v>
      </c>
      <c r="D343" s="6" t="s">
        <v>559</v>
      </c>
      <c r="E343" s="13" t="s">
        <v>2931</v>
      </c>
      <c r="F343" s="13"/>
      <c r="G343" s="17">
        <v>6.5</v>
      </c>
      <c r="H343" s="16">
        <v>61</v>
      </c>
      <c r="I343" s="18">
        <v>1.9</v>
      </c>
      <c r="J343" s="13"/>
      <c r="K343" s="13"/>
      <c r="L343" s="17">
        <f>G343-J343</f>
        <v>6.5</v>
      </c>
      <c r="M343" s="18">
        <f>L343*(H343*H343)*0.7854/10000</f>
        <v>1.8996077099999999</v>
      </c>
      <c r="N343" s="5"/>
      <c r="O343" s="8" t="s">
        <v>19</v>
      </c>
    </row>
    <row r="344" spans="1:15" s="14" customFormat="1" x14ac:dyDescent="0.25">
      <c r="A344" s="13">
        <v>351</v>
      </c>
      <c r="B344" s="16">
        <v>351</v>
      </c>
      <c r="C344" s="13" t="s">
        <v>3175</v>
      </c>
      <c r="D344" s="6" t="s">
        <v>561</v>
      </c>
      <c r="E344" s="13" t="s">
        <v>2931</v>
      </c>
      <c r="F344" s="13"/>
      <c r="G344" s="17">
        <v>5.3</v>
      </c>
      <c r="H344" s="16">
        <v>88</v>
      </c>
      <c r="I344" s="18">
        <v>3.2240000000000002</v>
      </c>
      <c r="J344" s="13"/>
      <c r="K344" s="13"/>
      <c r="L344" s="17">
        <f>G344-J344</f>
        <v>5.3</v>
      </c>
      <c r="M344" s="18">
        <f>L344*(H344*H344)*0.7854/10000</f>
        <v>3.223532928</v>
      </c>
      <c r="N344" s="5"/>
      <c r="O344" s="8" t="s">
        <v>30</v>
      </c>
    </row>
    <row r="345" spans="1:15" s="14" customFormat="1" x14ac:dyDescent="0.25">
      <c r="A345" s="13">
        <v>352</v>
      </c>
      <c r="B345" s="16">
        <v>352</v>
      </c>
      <c r="C345" s="13" t="s">
        <v>3176</v>
      </c>
      <c r="D345" s="6" t="s">
        <v>563</v>
      </c>
      <c r="E345" s="13" t="s">
        <v>2931</v>
      </c>
      <c r="F345" s="13"/>
      <c r="G345" s="17">
        <v>4.5</v>
      </c>
      <c r="H345" s="16">
        <v>89</v>
      </c>
      <c r="I345" s="18">
        <v>2.8</v>
      </c>
      <c r="J345" s="13"/>
      <c r="K345" s="13"/>
      <c r="L345" s="17">
        <f>G345-J345</f>
        <v>4.5</v>
      </c>
      <c r="M345" s="18">
        <f>L345*(H345*H345)*0.7854/10000</f>
        <v>2.7995190299999999</v>
      </c>
      <c r="N345" s="5"/>
      <c r="O345" s="8" t="s">
        <v>19</v>
      </c>
    </row>
    <row r="346" spans="1:15" s="14" customFormat="1" x14ac:dyDescent="0.25">
      <c r="A346" s="13">
        <v>354</v>
      </c>
      <c r="B346" s="16">
        <v>354</v>
      </c>
      <c r="C346" s="13" t="s">
        <v>3177</v>
      </c>
      <c r="D346" s="6">
        <v>1421</v>
      </c>
      <c r="E346" s="13" t="s">
        <v>2931</v>
      </c>
      <c r="F346" s="13"/>
      <c r="G346" s="17">
        <v>14.1</v>
      </c>
      <c r="H346" s="16">
        <v>91</v>
      </c>
      <c r="I346" s="18">
        <v>9.17</v>
      </c>
      <c r="J346" s="13">
        <v>0.3</v>
      </c>
      <c r="K346" s="13"/>
      <c r="L346" s="17">
        <f>G346-J346</f>
        <v>13.799999999999999</v>
      </c>
      <c r="M346" s="18">
        <f>L346*(H346*H346)*0.7854/10000</f>
        <v>8.9753784119999995</v>
      </c>
      <c r="N346" s="5"/>
      <c r="O346" s="8" t="s">
        <v>19</v>
      </c>
    </row>
    <row r="347" spans="1:15" s="14" customFormat="1" x14ac:dyDescent="0.25">
      <c r="A347" s="13">
        <v>355</v>
      </c>
      <c r="B347" s="16">
        <v>355</v>
      </c>
      <c r="C347" s="13" t="s">
        <v>3178</v>
      </c>
      <c r="D347" s="6" t="s">
        <v>566</v>
      </c>
      <c r="E347" s="13" t="s">
        <v>2931</v>
      </c>
      <c r="F347" s="13"/>
      <c r="G347" s="17">
        <v>13.4</v>
      </c>
      <c r="H347" s="16">
        <v>84</v>
      </c>
      <c r="I347" s="18">
        <v>7.4260000000000002</v>
      </c>
      <c r="J347" s="13"/>
      <c r="K347" s="13"/>
      <c r="L347" s="17">
        <f>G347-J347</f>
        <v>13.4</v>
      </c>
      <c r="M347" s="18">
        <f>L347*(H347*H347)*0.7854/10000</f>
        <v>7.425988416</v>
      </c>
      <c r="N347" s="5"/>
      <c r="O347" s="8" t="s">
        <v>19</v>
      </c>
    </row>
    <row r="348" spans="1:15" s="14" customFormat="1" x14ac:dyDescent="0.25">
      <c r="A348" s="13">
        <v>356</v>
      </c>
      <c r="B348" s="16">
        <v>356</v>
      </c>
      <c r="C348" s="13" t="s">
        <v>3179</v>
      </c>
      <c r="D348" s="6" t="s">
        <v>568</v>
      </c>
      <c r="E348" s="13" t="s">
        <v>2931</v>
      </c>
      <c r="F348" s="13"/>
      <c r="G348" s="17">
        <v>6.6</v>
      </c>
      <c r="H348" s="16">
        <v>77</v>
      </c>
      <c r="I348" s="18">
        <v>3.073</v>
      </c>
      <c r="J348" s="13"/>
      <c r="K348" s="13"/>
      <c r="L348" s="17">
        <f>G348-J348</f>
        <v>6.6</v>
      </c>
      <c r="M348" s="18">
        <f>L348*(H348*H348)*0.7854/10000</f>
        <v>3.0733801559999998</v>
      </c>
      <c r="N348" s="5"/>
      <c r="O348" s="8" t="s">
        <v>19</v>
      </c>
    </row>
    <row r="349" spans="1:15" s="14" customFormat="1" x14ac:dyDescent="0.25">
      <c r="A349" s="13">
        <v>357</v>
      </c>
      <c r="B349" s="16">
        <v>357</v>
      </c>
      <c r="C349" s="13" t="s">
        <v>3180</v>
      </c>
      <c r="D349" s="6" t="s">
        <v>570</v>
      </c>
      <c r="E349" s="13" t="s">
        <v>2931</v>
      </c>
      <c r="F349" s="13"/>
      <c r="G349" s="17">
        <v>11.9</v>
      </c>
      <c r="H349" s="16">
        <v>122</v>
      </c>
      <c r="I349" s="18">
        <v>13.911</v>
      </c>
      <c r="J349" s="13">
        <v>0.4</v>
      </c>
      <c r="K349" s="13"/>
      <c r="L349" s="17">
        <f>G349-J349</f>
        <v>11.5</v>
      </c>
      <c r="M349" s="18">
        <f>L349*(H349*H349)*0.7854/10000</f>
        <v>13.44337764</v>
      </c>
      <c r="N349" s="5"/>
      <c r="O349" s="8" t="s">
        <v>19</v>
      </c>
    </row>
    <row r="350" spans="1:15" s="14" customFormat="1" x14ac:dyDescent="0.25">
      <c r="A350" s="13">
        <v>358</v>
      </c>
      <c r="B350" s="16">
        <v>358</v>
      </c>
      <c r="C350" s="13" t="s">
        <v>3181</v>
      </c>
      <c r="D350" s="6">
        <v>1423</v>
      </c>
      <c r="E350" s="13" t="s">
        <v>2931</v>
      </c>
      <c r="F350" s="13"/>
      <c r="G350" s="17">
        <v>8.8000000000000007</v>
      </c>
      <c r="H350" s="16">
        <v>102</v>
      </c>
      <c r="I350" s="18">
        <v>7.1909999999999998</v>
      </c>
      <c r="J350" s="13"/>
      <c r="K350" s="13"/>
      <c r="L350" s="17">
        <f>G350-J350</f>
        <v>8.8000000000000007</v>
      </c>
      <c r="M350" s="18">
        <f>L350*(H350*H350)*0.7854/10000</f>
        <v>7.1907454080000006</v>
      </c>
      <c r="N350" s="5"/>
      <c r="O350" s="8" t="s">
        <v>19</v>
      </c>
    </row>
    <row r="351" spans="1:15" s="14" customFormat="1" x14ac:dyDescent="0.25">
      <c r="A351" s="13">
        <v>359</v>
      </c>
      <c r="B351" s="16">
        <v>359</v>
      </c>
      <c r="C351" s="13" t="s">
        <v>3182</v>
      </c>
      <c r="D351" s="6">
        <v>1424</v>
      </c>
      <c r="E351" s="13" t="s">
        <v>2931</v>
      </c>
      <c r="F351" s="13"/>
      <c r="G351" s="17">
        <v>12</v>
      </c>
      <c r="H351" s="16">
        <v>109</v>
      </c>
      <c r="I351" s="18">
        <v>11.198</v>
      </c>
      <c r="J351" s="13"/>
      <c r="K351" s="13"/>
      <c r="L351" s="17">
        <f>G351-J351</f>
        <v>12</v>
      </c>
      <c r="M351" s="18">
        <f>L351*(H351*H351)*0.7854/10000</f>
        <v>11.19760488</v>
      </c>
      <c r="N351" s="5"/>
      <c r="O351" s="8" t="s">
        <v>19</v>
      </c>
    </row>
    <row r="352" spans="1:15" s="14" customFormat="1" x14ac:dyDescent="0.25">
      <c r="A352" s="13">
        <v>360</v>
      </c>
      <c r="B352" s="16">
        <v>360</v>
      </c>
      <c r="C352" s="13" t="s">
        <v>3183</v>
      </c>
      <c r="D352" s="6" t="s">
        <v>574</v>
      </c>
      <c r="E352" s="13" t="s">
        <v>2931</v>
      </c>
      <c r="F352" s="13"/>
      <c r="G352" s="17">
        <v>6.7</v>
      </c>
      <c r="H352" s="16">
        <v>101</v>
      </c>
      <c r="I352" s="18">
        <v>5.3680000000000003</v>
      </c>
      <c r="J352" s="13"/>
      <c r="K352" s="13"/>
      <c r="L352" s="17">
        <f>G352-J352</f>
        <v>6.7</v>
      </c>
      <c r="M352" s="18">
        <f>L352*(H352*H352)*0.7854/10000</f>
        <v>5.3679498179999996</v>
      </c>
      <c r="N352" s="5"/>
      <c r="O352" s="8" t="s">
        <v>19</v>
      </c>
    </row>
    <row r="353" spans="1:15" s="14" customFormat="1" x14ac:dyDescent="0.25">
      <c r="A353" s="13">
        <v>361</v>
      </c>
      <c r="B353" s="16">
        <v>361</v>
      </c>
      <c r="C353" s="13" t="s">
        <v>3184</v>
      </c>
      <c r="D353" s="6" t="s">
        <v>576</v>
      </c>
      <c r="E353" s="13" t="s">
        <v>2931</v>
      </c>
      <c r="F353" s="13"/>
      <c r="G353" s="17">
        <v>9</v>
      </c>
      <c r="H353" s="16">
        <v>89</v>
      </c>
      <c r="I353" s="18">
        <v>5.5990000000000002</v>
      </c>
      <c r="J353" s="13">
        <v>0.4</v>
      </c>
      <c r="K353" s="13"/>
      <c r="L353" s="17">
        <f>G353-J353</f>
        <v>8.6</v>
      </c>
      <c r="M353" s="18">
        <f>L353*(H353*H353)*0.7854/10000</f>
        <v>5.3501919239999998</v>
      </c>
      <c r="N353" s="5"/>
      <c r="O353" s="8" t="s">
        <v>30</v>
      </c>
    </row>
    <row r="354" spans="1:15" s="14" customFormat="1" x14ac:dyDescent="0.25">
      <c r="A354" s="13">
        <v>362</v>
      </c>
      <c r="B354" s="16">
        <v>362</v>
      </c>
      <c r="C354" s="13" t="s">
        <v>3185</v>
      </c>
      <c r="D354" s="6">
        <v>4630</v>
      </c>
      <c r="E354" s="13" t="s">
        <v>2931</v>
      </c>
      <c r="F354" s="13"/>
      <c r="G354" s="17">
        <v>13.6</v>
      </c>
      <c r="H354" s="16">
        <v>112</v>
      </c>
      <c r="I354" s="18">
        <v>13.398999999999999</v>
      </c>
      <c r="J354" s="13"/>
      <c r="K354" s="13"/>
      <c r="L354" s="17">
        <f>G354-J354</f>
        <v>13.6</v>
      </c>
      <c r="M354" s="18">
        <f>L354*(H354*H354)*0.7854/10000</f>
        <v>13.398798335999999</v>
      </c>
      <c r="N354" s="5"/>
      <c r="O354" s="8" t="s">
        <v>19</v>
      </c>
    </row>
    <row r="355" spans="1:15" s="14" customFormat="1" x14ac:dyDescent="0.25">
      <c r="A355" s="13">
        <v>363</v>
      </c>
      <c r="B355" s="16">
        <v>363</v>
      </c>
      <c r="C355" s="13" t="s">
        <v>3186</v>
      </c>
      <c r="D355" s="6" t="s">
        <v>568</v>
      </c>
      <c r="E355" s="13" t="s">
        <v>2931</v>
      </c>
      <c r="F355" s="13"/>
      <c r="G355" s="17">
        <v>12.2</v>
      </c>
      <c r="H355" s="16">
        <v>95</v>
      </c>
      <c r="I355" s="18">
        <v>8.6479999999999997</v>
      </c>
      <c r="J355" s="13">
        <v>0.3</v>
      </c>
      <c r="K355" s="13"/>
      <c r="L355" s="17">
        <f>G355-J355</f>
        <v>11.899999999999999</v>
      </c>
      <c r="M355" s="18">
        <f>L355*(H355*H355)*0.7854/10000</f>
        <v>8.43499965</v>
      </c>
      <c r="N355" s="5" t="s">
        <v>21</v>
      </c>
      <c r="O355" s="8" t="s">
        <v>19</v>
      </c>
    </row>
    <row r="356" spans="1:15" s="14" customFormat="1" x14ac:dyDescent="0.25">
      <c r="A356" s="13">
        <v>364</v>
      </c>
      <c r="B356" s="16">
        <v>364</v>
      </c>
      <c r="C356" s="13" t="s">
        <v>3187</v>
      </c>
      <c r="D356" s="6" t="s">
        <v>580</v>
      </c>
      <c r="E356" s="13" t="s">
        <v>2931</v>
      </c>
      <c r="F356" s="13"/>
      <c r="G356" s="17">
        <v>5.6</v>
      </c>
      <c r="H356" s="16">
        <v>87</v>
      </c>
      <c r="I356" s="18">
        <v>3.3290000000000002</v>
      </c>
      <c r="J356" s="13">
        <v>0.3</v>
      </c>
      <c r="K356" s="13"/>
      <c r="L356" s="17">
        <f>G356-J356</f>
        <v>5.3</v>
      </c>
      <c r="M356" s="18">
        <f>L356*(H356*H356)*0.7854/10000</f>
        <v>3.1506870779999998</v>
      </c>
      <c r="N356" s="5" t="s">
        <v>53</v>
      </c>
      <c r="O356" s="8" t="s">
        <v>30</v>
      </c>
    </row>
    <row r="357" spans="1:15" s="14" customFormat="1" x14ac:dyDescent="0.25">
      <c r="A357" s="13">
        <v>365</v>
      </c>
      <c r="B357" s="16">
        <v>365</v>
      </c>
      <c r="C357" s="13" t="s">
        <v>3188</v>
      </c>
      <c r="D357" s="6" t="s">
        <v>582</v>
      </c>
      <c r="E357" s="13" t="s">
        <v>2931</v>
      </c>
      <c r="F357" s="13"/>
      <c r="G357" s="17">
        <v>11.7</v>
      </c>
      <c r="H357" s="16">
        <v>75</v>
      </c>
      <c r="I357" s="18">
        <v>5.1689999999999996</v>
      </c>
      <c r="J357" s="13"/>
      <c r="K357" s="13"/>
      <c r="L357" s="17">
        <f>G357-J357</f>
        <v>11.7</v>
      </c>
      <c r="M357" s="18">
        <f>L357*(H357*H357)*0.7854/10000</f>
        <v>5.1689137499999998</v>
      </c>
      <c r="N357" s="5"/>
      <c r="O357" s="8" t="s">
        <v>19</v>
      </c>
    </row>
    <row r="358" spans="1:15" s="14" customFormat="1" x14ac:dyDescent="0.25">
      <c r="A358" s="13">
        <v>366</v>
      </c>
      <c r="B358" s="16">
        <v>366</v>
      </c>
      <c r="C358" s="13" t="s">
        <v>3189</v>
      </c>
      <c r="D358" s="6">
        <v>1428</v>
      </c>
      <c r="E358" s="13" t="s">
        <v>2931</v>
      </c>
      <c r="F358" s="13"/>
      <c r="G358" s="17">
        <v>13.4</v>
      </c>
      <c r="H358" s="16">
        <v>72</v>
      </c>
      <c r="I358" s="18">
        <v>5.4560000000000004</v>
      </c>
      <c r="J358" s="13"/>
      <c r="K358" s="13"/>
      <c r="L358" s="17">
        <f>G358-J358</f>
        <v>13.4</v>
      </c>
      <c r="M358" s="18">
        <f>L358*(H358*H358)*0.7854/10000</f>
        <v>5.4558282240000002</v>
      </c>
      <c r="N358" s="5"/>
      <c r="O358" s="8" t="s">
        <v>19</v>
      </c>
    </row>
    <row r="359" spans="1:15" s="14" customFormat="1" x14ac:dyDescent="0.25">
      <c r="A359" s="13">
        <v>367</v>
      </c>
      <c r="B359" s="16">
        <v>367</v>
      </c>
      <c r="C359" s="13" t="s">
        <v>3190</v>
      </c>
      <c r="D359" s="6">
        <v>1429</v>
      </c>
      <c r="E359" s="13" t="s">
        <v>2931</v>
      </c>
      <c r="F359" s="13"/>
      <c r="G359" s="17">
        <v>14.2</v>
      </c>
      <c r="H359" s="16">
        <v>82</v>
      </c>
      <c r="I359" s="18">
        <v>7.4989999999999997</v>
      </c>
      <c r="J359" s="13">
        <v>0.3</v>
      </c>
      <c r="K359" s="13"/>
      <c r="L359" s="17">
        <f>G359-J359</f>
        <v>13.899999999999999</v>
      </c>
      <c r="M359" s="18">
        <f>L359*(H359*H359)*0.7854/10000</f>
        <v>7.3406311439999987</v>
      </c>
      <c r="N359" s="5"/>
      <c r="O359" s="8" t="s">
        <v>30</v>
      </c>
    </row>
    <row r="360" spans="1:15" s="14" customFormat="1" x14ac:dyDescent="0.25">
      <c r="A360" s="13">
        <v>368</v>
      </c>
      <c r="B360" s="16">
        <v>368</v>
      </c>
      <c r="C360" s="13" t="s">
        <v>3191</v>
      </c>
      <c r="D360" s="6">
        <v>1430</v>
      </c>
      <c r="E360" s="13" t="s">
        <v>2931</v>
      </c>
      <c r="F360" s="13"/>
      <c r="G360" s="17">
        <v>11.9</v>
      </c>
      <c r="H360" s="16">
        <v>121</v>
      </c>
      <c r="I360" s="18">
        <v>13.683999999999999</v>
      </c>
      <c r="J360" s="13">
        <v>0.4</v>
      </c>
      <c r="K360" s="13"/>
      <c r="L360" s="17">
        <f>G360-J360</f>
        <v>11.5</v>
      </c>
      <c r="M360" s="18">
        <f>L360*(H360*H360)*0.7854/10000</f>
        <v>13.22389761</v>
      </c>
      <c r="N360" s="5"/>
      <c r="O360" s="8" t="s">
        <v>19</v>
      </c>
    </row>
    <row r="361" spans="1:15" s="14" customFormat="1" x14ac:dyDescent="0.25">
      <c r="A361" s="13">
        <v>369</v>
      </c>
      <c r="B361" s="16">
        <v>369</v>
      </c>
      <c r="C361" s="13" t="s">
        <v>3192</v>
      </c>
      <c r="D361" s="6">
        <v>1431</v>
      </c>
      <c r="E361" s="13" t="s">
        <v>2931</v>
      </c>
      <c r="F361" s="13"/>
      <c r="G361" s="17">
        <v>13.9</v>
      </c>
      <c r="H361" s="16">
        <v>60</v>
      </c>
      <c r="I361" s="18">
        <v>3.93</v>
      </c>
      <c r="J361" s="13"/>
      <c r="K361" s="13"/>
      <c r="L361" s="17">
        <f>G361-J361</f>
        <v>13.9</v>
      </c>
      <c r="M361" s="18">
        <f>L361*(H361*H361)*0.7854/10000</f>
        <v>3.9301415999999998</v>
      </c>
      <c r="N361" s="5"/>
      <c r="O361" s="8" t="s">
        <v>19</v>
      </c>
    </row>
    <row r="362" spans="1:15" s="14" customFormat="1" x14ac:dyDescent="0.25">
      <c r="A362" s="13">
        <v>370</v>
      </c>
      <c r="B362" s="16">
        <v>370</v>
      </c>
      <c r="C362" s="13" t="s">
        <v>3193</v>
      </c>
      <c r="D362" s="6">
        <v>4635</v>
      </c>
      <c r="E362" s="13" t="s">
        <v>2931</v>
      </c>
      <c r="F362" s="13"/>
      <c r="G362" s="17">
        <v>12.7</v>
      </c>
      <c r="H362" s="16">
        <v>105</v>
      </c>
      <c r="I362" s="18">
        <v>10.997</v>
      </c>
      <c r="J362" s="13"/>
      <c r="K362" s="13"/>
      <c r="L362" s="17">
        <f>G362-J362</f>
        <v>12.7</v>
      </c>
      <c r="M362" s="18">
        <f>L362*(H362*H362)*0.7854/10000</f>
        <v>10.99697445</v>
      </c>
      <c r="N362" s="5"/>
      <c r="O362" s="8" t="s">
        <v>19</v>
      </c>
    </row>
    <row r="363" spans="1:15" s="14" customFormat="1" x14ac:dyDescent="0.25">
      <c r="A363" s="13">
        <v>371</v>
      </c>
      <c r="B363" s="16">
        <v>371</v>
      </c>
      <c r="C363" s="13" t="s">
        <v>3194</v>
      </c>
      <c r="D363" s="6">
        <v>1434</v>
      </c>
      <c r="E363" s="13" t="s">
        <v>2931</v>
      </c>
      <c r="F363" s="13"/>
      <c r="G363" s="17">
        <v>11.5</v>
      </c>
      <c r="H363" s="16">
        <v>106</v>
      </c>
      <c r="I363" s="18">
        <v>10.148</v>
      </c>
      <c r="J363" s="13">
        <v>0.3</v>
      </c>
      <c r="K363" s="13"/>
      <c r="L363" s="17">
        <f>G363-J363</f>
        <v>11.2</v>
      </c>
      <c r="M363" s="18">
        <f>L363*(H363*H363)*0.7854/10000</f>
        <v>9.8837249279999995</v>
      </c>
      <c r="N363" s="5"/>
      <c r="O363" s="8" t="s">
        <v>19</v>
      </c>
    </row>
    <row r="364" spans="1:15" s="14" customFormat="1" x14ac:dyDescent="0.25">
      <c r="A364" s="13">
        <v>372</v>
      </c>
      <c r="B364" s="16">
        <v>372</v>
      </c>
      <c r="C364" s="13" t="s">
        <v>3195</v>
      </c>
      <c r="D364" s="6">
        <v>1435</v>
      </c>
      <c r="E364" s="13" t="s">
        <v>2931</v>
      </c>
      <c r="F364" s="13"/>
      <c r="G364" s="17">
        <v>6.9</v>
      </c>
      <c r="H364" s="16">
        <v>94</v>
      </c>
      <c r="I364" s="18">
        <v>4.7880000000000003</v>
      </c>
      <c r="J364" s="13"/>
      <c r="K364" s="13"/>
      <c r="L364" s="17">
        <f>G364-J364</f>
        <v>6.9</v>
      </c>
      <c r="M364" s="18">
        <f>L364*(H364*H364)*0.7854/10000</f>
        <v>4.788458136</v>
      </c>
      <c r="N364" s="5"/>
      <c r="O364" s="8" t="s">
        <v>19</v>
      </c>
    </row>
    <row r="365" spans="1:15" s="14" customFormat="1" x14ac:dyDescent="0.25">
      <c r="A365" s="13">
        <v>373</v>
      </c>
      <c r="B365" s="16">
        <v>373</v>
      </c>
      <c r="C365" s="13" t="s">
        <v>3196</v>
      </c>
      <c r="D365" s="6" t="s">
        <v>591</v>
      </c>
      <c r="E365" s="13" t="s">
        <v>2931</v>
      </c>
      <c r="F365" s="13"/>
      <c r="G365" s="17">
        <v>11.7</v>
      </c>
      <c r="H365" s="16">
        <v>91</v>
      </c>
      <c r="I365" s="18">
        <v>7.61</v>
      </c>
      <c r="J365" s="13"/>
      <c r="K365" s="13"/>
      <c r="L365" s="17">
        <f>G365-J365</f>
        <v>11.7</v>
      </c>
      <c r="M365" s="18">
        <f>L365*(H365*H365)*0.7854/10000</f>
        <v>7.6095599579999993</v>
      </c>
      <c r="N365" s="5"/>
      <c r="O365" s="8" t="s">
        <v>19</v>
      </c>
    </row>
    <row r="366" spans="1:15" s="14" customFormat="1" x14ac:dyDescent="0.25">
      <c r="A366" s="13">
        <v>374</v>
      </c>
      <c r="B366" s="16">
        <v>374</v>
      </c>
      <c r="C366" s="13" t="s">
        <v>3197</v>
      </c>
      <c r="D366" s="6" t="s">
        <v>593</v>
      </c>
      <c r="E366" s="13" t="s">
        <v>2931</v>
      </c>
      <c r="F366" s="13"/>
      <c r="G366" s="17">
        <v>6.3</v>
      </c>
      <c r="H366" s="16">
        <v>85</v>
      </c>
      <c r="I366" s="18">
        <v>3.5750000000000002</v>
      </c>
      <c r="J366" s="13"/>
      <c r="K366" s="13"/>
      <c r="L366" s="17">
        <f>G366-J366</f>
        <v>6.3</v>
      </c>
      <c r="M366" s="18">
        <f>L366*(H366*H366)*0.7854/10000</f>
        <v>3.5749444499999998</v>
      </c>
      <c r="N366" s="5"/>
      <c r="O366" s="8" t="s">
        <v>19</v>
      </c>
    </row>
    <row r="367" spans="1:15" s="14" customFormat="1" x14ac:dyDescent="0.25">
      <c r="A367" s="13">
        <v>375</v>
      </c>
      <c r="B367" s="16">
        <v>375</v>
      </c>
      <c r="C367" s="13" t="s">
        <v>3198</v>
      </c>
      <c r="D367" s="6">
        <v>1438</v>
      </c>
      <c r="E367" s="13" t="s">
        <v>2931</v>
      </c>
      <c r="F367" s="13"/>
      <c r="G367" s="17">
        <v>13.1</v>
      </c>
      <c r="H367" s="16">
        <v>95</v>
      </c>
      <c r="I367" s="18">
        <v>9.2859999999999996</v>
      </c>
      <c r="J367" s="13"/>
      <c r="K367" s="13"/>
      <c r="L367" s="17">
        <f>G367-J367</f>
        <v>13.1</v>
      </c>
      <c r="M367" s="18">
        <f>L367*(H367*H367)*0.7854/10000</f>
        <v>9.2855878499999989</v>
      </c>
      <c r="N367" s="5"/>
      <c r="O367" s="8" t="s">
        <v>19</v>
      </c>
    </row>
    <row r="368" spans="1:15" s="14" customFormat="1" x14ac:dyDescent="0.25">
      <c r="A368" s="13">
        <v>376</v>
      </c>
      <c r="B368" s="16">
        <v>376</v>
      </c>
      <c r="C368" s="13" t="s">
        <v>3199</v>
      </c>
      <c r="D368" s="6" t="s">
        <v>596</v>
      </c>
      <c r="E368" s="13" t="s">
        <v>2931</v>
      </c>
      <c r="F368" s="13"/>
      <c r="G368" s="17">
        <v>6.2</v>
      </c>
      <c r="H368" s="16">
        <v>87</v>
      </c>
      <c r="I368" s="18">
        <v>3.6859999999999999</v>
      </c>
      <c r="J368" s="13"/>
      <c r="K368" s="13"/>
      <c r="L368" s="17">
        <f>G368-J368</f>
        <v>6.2</v>
      </c>
      <c r="M368" s="18">
        <f>L368*(H368*H368)*0.7854/10000</f>
        <v>3.685709412</v>
      </c>
      <c r="N368" s="5"/>
      <c r="O368" s="8" t="s">
        <v>30</v>
      </c>
    </row>
    <row r="369" spans="1:15" s="14" customFormat="1" x14ac:dyDescent="0.25">
      <c r="A369" s="13">
        <v>377</v>
      </c>
      <c r="B369" s="16">
        <v>377</v>
      </c>
      <c r="C369" s="13" t="s">
        <v>3200</v>
      </c>
      <c r="D369" s="6">
        <v>1442</v>
      </c>
      <c r="E369" s="13" t="s">
        <v>2931</v>
      </c>
      <c r="F369" s="13"/>
      <c r="G369" s="17">
        <v>9.9</v>
      </c>
      <c r="H369" s="16">
        <v>93</v>
      </c>
      <c r="I369" s="18">
        <v>6.7249999999999996</v>
      </c>
      <c r="J369" s="13"/>
      <c r="K369" s="13"/>
      <c r="L369" s="17">
        <f>G369-J369</f>
        <v>9.9</v>
      </c>
      <c r="M369" s="18">
        <f>L369*(H369*H369)*0.7854/10000</f>
        <v>6.7249953539999998</v>
      </c>
      <c r="N369" s="5"/>
      <c r="O369" s="8" t="s">
        <v>19</v>
      </c>
    </row>
    <row r="370" spans="1:15" s="14" customFormat="1" x14ac:dyDescent="0.25">
      <c r="A370" s="13">
        <v>378</v>
      </c>
      <c r="B370" s="16">
        <v>378</v>
      </c>
      <c r="C370" s="13" t="s">
        <v>3201</v>
      </c>
      <c r="D370" s="6" t="s">
        <v>599</v>
      </c>
      <c r="E370" s="13" t="s">
        <v>2931</v>
      </c>
      <c r="F370" s="13"/>
      <c r="G370" s="17">
        <v>9.8000000000000007</v>
      </c>
      <c r="H370" s="16">
        <v>112</v>
      </c>
      <c r="I370" s="18">
        <v>9.6549999999999994</v>
      </c>
      <c r="J370" s="13">
        <v>0.3</v>
      </c>
      <c r="K370" s="13"/>
      <c r="L370" s="17">
        <f>G370-J370</f>
        <v>9.5</v>
      </c>
      <c r="M370" s="18">
        <f>L370*(H370*H370)*0.7854/10000</f>
        <v>9.3594547200000004</v>
      </c>
      <c r="N370" s="5"/>
      <c r="O370" s="8" t="s">
        <v>19</v>
      </c>
    </row>
    <row r="371" spans="1:15" s="14" customFormat="1" x14ac:dyDescent="0.25">
      <c r="A371" s="13">
        <v>379</v>
      </c>
      <c r="B371" s="16">
        <v>379</v>
      </c>
      <c r="C371" s="13" t="s">
        <v>3202</v>
      </c>
      <c r="D371" s="6" t="s">
        <v>601</v>
      </c>
      <c r="E371" s="13" t="s">
        <v>2931</v>
      </c>
      <c r="F371" s="13"/>
      <c r="G371" s="17">
        <v>11.3</v>
      </c>
      <c r="H371" s="16">
        <v>76</v>
      </c>
      <c r="I371" s="18">
        <v>5.1260000000000003</v>
      </c>
      <c r="J371" s="13"/>
      <c r="K371" s="13"/>
      <c r="L371" s="17">
        <f>G371-J371</f>
        <v>11.3</v>
      </c>
      <c r="M371" s="18">
        <f>L371*(H371*H371)*0.7854/10000</f>
        <v>5.126211552</v>
      </c>
      <c r="N371" s="5"/>
      <c r="O371" s="8" t="s">
        <v>30</v>
      </c>
    </row>
    <row r="372" spans="1:15" s="14" customFormat="1" x14ac:dyDescent="0.25">
      <c r="A372" s="13">
        <v>380</v>
      </c>
      <c r="B372" s="16">
        <v>380</v>
      </c>
      <c r="C372" s="13" t="s">
        <v>3203</v>
      </c>
      <c r="D372" s="6" t="s">
        <v>603</v>
      </c>
      <c r="E372" s="13" t="s">
        <v>2931</v>
      </c>
      <c r="F372" s="13"/>
      <c r="G372" s="17">
        <v>4.7</v>
      </c>
      <c r="H372" s="16">
        <v>74</v>
      </c>
      <c r="I372" s="18">
        <v>2.0209999999999999</v>
      </c>
      <c r="J372" s="13"/>
      <c r="K372" s="13"/>
      <c r="L372" s="17">
        <f>G372-J372</f>
        <v>4.7</v>
      </c>
      <c r="M372" s="18">
        <f>L372*(H372*H372)*0.7854/10000</f>
        <v>2.0213996879999998</v>
      </c>
      <c r="N372" s="5"/>
      <c r="O372" s="8" t="s">
        <v>19</v>
      </c>
    </row>
    <row r="373" spans="1:15" s="14" customFormat="1" x14ac:dyDescent="0.25">
      <c r="A373" s="13">
        <v>381</v>
      </c>
      <c r="B373" s="16">
        <v>381</v>
      </c>
      <c r="C373" s="13" t="s">
        <v>3204</v>
      </c>
      <c r="D373" s="6" t="s">
        <v>605</v>
      </c>
      <c r="E373" s="13" t="s">
        <v>2931</v>
      </c>
      <c r="F373" s="13"/>
      <c r="G373" s="17">
        <v>12.7</v>
      </c>
      <c r="H373" s="16">
        <v>98</v>
      </c>
      <c r="I373" s="18">
        <v>9.58</v>
      </c>
      <c r="J373" s="13">
        <v>0.3</v>
      </c>
      <c r="K373" s="13"/>
      <c r="L373" s="17">
        <f>G373-J373</f>
        <v>12.399999999999999</v>
      </c>
      <c r="M373" s="18">
        <f>L373*(H373*H373)*0.7854/10000</f>
        <v>9.3532971840000005</v>
      </c>
      <c r="N373" s="5"/>
      <c r="O373" s="8" t="s">
        <v>19</v>
      </c>
    </row>
    <row r="374" spans="1:15" s="14" customFormat="1" x14ac:dyDescent="0.25">
      <c r="A374" s="13">
        <v>382</v>
      </c>
      <c r="B374" s="16">
        <v>382</v>
      </c>
      <c r="C374" s="13" t="s">
        <v>3205</v>
      </c>
      <c r="D374" s="6" t="s">
        <v>607</v>
      </c>
      <c r="E374" s="13" t="s">
        <v>2931</v>
      </c>
      <c r="F374" s="13"/>
      <c r="G374" s="17">
        <v>5.8</v>
      </c>
      <c r="H374" s="16">
        <v>88</v>
      </c>
      <c r="I374" s="18">
        <v>3.528</v>
      </c>
      <c r="J374" s="13"/>
      <c r="K374" s="13"/>
      <c r="L374" s="17">
        <f>G374-J374</f>
        <v>5.8</v>
      </c>
      <c r="M374" s="18">
        <f>L374*(H374*H374)*0.7854/10000</f>
        <v>3.527639808</v>
      </c>
      <c r="N374" s="5"/>
      <c r="O374" s="8" t="s">
        <v>30</v>
      </c>
    </row>
    <row r="375" spans="1:15" s="14" customFormat="1" x14ac:dyDescent="0.25">
      <c r="A375" s="13">
        <v>383</v>
      </c>
      <c r="B375" s="16">
        <v>383</v>
      </c>
      <c r="C375" s="13" t="s">
        <v>3206</v>
      </c>
      <c r="D375" s="6" t="s">
        <v>609</v>
      </c>
      <c r="E375" s="13" t="s">
        <v>2931</v>
      </c>
      <c r="F375" s="13"/>
      <c r="G375" s="17">
        <v>6.7</v>
      </c>
      <c r="H375" s="16">
        <v>84</v>
      </c>
      <c r="I375" s="18">
        <v>3.7130000000000001</v>
      </c>
      <c r="J375" s="13"/>
      <c r="K375" s="13"/>
      <c r="L375" s="17">
        <f>G375-J375</f>
        <v>6.7</v>
      </c>
      <c r="M375" s="18">
        <f>L375*(H375*H375)*0.7854/10000</f>
        <v>3.712994208</v>
      </c>
      <c r="N375" s="5"/>
      <c r="O375" s="8" t="s">
        <v>19</v>
      </c>
    </row>
    <row r="376" spans="1:15" s="14" customFormat="1" x14ac:dyDescent="0.25">
      <c r="A376" s="13">
        <v>384</v>
      </c>
      <c r="B376" s="16">
        <v>384</v>
      </c>
      <c r="C376" s="13" t="s">
        <v>3207</v>
      </c>
      <c r="D376" s="6">
        <v>1176</v>
      </c>
      <c r="E376" s="13" t="s">
        <v>2931</v>
      </c>
      <c r="F376" s="13"/>
      <c r="G376" s="17">
        <v>11.3</v>
      </c>
      <c r="H376" s="16">
        <v>129</v>
      </c>
      <c r="I376" s="18">
        <v>14.769</v>
      </c>
      <c r="J376" s="13">
        <v>0.5</v>
      </c>
      <c r="K376" s="13"/>
      <c r="L376" s="17">
        <f>G376-J376</f>
        <v>10.8</v>
      </c>
      <c r="M376" s="18">
        <f>L376*(H376*H376)*0.7854/10000</f>
        <v>14.115428712000002</v>
      </c>
      <c r="N376" s="5"/>
      <c r="O376" s="8" t="s">
        <v>19</v>
      </c>
    </row>
    <row r="377" spans="1:15" s="14" customFormat="1" x14ac:dyDescent="0.25">
      <c r="A377" s="13">
        <v>385</v>
      </c>
      <c r="B377" s="16">
        <v>385</v>
      </c>
      <c r="C377" s="13" t="s">
        <v>3208</v>
      </c>
      <c r="D377" s="6" t="s">
        <v>612</v>
      </c>
      <c r="E377" s="13" t="s">
        <v>2931</v>
      </c>
      <c r="F377" s="13"/>
      <c r="G377" s="17">
        <v>12.2</v>
      </c>
      <c r="H377" s="16">
        <v>98</v>
      </c>
      <c r="I377" s="18">
        <v>9.202</v>
      </c>
      <c r="J377" s="13"/>
      <c r="K377" s="13"/>
      <c r="L377" s="17">
        <f>G377-J377</f>
        <v>12.2</v>
      </c>
      <c r="M377" s="18">
        <f>L377*(H377*H377)*0.7854/10000</f>
        <v>9.2024375519999992</v>
      </c>
      <c r="N377" s="5"/>
      <c r="O377" s="8" t="s">
        <v>19</v>
      </c>
    </row>
    <row r="378" spans="1:15" s="14" customFormat="1" x14ac:dyDescent="0.25">
      <c r="A378" s="13">
        <v>386</v>
      </c>
      <c r="B378" s="16">
        <v>386</v>
      </c>
      <c r="C378" s="13" t="s">
        <v>3209</v>
      </c>
      <c r="D378" s="6" t="s">
        <v>614</v>
      </c>
      <c r="E378" s="13" t="s">
        <v>2931</v>
      </c>
      <c r="F378" s="13"/>
      <c r="G378" s="17">
        <v>8.8000000000000007</v>
      </c>
      <c r="H378" s="16">
        <v>100</v>
      </c>
      <c r="I378" s="18">
        <v>6.9119999999999999</v>
      </c>
      <c r="J378" s="13"/>
      <c r="K378" s="13"/>
      <c r="L378" s="17">
        <f>G378-J378</f>
        <v>8.8000000000000007</v>
      </c>
      <c r="M378" s="18">
        <f>L378*(H378*H378)*0.7854/10000</f>
        <v>6.9115199999999994</v>
      </c>
      <c r="N378" s="5"/>
      <c r="O378" s="8" t="s">
        <v>19</v>
      </c>
    </row>
    <row r="379" spans="1:15" s="14" customFormat="1" x14ac:dyDescent="0.25">
      <c r="A379" s="13">
        <v>387</v>
      </c>
      <c r="B379" s="16">
        <v>387</v>
      </c>
      <c r="C379" s="13" t="s">
        <v>3210</v>
      </c>
      <c r="D379" s="6" t="s">
        <v>616</v>
      </c>
      <c r="E379" s="13" t="s">
        <v>2931</v>
      </c>
      <c r="F379" s="13"/>
      <c r="G379" s="17">
        <v>11.6</v>
      </c>
      <c r="H379" s="16">
        <v>90</v>
      </c>
      <c r="I379" s="18">
        <v>7.38</v>
      </c>
      <c r="J379" s="13"/>
      <c r="K379" s="13"/>
      <c r="L379" s="17">
        <f>G379-J379</f>
        <v>11.6</v>
      </c>
      <c r="M379" s="18">
        <f>L379*(H379*H379)*0.7854/10000</f>
        <v>7.3796183999999991</v>
      </c>
      <c r="N379" s="5"/>
      <c r="O379" s="8" t="s">
        <v>19</v>
      </c>
    </row>
    <row r="380" spans="1:15" s="14" customFormat="1" x14ac:dyDescent="0.25">
      <c r="A380" s="13">
        <v>388</v>
      </c>
      <c r="B380" s="16">
        <v>388</v>
      </c>
      <c r="C380" s="13" t="s">
        <v>3211</v>
      </c>
      <c r="D380" s="6" t="s">
        <v>618</v>
      </c>
      <c r="E380" s="13" t="s">
        <v>2931</v>
      </c>
      <c r="F380" s="13"/>
      <c r="G380" s="17">
        <v>8.9</v>
      </c>
      <c r="H380" s="16">
        <v>83</v>
      </c>
      <c r="I380" s="18">
        <v>4.8150000000000004</v>
      </c>
      <c r="J380" s="13"/>
      <c r="K380" s="13"/>
      <c r="L380" s="17">
        <f>G380-J380</f>
        <v>8.9</v>
      </c>
      <c r="M380" s="18">
        <f>L380*(H380*H380)*0.7854/10000</f>
        <v>4.8154523340000006</v>
      </c>
      <c r="N380" s="5"/>
      <c r="O380" s="8" t="s">
        <v>19</v>
      </c>
    </row>
    <row r="381" spans="1:15" s="14" customFormat="1" x14ac:dyDescent="0.25">
      <c r="A381" s="13">
        <v>389</v>
      </c>
      <c r="B381" s="16">
        <v>389</v>
      </c>
      <c r="C381" s="13" t="s">
        <v>3212</v>
      </c>
      <c r="D381" s="6">
        <v>1180</v>
      </c>
      <c r="E381" s="13" t="s">
        <v>2931</v>
      </c>
      <c r="F381" s="13"/>
      <c r="G381" s="17">
        <v>13.2</v>
      </c>
      <c r="H381" s="16">
        <v>65</v>
      </c>
      <c r="I381" s="18">
        <v>4.38</v>
      </c>
      <c r="J381" s="13"/>
      <c r="K381" s="13"/>
      <c r="L381" s="17">
        <f>G381-J381</f>
        <v>13.2</v>
      </c>
      <c r="M381" s="18">
        <f>L381*(H381*H381)*0.7854/10000</f>
        <v>4.3801758</v>
      </c>
      <c r="N381" s="5"/>
      <c r="O381" s="8" t="s">
        <v>19</v>
      </c>
    </row>
    <row r="382" spans="1:15" s="14" customFormat="1" x14ac:dyDescent="0.25">
      <c r="A382" s="13">
        <v>390</v>
      </c>
      <c r="B382" s="16">
        <v>390</v>
      </c>
      <c r="C382" s="13" t="s">
        <v>3213</v>
      </c>
      <c r="D382" s="6">
        <v>1181</v>
      </c>
      <c r="E382" s="13" t="s">
        <v>2931</v>
      </c>
      <c r="F382" s="13"/>
      <c r="G382" s="17">
        <v>10.8</v>
      </c>
      <c r="H382" s="16">
        <v>109</v>
      </c>
      <c r="I382" s="18">
        <v>10.077999999999999</v>
      </c>
      <c r="J382" s="13">
        <v>0.5</v>
      </c>
      <c r="K382" s="13"/>
      <c r="L382" s="17">
        <f>G382-J382</f>
        <v>10.3</v>
      </c>
      <c r="M382" s="18">
        <f>L382*(H382*H382)*0.7854/10000</f>
        <v>9.611277522</v>
      </c>
      <c r="N382" s="5"/>
      <c r="O382" s="8" t="s">
        <v>19</v>
      </c>
    </row>
    <row r="383" spans="1:15" s="14" customFormat="1" x14ac:dyDescent="0.25">
      <c r="A383" s="13">
        <v>391</v>
      </c>
      <c r="B383" s="16">
        <v>391</v>
      </c>
      <c r="C383" s="13" t="s">
        <v>3214</v>
      </c>
      <c r="D383" s="6">
        <v>1182</v>
      </c>
      <c r="E383" s="13" t="s">
        <v>2931</v>
      </c>
      <c r="F383" s="13"/>
      <c r="G383" s="17">
        <v>12.7</v>
      </c>
      <c r="H383" s="16">
        <v>102</v>
      </c>
      <c r="I383" s="18">
        <v>10.378</v>
      </c>
      <c r="J383" s="13">
        <v>0.4</v>
      </c>
      <c r="K383" s="13"/>
      <c r="L383" s="17">
        <f>G383-J383</f>
        <v>12.299999999999999</v>
      </c>
      <c r="M383" s="18">
        <f>L383*(H383*H383)*0.7854/10000</f>
        <v>10.050700967999999</v>
      </c>
      <c r="N383" s="5"/>
      <c r="O383" s="8" t="s">
        <v>30</v>
      </c>
    </row>
    <row r="384" spans="1:15" s="14" customFormat="1" x14ac:dyDescent="0.25">
      <c r="A384" s="13">
        <v>392</v>
      </c>
      <c r="B384" s="16">
        <v>392</v>
      </c>
      <c r="C384" s="13" t="s">
        <v>3215</v>
      </c>
      <c r="D384" s="6" t="s">
        <v>623</v>
      </c>
      <c r="E384" s="13" t="s">
        <v>2931</v>
      </c>
      <c r="F384" s="13"/>
      <c r="G384" s="17">
        <v>10.5</v>
      </c>
      <c r="H384" s="16">
        <v>83</v>
      </c>
      <c r="I384" s="18">
        <v>5.681</v>
      </c>
      <c r="J384" s="13"/>
      <c r="K384" s="13"/>
      <c r="L384" s="17">
        <f>G384-J384</f>
        <v>10.5</v>
      </c>
      <c r="M384" s="18">
        <f>L384*(H384*H384)*0.7854/10000</f>
        <v>5.6811516299999996</v>
      </c>
      <c r="N384" s="5"/>
      <c r="O384" s="8" t="s">
        <v>19</v>
      </c>
    </row>
    <row r="385" spans="1:15" s="14" customFormat="1" x14ac:dyDescent="0.25">
      <c r="A385" s="13">
        <v>393</v>
      </c>
      <c r="B385" s="16">
        <v>393</v>
      </c>
      <c r="C385" s="13" t="s">
        <v>3216</v>
      </c>
      <c r="D385" s="6" t="s">
        <v>625</v>
      </c>
      <c r="E385" s="13" t="s">
        <v>2931</v>
      </c>
      <c r="F385" s="13"/>
      <c r="G385" s="17">
        <v>5.8</v>
      </c>
      <c r="H385" s="16">
        <v>78</v>
      </c>
      <c r="I385" s="18">
        <v>2.7709999999999999</v>
      </c>
      <c r="J385" s="13"/>
      <c r="K385" s="13"/>
      <c r="L385" s="17">
        <f>G385-J385</f>
        <v>5.8</v>
      </c>
      <c r="M385" s="18">
        <f>L385*(H385*H385)*0.7854/10000</f>
        <v>2.7714566879999998</v>
      </c>
      <c r="N385" s="5"/>
      <c r="O385" s="8" t="s">
        <v>19</v>
      </c>
    </row>
    <row r="386" spans="1:15" s="14" customFormat="1" x14ac:dyDescent="0.25">
      <c r="A386" s="13">
        <v>395</v>
      </c>
      <c r="B386" s="16">
        <v>395</v>
      </c>
      <c r="C386" s="13" t="s">
        <v>3217</v>
      </c>
      <c r="D386" s="6" t="s">
        <v>627</v>
      </c>
      <c r="E386" s="13" t="s">
        <v>2931</v>
      </c>
      <c r="F386" s="13"/>
      <c r="G386" s="17">
        <v>4.9000000000000004</v>
      </c>
      <c r="H386" s="16">
        <v>90</v>
      </c>
      <c r="I386" s="18">
        <v>3.117</v>
      </c>
      <c r="J386" s="13">
        <v>0.5</v>
      </c>
      <c r="K386" s="13"/>
      <c r="L386" s="17">
        <f>G386-J386</f>
        <v>4.4000000000000004</v>
      </c>
      <c r="M386" s="18">
        <f>L386*(H386*H386)*0.7854/10000</f>
        <v>2.7991655999999998</v>
      </c>
      <c r="N386" s="5"/>
      <c r="O386" s="8" t="s">
        <v>30</v>
      </c>
    </row>
    <row r="387" spans="1:15" s="14" customFormat="1" x14ac:dyDescent="0.25">
      <c r="A387" s="13">
        <v>396</v>
      </c>
      <c r="B387" s="16">
        <v>396</v>
      </c>
      <c r="C387" s="13" t="s">
        <v>3218</v>
      </c>
      <c r="D387" s="6">
        <v>1186</v>
      </c>
      <c r="E387" s="13" t="s">
        <v>2931</v>
      </c>
      <c r="F387" s="13"/>
      <c r="G387" s="17">
        <v>10.6</v>
      </c>
      <c r="H387" s="16">
        <v>88</v>
      </c>
      <c r="I387" s="18">
        <v>6.4470000000000001</v>
      </c>
      <c r="J387" s="13">
        <v>0.3</v>
      </c>
      <c r="K387" s="13"/>
      <c r="L387" s="17">
        <f>G387-J387</f>
        <v>10.299999999999999</v>
      </c>
      <c r="M387" s="18">
        <f>L387*(H387*H387)*0.7854/10000</f>
        <v>6.2646017279999997</v>
      </c>
      <c r="N387" s="5"/>
      <c r="O387" s="8" t="s">
        <v>19</v>
      </c>
    </row>
    <row r="388" spans="1:15" s="14" customFormat="1" x14ac:dyDescent="0.25">
      <c r="A388" s="13">
        <v>397</v>
      </c>
      <c r="B388" s="16">
        <v>397</v>
      </c>
      <c r="C388" s="13" t="s">
        <v>3219</v>
      </c>
      <c r="D388" s="6" t="s">
        <v>630</v>
      </c>
      <c r="E388" s="13" t="s">
        <v>2931</v>
      </c>
      <c r="F388" s="13"/>
      <c r="G388" s="17">
        <v>10.199999999999999</v>
      </c>
      <c r="H388" s="16">
        <v>102</v>
      </c>
      <c r="I388" s="18">
        <v>8.3350000000000009</v>
      </c>
      <c r="J388" s="13">
        <v>0.4</v>
      </c>
      <c r="K388" s="13"/>
      <c r="L388" s="17">
        <f>G388-J388</f>
        <v>9.7999999999999989</v>
      </c>
      <c r="M388" s="18">
        <f>L388*(H388*H388)*0.7854/10000</f>
        <v>8.0078755679999993</v>
      </c>
      <c r="N388" s="5"/>
      <c r="O388" s="8" t="s">
        <v>19</v>
      </c>
    </row>
    <row r="389" spans="1:15" s="14" customFormat="1" x14ac:dyDescent="0.25">
      <c r="A389" s="13">
        <v>398</v>
      </c>
      <c r="B389" s="16">
        <v>398</v>
      </c>
      <c r="C389" s="13" t="s">
        <v>3220</v>
      </c>
      <c r="D389" s="6" t="s">
        <v>632</v>
      </c>
      <c r="E389" s="13" t="s">
        <v>2931</v>
      </c>
      <c r="F389" s="13"/>
      <c r="G389" s="17">
        <v>10.9</v>
      </c>
      <c r="H389" s="16">
        <v>85</v>
      </c>
      <c r="I389" s="18">
        <v>6.1849999999999996</v>
      </c>
      <c r="J389" s="13"/>
      <c r="K389" s="13"/>
      <c r="L389" s="17">
        <f>G389-J389</f>
        <v>10.9</v>
      </c>
      <c r="M389" s="18">
        <f>L389*(H389*H389)*0.7854/10000</f>
        <v>6.18522135</v>
      </c>
      <c r="N389" s="5"/>
      <c r="O389" s="8" t="s">
        <v>30</v>
      </c>
    </row>
    <row r="390" spans="1:15" s="14" customFormat="1" x14ac:dyDescent="0.25">
      <c r="A390" s="13">
        <v>399</v>
      </c>
      <c r="B390" s="16">
        <v>399</v>
      </c>
      <c r="C390" s="13" t="s">
        <v>3221</v>
      </c>
      <c r="D390" s="6" t="s">
        <v>634</v>
      </c>
      <c r="E390" s="13" t="s">
        <v>2931</v>
      </c>
      <c r="F390" s="13"/>
      <c r="G390" s="17">
        <v>5.2</v>
      </c>
      <c r="H390" s="16">
        <v>83</v>
      </c>
      <c r="I390" s="18">
        <v>2.8140000000000001</v>
      </c>
      <c r="J390" s="13"/>
      <c r="K390" s="13"/>
      <c r="L390" s="17">
        <f>G390-J390</f>
        <v>5.2</v>
      </c>
      <c r="M390" s="18">
        <f>L390*(H390*H390)*0.7854/10000</f>
        <v>2.8135227120000001</v>
      </c>
      <c r="N390" s="5"/>
      <c r="O390" s="8" t="s">
        <v>19</v>
      </c>
    </row>
    <row r="391" spans="1:15" s="14" customFormat="1" x14ac:dyDescent="0.25">
      <c r="A391" s="13">
        <v>400</v>
      </c>
      <c r="B391" s="16">
        <v>400</v>
      </c>
      <c r="C391" s="13" t="s">
        <v>3222</v>
      </c>
      <c r="D391" s="6">
        <v>1188</v>
      </c>
      <c r="E391" s="13" t="s">
        <v>2931</v>
      </c>
      <c r="F391" s="13"/>
      <c r="G391" s="17">
        <v>12.5</v>
      </c>
      <c r="H391" s="16">
        <v>106</v>
      </c>
      <c r="I391" s="18">
        <v>11.031000000000001</v>
      </c>
      <c r="J391" s="13"/>
      <c r="K391" s="13"/>
      <c r="L391" s="17">
        <f>G391-J391</f>
        <v>12.5</v>
      </c>
      <c r="M391" s="18">
        <f>L391*(H391*H391)*0.7854/10000</f>
        <v>11.030942999999999</v>
      </c>
      <c r="N391" s="5"/>
      <c r="O391" s="8" t="s">
        <v>19</v>
      </c>
    </row>
    <row r="392" spans="1:15" s="14" customFormat="1" x14ac:dyDescent="0.25">
      <c r="A392" s="13">
        <v>401</v>
      </c>
      <c r="B392" s="16">
        <v>401</v>
      </c>
      <c r="C392" s="13" t="s">
        <v>3223</v>
      </c>
      <c r="D392" s="6" t="s">
        <v>637</v>
      </c>
      <c r="E392" s="13" t="s">
        <v>2931</v>
      </c>
      <c r="F392" s="13"/>
      <c r="G392" s="17">
        <v>10.6</v>
      </c>
      <c r="H392" s="16">
        <v>66</v>
      </c>
      <c r="I392" s="18">
        <v>3.6259999999999999</v>
      </c>
      <c r="J392" s="13"/>
      <c r="K392" s="13"/>
      <c r="L392" s="17">
        <f>G392-J392</f>
        <v>10.6</v>
      </c>
      <c r="M392" s="18">
        <f>L392*(H392*H392)*0.7854/10000</f>
        <v>3.6264745439999997</v>
      </c>
      <c r="N392" s="5"/>
      <c r="O392" s="8" t="s">
        <v>19</v>
      </c>
    </row>
    <row r="393" spans="1:15" s="14" customFormat="1" x14ac:dyDescent="0.25">
      <c r="A393" s="13">
        <v>402</v>
      </c>
      <c r="B393" s="16">
        <v>402</v>
      </c>
      <c r="C393" s="13" t="s">
        <v>3224</v>
      </c>
      <c r="D393" s="6" t="s">
        <v>639</v>
      </c>
      <c r="E393" s="13" t="s">
        <v>2931</v>
      </c>
      <c r="F393" s="13"/>
      <c r="G393" s="17">
        <v>6.3</v>
      </c>
      <c r="H393" s="16">
        <v>65</v>
      </c>
      <c r="I393" s="18">
        <v>2.0910000000000002</v>
      </c>
      <c r="J393" s="13"/>
      <c r="K393" s="13"/>
      <c r="L393" s="17">
        <f>G393-J393</f>
        <v>6.3</v>
      </c>
      <c r="M393" s="18">
        <f>L393*(H393*H393)*0.7854/10000</f>
        <v>2.0905384499999999</v>
      </c>
      <c r="N393" s="5"/>
      <c r="O393" s="8" t="s">
        <v>19</v>
      </c>
    </row>
    <row r="394" spans="1:15" s="14" customFormat="1" x14ac:dyDescent="0.25">
      <c r="A394" s="13">
        <v>403</v>
      </c>
      <c r="B394" s="16">
        <v>403</v>
      </c>
      <c r="C394" s="13" t="s">
        <v>3225</v>
      </c>
      <c r="D394" s="6" t="s">
        <v>641</v>
      </c>
      <c r="E394" s="13" t="s">
        <v>2931</v>
      </c>
      <c r="F394" s="13"/>
      <c r="G394" s="17">
        <v>7</v>
      </c>
      <c r="H394" s="16">
        <v>88</v>
      </c>
      <c r="I394" s="18">
        <v>4.2569999999999997</v>
      </c>
      <c r="J394" s="13">
        <v>0.3</v>
      </c>
      <c r="K394" s="13"/>
      <c r="L394" s="17">
        <f>G394-J394</f>
        <v>6.7</v>
      </c>
      <c r="M394" s="18">
        <f>L394*(H394*H394)*0.7854/10000</f>
        <v>4.0750321920000001</v>
      </c>
      <c r="N394" s="5" t="s">
        <v>53</v>
      </c>
      <c r="O394" s="8" t="s">
        <v>19</v>
      </c>
    </row>
    <row r="395" spans="1:15" s="14" customFormat="1" x14ac:dyDescent="0.25">
      <c r="A395" s="13">
        <v>404</v>
      </c>
      <c r="B395" s="16">
        <v>404</v>
      </c>
      <c r="C395" s="13" t="s">
        <v>3226</v>
      </c>
      <c r="D395" s="6" t="s">
        <v>643</v>
      </c>
      <c r="E395" s="13" t="s">
        <v>2931</v>
      </c>
      <c r="F395" s="13"/>
      <c r="G395" s="17">
        <v>6.4</v>
      </c>
      <c r="H395" s="16">
        <v>75</v>
      </c>
      <c r="I395" s="18">
        <v>2.827</v>
      </c>
      <c r="J395" s="13"/>
      <c r="K395" s="13"/>
      <c r="L395" s="17">
        <f>G395-J395</f>
        <v>6.4</v>
      </c>
      <c r="M395" s="18">
        <f>L395*(H395*H395)*0.7854/10000</f>
        <v>2.8274399999999997</v>
      </c>
      <c r="N395" s="5" t="s">
        <v>361</v>
      </c>
      <c r="O395" s="8" t="s">
        <v>19</v>
      </c>
    </row>
    <row r="396" spans="1:15" s="14" customFormat="1" x14ac:dyDescent="0.25">
      <c r="A396" s="13">
        <v>405</v>
      </c>
      <c r="B396" s="16">
        <v>405</v>
      </c>
      <c r="C396" s="13" t="s">
        <v>3227</v>
      </c>
      <c r="D396" s="6" t="s">
        <v>645</v>
      </c>
      <c r="E396" s="13" t="s">
        <v>2931</v>
      </c>
      <c r="F396" s="13"/>
      <c r="G396" s="17">
        <v>10.7</v>
      </c>
      <c r="H396" s="16">
        <v>78</v>
      </c>
      <c r="I396" s="18">
        <v>5.1130000000000004</v>
      </c>
      <c r="J396" s="13"/>
      <c r="K396" s="13"/>
      <c r="L396" s="17">
        <f>G396-J396</f>
        <v>10.7</v>
      </c>
      <c r="M396" s="18">
        <f>L396*(H396*H396)*0.7854/10000</f>
        <v>5.1128597519999994</v>
      </c>
      <c r="N396" s="5"/>
      <c r="O396" s="8" t="s">
        <v>19</v>
      </c>
    </row>
    <row r="397" spans="1:15" s="14" customFormat="1" x14ac:dyDescent="0.25">
      <c r="A397" s="13">
        <v>406</v>
      </c>
      <c r="B397" s="16">
        <v>406</v>
      </c>
      <c r="C397" s="13" t="s">
        <v>3228</v>
      </c>
      <c r="D397" s="6">
        <v>5342</v>
      </c>
      <c r="E397" s="13" t="s">
        <v>2931</v>
      </c>
      <c r="F397" s="13"/>
      <c r="G397" s="17">
        <v>12.3</v>
      </c>
      <c r="H397" s="16">
        <v>107</v>
      </c>
      <c r="I397" s="18">
        <v>11.06</v>
      </c>
      <c r="J397" s="13">
        <v>0.4</v>
      </c>
      <c r="K397" s="13"/>
      <c r="L397" s="17">
        <f>G397-J397</f>
        <v>11.9</v>
      </c>
      <c r="M397" s="18">
        <f>L397*(H397*H397)*0.7854/10000</f>
        <v>10.700533074000001</v>
      </c>
      <c r="N397" s="5"/>
      <c r="O397" s="8" t="s">
        <v>19</v>
      </c>
    </row>
    <row r="398" spans="1:15" s="14" customFormat="1" x14ac:dyDescent="0.25">
      <c r="A398" s="13">
        <v>407</v>
      </c>
      <c r="B398" s="16">
        <v>407</v>
      </c>
      <c r="C398" s="13" t="s">
        <v>3229</v>
      </c>
      <c r="D398" s="6" t="s">
        <v>648</v>
      </c>
      <c r="E398" s="13" t="s">
        <v>2931</v>
      </c>
      <c r="F398" s="13"/>
      <c r="G398" s="17">
        <v>5.7</v>
      </c>
      <c r="H398" s="16">
        <v>74</v>
      </c>
      <c r="I398" s="18">
        <v>2.4510000000000001</v>
      </c>
      <c r="J398" s="13"/>
      <c r="K398" s="13"/>
      <c r="L398" s="17">
        <f>G398-J398</f>
        <v>5.7</v>
      </c>
      <c r="M398" s="18">
        <f>L398*(H398*H398)*0.7854/10000</f>
        <v>2.4514847280000001</v>
      </c>
      <c r="N398" s="5"/>
      <c r="O398" s="8" t="s">
        <v>30</v>
      </c>
    </row>
    <row r="399" spans="1:15" s="14" customFormat="1" x14ac:dyDescent="0.25">
      <c r="A399" s="13">
        <v>408</v>
      </c>
      <c r="B399" s="16">
        <v>408</v>
      </c>
      <c r="C399" s="13" t="s">
        <v>3230</v>
      </c>
      <c r="D399" s="6">
        <v>1192</v>
      </c>
      <c r="E399" s="13" t="s">
        <v>2931</v>
      </c>
      <c r="F399" s="13"/>
      <c r="G399" s="17">
        <v>13.6</v>
      </c>
      <c r="H399" s="16">
        <v>92</v>
      </c>
      <c r="I399" s="18">
        <v>9.0410000000000004</v>
      </c>
      <c r="J399" s="13"/>
      <c r="K399" s="13"/>
      <c r="L399" s="17">
        <f>G399-J399</f>
        <v>13.6</v>
      </c>
      <c r="M399" s="18">
        <f>L399*(H399*H399)*0.7854/10000</f>
        <v>9.0407708160000002</v>
      </c>
      <c r="N399" s="5"/>
      <c r="O399" s="8" t="s">
        <v>19</v>
      </c>
    </row>
    <row r="400" spans="1:15" s="14" customFormat="1" x14ac:dyDescent="0.25">
      <c r="A400" s="13">
        <v>409</v>
      </c>
      <c r="B400" s="16">
        <v>409</v>
      </c>
      <c r="C400" s="13" t="s">
        <v>3231</v>
      </c>
      <c r="D400" s="6" t="s">
        <v>651</v>
      </c>
      <c r="E400" s="13" t="s">
        <v>2931</v>
      </c>
      <c r="F400" s="13"/>
      <c r="G400" s="17">
        <v>9.6</v>
      </c>
      <c r="H400" s="16">
        <v>133</v>
      </c>
      <c r="I400" s="18">
        <v>13.337</v>
      </c>
      <c r="J400" s="13"/>
      <c r="K400" s="13"/>
      <c r="L400" s="17">
        <f>G400-J400</f>
        <v>9.6</v>
      </c>
      <c r="M400" s="18">
        <f>L400*(H400*H400)*0.7854/10000</f>
        <v>13.337222976</v>
      </c>
      <c r="N400" s="5"/>
      <c r="O400" s="8" t="s">
        <v>19</v>
      </c>
    </row>
    <row r="401" spans="1:15" s="14" customFormat="1" x14ac:dyDescent="0.25">
      <c r="A401" s="13">
        <v>410</v>
      </c>
      <c r="B401" s="16">
        <v>410</v>
      </c>
      <c r="C401" s="13" t="s">
        <v>3232</v>
      </c>
      <c r="D401" s="6" t="s">
        <v>653</v>
      </c>
      <c r="E401" s="13" t="s">
        <v>2931</v>
      </c>
      <c r="F401" s="13"/>
      <c r="G401" s="17">
        <v>5.2</v>
      </c>
      <c r="H401" s="16">
        <v>123</v>
      </c>
      <c r="I401" s="18">
        <v>6.1790000000000003</v>
      </c>
      <c r="J401" s="13"/>
      <c r="K401" s="13"/>
      <c r="L401" s="17">
        <f>G401-J401</f>
        <v>5.2</v>
      </c>
      <c r="M401" s="18">
        <f>L401*(H401*H401)*0.7854/10000</f>
        <v>6.1788046320000003</v>
      </c>
      <c r="N401" s="5"/>
      <c r="O401" s="8" t="s">
        <v>30</v>
      </c>
    </row>
    <row r="402" spans="1:15" s="14" customFormat="1" x14ac:dyDescent="0.25">
      <c r="A402" s="13">
        <v>411</v>
      </c>
      <c r="B402" s="16">
        <v>411</v>
      </c>
      <c r="C402" s="13" t="s">
        <v>3233</v>
      </c>
      <c r="D402" s="6" t="s">
        <v>655</v>
      </c>
      <c r="E402" s="13" t="s">
        <v>2931</v>
      </c>
      <c r="F402" s="13"/>
      <c r="G402" s="17">
        <v>12.9</v>
      </c>
      <c r="H402" s="16">
        <v>72</v>
      </c>
      <c r="I402" s="18">
        <v>5.2519999999999998</v>
      </c>
      <c r="J402" s="13"/>
      <c r="K402" s="13"/>
      <c r="L402" s="17">
        <f>G402-J402</f>
        <v>12.9</v>
      </c>
      <c r="M402" s="18">
        <f>L402*(H402*H402)*0.7854/10000</f>
        <v>5.2522525440000001</v>
      </c>
      <c r="N402" s="5"/>
      <c r="O402" s="8" t="s">
        <v>19</v>
      </c>
    </row>
    <row r="403" spans="1:15" s="14" customFormat="1" x14ac:dyDescent="0.25">
      <c r="A403" s="13">
        <v>412</v>
      </c>
      <c r="B403" s="16">
        <v>412</v>
      </c>
      <c r="C403" s="13" t="s">
        <v>3234</v>
      </c>
      <c r="D403" s="6">
        <v>1194</v>
      </c>
      <c r="E403" s="13" t="s">
        <v>2931</v>
      </c>
      <c r="F403" s="13"/>
      <c r="G403" s="17">
        <v>13.1</v>
      </c>
      <c r="H403" s="16">
        <v>94</v>
      </c>
      <c r="I403" s="18">
        <v>9.0909999999999993</v>
      </c>
      <c r="J403" s="13"/>
      <c r="K403" s="13"/>
      <c r="L403" s="17">
        <f>G403-J403</f>
        <v>13.1</v>
      </c>
      <c r="M403" s="18">
        <f>L403*(H403*H403)*0.7854/10000</f>
        <v>9.0911306639999996</v>
      </c>
      <c r="N403" s="5"/>
      <c r="O403" s="8" t="s">
        <v>19</v>
      </c>
    </row>
    <row r="404" spans="1:15" s="14" customFormat="1" x14ac:dyDescent="0.25">
      <c r="A404" s="13">
        <v>413</v>
      </c>
      <c r="B404" s="16">
        <v>413</v>
      </c>
      <c r="C404" s="13" t="s">
        <v>3235</v>
      </c>
      <c r="D404" s="6">
        <v>4734</v>
      </c>
      <c r="E404" s="13" t="s">
        <v>2931</v>
      </c>
      <c r="F404" s="13"/>
      <c r="G404" s="17">
        <v>12.9</v>
      </c>
      <c r="H404" s="16">
        <v>111</v>
      </c>
      <c r="I404" s="18">
        <v>12.483000000000001</v>
      </c>
      <c r="J404" s="13"/>
      <c r="K404" s="13"/>
      <c r="L404" s="17">
        <f>G404-J404</f>
        <v>12.9</v>
      </c>
      <c r="M404" s="18">
        <f>L404*(H404*H404)*0.7854/10000</f>
        <v>12.483218285999998</v>
      </c>
      <c r="N404" s="5" t="s">
        <v>157</v>
      </c>
      <c r="O404" s="8" t="s">
        <v>30</v>
      </c>
    </row>
    <row r="405" spans="1:15" s="14" customFormat="1" x14ac:dyDescent="0.25">
      <c r="A405" s="13">
        <v>414</v>
      </c>
      <c r="B405" s="16">
        <v>414</v>
      </c>
      <c r="C405" s="13" t="s">
        <v>3236</v>
      </c>
      <c r="D405" s="6" t="s">
        <v>659</v>
      </c>
      <c r="E405" s="13" t="s">
        <v>2931</v>
      </c>
      <c r="F405" s="13"/>
      <c r="G405" s="17">
        <v>10</v>
      </c>
      <c r="H405" s="16">
        <v>101</v>
      </c>
      <c r="I405" s="18">
        <v>8.0120000000000005</v>
      </c>
      <c r="J405" s="13">
        <v>0.3</v>
      </c>
      <c r="K405" s="13"/>
      <c r="L405" s="17">
        <f>G405-J405</f>
        <v>9.6999999999999993</v>
      </c>
      <c r="M405" s="18">
        <f>L405*(H405*H405)*0.7854/10000</f>
        <v>7.7715094379999998</v>
      </c>
      <c r="N405" s="5"/>
      <c r="O405" s="8" t="s">
        <v>19</v>
      </c>
    </row>
    <row r="406" spans="1:15" s="14" customFormat="1" x14ac:dyDescent="0.25">
      <c r="A406" s="13">
        <v>415</v>
      </c>
      <c r="B406" s="16">
        <v>415</v>
      </c>
      <c r="C406" s="13" t="s">
        <v>3237</v>
      </c>
      <c r="D406" s="6" t="s">
        <v>661</v>
      </c>
      <c r="E406" s="13" t="s">
        <v>2931</v>
      </c>
      <c r="F406" s="13"/>
      <c r="G406" s="17">
        <v>4.7</v>
      </c>
      <c r="H406" s="16">
        <v>97</v>
      </c>
      <c r="I406" s="18">
        <v>3.4729999999999999</v>
      </c>
      <c r="J406" s="13"/>
      <c r="K406" s="13"/>
      <c r="L406" s="17">
        <f>G406-J406</f>
        <v>4.7</v>
      </c>
      <c r="M406" s="18">
        <f>L406*(H406*H406)*0.7854/10000</f>
        <v>3.473219442</v>
      </c>
      <c r="N406" s="5"/>
      <c r="O406" s="8" t="s">
        <v>19</v>
      </c>
    </row>
    <row r="407" spans="1:15" s="14" customFormat="1" x14ac:dyDescent="0.25">
      <c r="A407" s="13">
        <v>416</v>
      </c>
      <c r="B407" s="16">
        <v>416</v>
      </c>
      <c r="C407" s="13" t="s">
        <v>3238</v>
      </c>
      <c r="D407" s="6">
        <v>1197</v>
      </c>
      <c r="E407" s="13" t="s">
        <v>2931</v>
      </c>
      <c r="F407" s="13"/>
      <c r="G407" s="17">
        <v>7.5</v>
      </c>
      <c r="H407" s="16">
        <v>82</v>
      </c>
      <c r="I407" s="18">
        <v>3.9609999999999999</v>
      </c>
      <c r="J407" s="13">
        <v>0.3</v>
      </c>
      <c r="K407" s="13"/>
      <c r="L407" s="17">
        <f>G407-J407</f>
        <v>7.2</v>
      </c>
      <c r="M407" s="18">
        <f>L407*(H407*H407)*0.7854/10000</f>
        <v>3.8023413120000003</v>
      </c>
      <c r="N407" s="5"/>
      <c r="O407" s="8" t="s">
        <v>19</v>
      </c>
    </row>
    <row r="408" spans="1:15" s="14" customFormat="1" x14ac:dyDescent="0.25">
      <c r="A408" s="13">
        <v>417</v>
      </c>
      <c r="B408" s="16">
        <v>417</v>
      </c>
      <c r="C408" s="13" t="s">
        <v>3239</v>
      </c>
      <c r="D408" s="6">
        <v>1199</v>
      </c>
      <c r="E408" s="13" t="s">
        <v>2931</v>
      </c>
      <c r="F408" s="13"/>
      <c r="G408" s="17">
        <v>14.8</v>
      </c>
      <c r="H408" s="16">
        <v>102</v>
      </c>
      <c r="I408" s="18">
        <v>12.093</v>
      </c>
      <c r="J408" s="13">
        <v>0.3</v>
      </c>
      <c r="K408" s="13"/>
      <c r="L408" s="17">
        <f>G408-J408</f>
        <v>14.5</v>
      </c>
      <c r="M408" s="18">
        <f>L408*(H408*H408)*0.7854/10000</f>
        <v>11.84838732</v>
      </c>
      <c r="N408" s="5"/>
      <c r="O408" s="8" t="s">
        <v>19</v>
      </c>
    </row>
    <row r="409" spans="1:15" s="14" customFormat="1" x14ac:dyDescent="0.25">
      <c r="A409" s="13">
        <v>418</v>
      </c>
      <c r="B409" s="16">
        <v>418</v>
      </c>
      <c r="C409" s="13" t="s">
        <v>3240</v>
      </c>
      <c r="D409" s="6" t="s">
        <v>665</v>
      </c>
      <c r="E409" s="13" t="s">
        <v>2931</v>
      </c>
      <c r="F409" s="13"/>
      <c r="G409" s="17">
        <v>11.9</v>
      </c>
      <c r="H409" s="16">
        <v>94</v>
      </c>
      <c r="I409" s="18">
        <v>8.2579999999999991</v>
      </c>
      <c r="J409" s="13"/>
      <c r="K409" s="13"/>
      <c r="L409" s="17">
        <f>G409-J409</f>
        <v>11.9</v>
      </c>
      <c r="M409" s="18">
        <f>L409*(H409*H409)*0.7854/10000</f>
        <v>8.258355336000001</v>
      </c>
      <c r="N409" s="5" t="s">
        <v>157</v>
      </c>
      <c r="O409" s="8" t="s">
        <v>19</v>
      </c>
    </row>
    <row r="410" spans="1:15" s="14" customFormat="1" x14ac:dyDescent="0.25">
      <c r="A410" s="13">
        <v>419</v>
      </c>
      <c r="B410" s="16">
        <v>419</v>
      </c>
      <c r="C410" s="13" t="s">
        <v>3241</v>
      </c>
      <c r="D410" s="6">
        <v>1300</v>
      </c>
      <c r="E410" s="13" t="s">
        <v>2931</v>
      </c>
      <c r="F410" s="13"/>
      <c r="G410" s="17">
        <v>6.6</v>
      </c>
      <c r="H410" s="16">
        <v>100</v>
      </c>
      <c r="I410" s="18">
        <v>5.1840000000000002</v>
      </c>
      <c r="J410" s="13">
        <v>0.3</v>
      </c>
      <c r="K410" s="13"/>
      <c r="L410" s="17">
        <f>G410-J410</f>
        <v>6.3</v>
      </c>
      <c r="M410" s="18">
        <f>L410*(H410*H410)*0.7854/10000</f>
        <v>4.9480199999999996</v>
      </c>
      <c r="N410" s="5"/>
      <c r="O410" s="8" t="s">
        <v>19</v>
      </c>
    </row>
    <row r="411" spans="1:15" s="14" customFormat="1" x14ac:dyDescent="0.25">
      <c r="A411" s="13">
        <v>420</v>
      </c>
      <c r="B411" s="16">
        <v>420</v>
      </c>
      <c r="C411" s="13" t="s">
        <v>3242</v>
      </c>
      <c r="D411" s="6" t="s">
        <v>668</v>
      </c>
      <c r="E411" s="13" t="s">
        <v>2931</v>
      </c>
      <c r="F411" s="13"/>
      <c r="G411" s="17">
        <v>4.9000000000000004</v>
      </c>
      <c r="H411" s="16">
        <v>89</v>
      </c>
      <c r="I411" s="18">
        <v>3.048</v>
      </c>
      <c r="J411" s="13"/>
      <c r="K411" s="13"/>
      <c r="L411" s="17">
        <f>G411-J411</f>
        <v>4.9000000000000004</v>
      </c>
      <c r="M411" s="18">
        <f>L411*(H411*H411)*0.7854/10000</f>
        <v>3.048365166</v>
      </c>
      <c r="N411" s="5"/>
      <c r="O411" s="8" t="s">
        <v>19</v>
      </c>
    </row>
    <row r="412" spans="1:15" s="14" customFormat="1" x14ac:dyDescent="0.25">
      <c r="A412" s="13">
        <v>421</v>
      </c>
      <c r="B412" s="16">
        <v>421</v>
      </c>
      <c r="C412" s="13" t="s">
        <v>3243</v>
      </c>
      <c r="D412" s="6">
        <v>1301</v>
      </c>
      <c r="E412" s="13" t="s">
        <v>2931</v>
      </c>
      <c r="F412" s="13"/>
      <c r="G412" s="17">
        <v>11.9</v>
      </c>
      <c r="H412" s="16">
        <v>104</v>
      </c>
      <c r="I412" s="18">
        <v>10.109</v>
      </c>
      <c r="J412" s="13"/>
      <c r="K412" s="13"/>
      <c r="L412" s="17">
        <f>G412-J412</f>
        <v>11.9</v>
      </c>
      <c r="M412" s="18">
        <f>L412*(H412*H412)*0.7854/10000</f>
        <v>10.108914816</v>
      </c>
      <c r="N412" s="5"/>
      <c r="O412" s="8" t="s">
        <v>19</v>
      </c>
    </row>
    <row r="413" spans="1:15" s="14" customFormat="1" x14ac:dyDescent="0.25">
      <c r="A413" s="13">
        <v>422</v>
      </c>
      <c r="B413" s="16">
        <v>422</v>
      </c>
      <c r="C413" s="13" t="s">
        <v>3244</v>
      </c>
      <c r="D413" s="6" t="s">
        <v>671</v>
      </c>
      <c r="E413" s="13" t="s">
        <v>2931</v>
      </c>
      <c r="F413" s="13"/>
      <c r="G413" s="17">
        <v>11.1</v>
      </c>
      <c r="H413" s="16">
        <v>80</v>
      </c>
      <c r="I413" s="18">
        <v>5.5789999999999997</v>
      </c>
      <c r="J413" s="13"/>
      <c r="K413" s="13"/>
      <c r="L413" s="17">
        <f>G413-J413</f>
        <v>11.1</v>
      </c>
      <c r="M413" s="18">
        <f>L413*(H413*H413)*0.7854/10000</f>
        <v>5.5794816000000003</v>
      </c>
      <c r="N413" s="5"/>
      <c r="O413" s="8" t="s">
        <v>30</v>
      </c>
    </row>
    <row r="414" spans="1:15" s="14" customFormat="1" x14ac:dyDescent="0.25">
      <c r="A414" s="13">
        <v>423</v>
      </c>
      <c r="B414" s="16">
        <v>423</v>
      </c>
      <c r="C414" s="13" t="s">
        <v>3245</v>
      </c>
      <c r="D414" s="6" t="s">
        <v>673</v>
      </c>
      <c r="E414" s="13" t="s">
        <v>2931</v>
      </c>
      <c r="F414" s="13"/>
      <c r="G414" s="17">
        <v>11.5</v>
      </c>
      <c r="H414" s="16">
        <v>106</v>
      </c>
      <c r="I414" s="18">
        <v>10.148</v>
      </c>
      <c r="J414" s="13"/>
      <c r="K414" s="13"/>
      <c r="L414" s="17">
        <f>G414-J414</f>
        <v>11.5</v>
      </c>
      <c r="M414" s="18">
        <f>L414*(H414*H414)*0.7854/10000</f>
        <v>10.14846756</v>
      </c>
      <c r="N414" s="5"/>
      <c r="O414" s="8" t="s">
        <v>19</v>
      </c>
    </row>
    <row r="415" spans="1:15" s="14" customFormat="1" x14ac:dyDescent="0.25">
      <c r="A415" s="13">
        <v>424</v>
      </c>
      <c r="B415" s="16">
        <v>424</v>
      </c>
      <c r="C415" s="13" t="s">
        <v>3246</v>
      </c>
      <c r="D415" s="6" t="s">
        <v>675</v>
      </c>
      <c r="E415" s="13" t="s">
        <v>2931</v>
      </c>
      <c r="F415" s="13"/>
      <c r="G415" s="17">
        <v>5.3</v>
      </c>
      <c r="H415" s="16">
        <v>100</v>
      </c>
      <c r="I415" s="18">
        <v>4.1630000000000003</v>
      </c>
      <c r="J415" s="13"/>
      <c r="K415" s="13"/>
      <c r="L415" s="17">
        <f>G415-J415</f>
        <v>5.3</v>
      </c>
      <c r="M415" s="18">
        <f>L415*(H415*H415)*0.7854/10000</f>
        <v>4.1626199999999995</v>
      </c>
      <c r="N415" s="5"/>
      <c r="O415" s="8" t="s">
        <v>19</v>
      </c>
    </row>
    <row r="416" spans="1:15" s="14" customFormat="1" x14ac:dyDescent="0.25">
      <c r="A416" s="13">
        <v>425</v>
      </c>
      <c r="B416" s="16">
        <v>425</v>
      </c>
      <c r="C416" s="13" t="s">
        <v>3247</v>
      </c>
      <c r="D416" s="6" t="s">
        <v>677</v>
      </c>
      <c r="E416" s="13" t="s">
        <v>2931</v>
      </c>
      <c r="F416" s="13"/>
      <c r="G416" s="17">
        <v>11.6</v>
      </c>
      <c r="H416" s="16">
        <v>121</v>
      </c>
      <c r="I416" s="18">
        <v>13.339</v>
      </c>
      <c r="J416" s="13"/>
      <c r="K416" s="13"/>
      <c r="L416" s="17">
        <f>G416-J416</f>
        <v>11.6</v>
      </c>
      <c r="M416" s="18">
        <f>L416*(H416*H416)*0.7854/10000</f>
        <v>13.338888023999999</v>
      </c>
      <c r="N416" s="5"/>
      <c r="O416" s="8" t="s">
        <v>30</v>
      </c>
    </row>
    <row r="417" spans="1:15" s="14" customFormat="1" x14ac:dyDescent="0.25">
      <c r="A417" s="13">
        <v>426</v>
      </c>
      <c r="B417" s="16">
        <v>426</v>
      </c>
      <c r="C417" s="13" t="s">
        <v>3248</v>
      </c>
      <c r="D417" s="6" t="s">
        <v>679</v>
      </c>
      <c r="E417" s="13" t="s">
        <v>2931</v>
      </c>
      <c r="F417" s="13"/>
      <c r="G417" s="17">
        <v>3.9</v>
      </c>
      <c r="H417" s="16">
        <v>114</v>
      </c>
      <c r="I417" s="18">
        <v>3.9809999999999999</v>
      </c>
      <c r="J417" s="13"/>
      <c r="K417" s="13"/>
      <c r="L417" s="17">
        <f>G417-J417</f>
        <v>3.9</v>
      </c>
      <c r="M417" s="18">
        <f>L417*(H417*H417)*0.7854/10000</f>
        <v>3.9807527759999997</v>
      </c>
      <c r="N417" s="5" t="s">
        <v>157</v>
      </c>
      <c r="O417" s="8" t="s">
        <v>19</v>
      </c>
    </row>
    <row r="418" spans="1:15" s="14" customFormat="1" x14ac:dyDescent="0.25">
      <c r="A418" s="13">
        <v>427</v>
      </c>
      <c r="B418" s="16">
        <v>427</v>
      </c>
      <c r="C418" s="13" t="s">
        <v>3249</v>
      </c>
      <c r="D418" s="6">
        <v>1307</v>
      </c>
      <c r="E418" s="13" t="s">
        <v>2931</v>
      </c>
      <c r="F418" s="13"/>
      <c r="G418" s="17">
        <v>9.6999999999999993</v>
      </c>
      <c r="H418" s="16">
        <v>75</v>
      </c>
      <c r="I418" s="18">
        <v>4.2850000000000001</v>
      </c>
      <c r="J418" s="13"/>
      <c r="K418" s="13"/>
      <c r="L418" s="17">
        <f>G418-J418</f>
        <v>9.6999999999999993</v>
      </c>
      <c r="M418" s="18">
        <f>L418*(H418*H418)*0.7854/10000</f>
        <v>4.2853387499999993</v>
      </c>
      <c r="N418" s="5"/>
      <c r="O418" s="8" t="s">
        <v>19</v>
      </c>
    </row>
    <row r="419" spans="1:15" s="14" customFormat="1" x14ac:dyDescent="0.25">
      <c r="A419" s="13">
        <v>428</v>
      </c>
      <c r="B419" s="16">
        <v>428</v>
      </c>
      <c r="C419" s="13" t="s">
        <v>3250</v>
      </c>
      <c r="D419" s="6">
        <v>5116</v>
      </c>
      <c r="E419" s="13" t="s">
        <v>2931</v>
      </c>
      <c r="F419" s="13"/>
      <c r="G419" s="17">
        <v>13</v>
      </c>
      <c r="H419" s="16">
        <v>72</v>
      </c>
      <c r="I419" s="18">
        <v>5.2930000000000001</v>
      </c>
      <c r="J419" s="13">
        <v>0.4</v>
      </c>
      <c r="K419" s="13"/>
      <c r="L419" s="17">
        <f>G419-J419</f>
        <v>12.6</v>
      </c>
      <c r="M419" s="18">
        <f>L419*(H419*H419)*0.7854/10000</f>
        <v>5.1301071360000003</v>
      </c>
      <c r="N419" s="5" t="s">
        <v>361</v>
      </c>
      <c r="O419" s="8" t="s">
        <v>30</v>
      </c>
    </row>
    <row r="420" spans="1:15" s="14" customFormat="1" x14ac:dyDescent="0.25">
      <c r="A420" s="13">
        <v>429</v>
      </c>
      <c r="B420" s="16">
        <v>429</v>
      </c>
      <c r="C420" s="13" t="s">
        <v>3251</v>
      </c>
      <c r="D420" s="6" t="s">
        <v>683</v>
      </c>
      <c r="E420" s="13" t="s">
        <v>2931</v>
      </c>
      <c r="F420" s="13"/>
      <c r="G420" s="17">
        <v>9.1999999999999993</v>
      </c>
      <c r="H420" s="16">
        <v>87</v>
      </c>
      <c r="I420" s="18">
        <v>5.4690000000000003</v>
      </c>
      <c r="J420" s="13"/>
      <c r="K420" s="13"/>
      <c r="L420" s="17">
        <f>G420-J420</f>
        <v>9.1999999999999993</v>
      </c>
      <c r="M420" s="18">
        <f>L420*(H420*H420)*0.7854/10000</f>
        <v>5.4691171919999997</v>
      </c>
      <c r="N420" s="5"/>
      <c r="O420" s="8" t="s">
        <v>19</v>
      </c>
    </row>
    <row r="421" spans="1:15" s="14" customFormat="1" x14ac:dyDescent="0.25">
      <c r="A421" s="13">
        <v>430</v>
      </c>
      <c r="B421" s="16">
        <v>430</v>
      </c>
      <c r="C421" s="13" t="s">
        <v>3252</v>
      </c>
      <c r="D421" s="6">
        <v>5108</v>
      </c>
      <c r="E421" s="13" t="s">
        <v>2931</v>
      </c>
      <c r="F421" s="13"/>
      <c r="G421" s="17">
        <v>14.8</v>
      </c>
      <c r="H421" s="16">
        <v>124</v>
      </c>
      <c r="I421" s="18">
        <v>17.873000000000001</v>
      </c>
      <c r="J421" s="13"/>
      <c r="K421" s="13"/>
      <c r="L421" s="17">
        <f>G421-J421</f>
        <v>14.8</v>
      </c>
      <c r="M421" s="18">
        <f>L421*(H421*H421)*0.7854/10000</f>
        <v>17.872939391999999</v>
      </c>
      <c r="N421" s="5"/>
      <c r="O421" s="8" t="s">
        <v>19</v>
      </c>
    </row>
    <row r="422" spans="1:15" s="14" customFormat="1" x14ac:dyDescent="0.25">
      <c r="A422" s="13">
        <v>431</v>
      </c>
      <c r="B422" s="16">
        <v>431</v>
      </c>
      <c r="C422" s="13" t="s">
        <v>3253</v>
      </c>
      <c r="D422" s="6" t="s">
        <v>686</v>
      </c>
      <c r="E422" s="13" t="s">
        <v>2931</v>
      </c>
      <c r="F422" s="13"/>
      <c r="G422" s="17">
        <v>6.7</v>
      </c>
      <c r="H422" s="16">
        <v>119</v>
      </c>
      <c r="I422" s="18">
        <v>7.452</v>
      </c>
      <c r="J422" s="13"/>
      <c r="K422" s="13"/>
      <c r="L422" s="17">
        <f>G422-J422</f>
        <v>6.7</v>
      </c>
      <c r="M422" s="18">
        <f>L422*(H422*H422)*0.7854/10000</f>
        <v>7.4517730979999994</v>
      </c>
      <c r="N422" s="5"/>
      <c r="O422" s="8" t="s">
        <v>19</v>
      </c>
    </row>
    <row r="423" spans="1:15" s="14" customFormat="1" x14ac:dyDescent="0.25">
      <c r="A423" s="13">
        <v>432</v>
      </c>
      <c r="B423" s="16">
        <v>432</v>
      </c>
      <c r="C423" s="13" t="s">
        <v>3254</v>
      </c>
      <c r="D423" s="6">
        <v>5335</v>
      </c>
      <c r="E423" s="13" t="s">
        <v>2931</v>
      </c>
      <c r="F423" s="13"/>
      <c r="G423" s="17">
        <v>9.6</v>
      </c>
      <c r="H423" s="16">
        <v>95</v>
      </c>
      <c r="I423" s="18">
        <v>6.8049999999999997</v>
      </c>
      <c r="J423" s="13"/>
      <c r="K423" s="13"/>
      <c r="L423" s="17">
        <f>G423-J423</f>
        <v>9.6</v>
      </c>
      <c r="M423" s="18">
        <f>L423*(H423*H423)*0.7854/10000</f>
        <v>6.8047055999999992</v>
      </c>
      <c r="N423" s="5" t="s">
        <v>53</v>
      </c>
      <c r="O423" s="8" t="s">
        <v>19</v>
      </c>
    </row>
    <row r="424" spans="1:15" s="14" customFormat="1" x14ac:dyDescent="0.25">
      <c r="A424" s="13">
        <v>433</v>
      </c>
      <c r="B424" s="16">
        <v>433</v>
      </c>
      <c r="C424" s="13" t="s">
        <v>3255</v>
      </c>
      <c r="D424" s="6" t="s">
        <v>689</v>
      </c>
      <c r="E424" s="13" t="s">
        <v>2931</v>
      </c>
      <c r="F424" s="13"/>
      <c r="G424" s="17">
        <v>11.2</v>
      </c>
      <c r="H424" s="16">
        <v>124</v>
      </c>
      <c r="I424" s="18">
        <v>13.525</v>
      </c>
      <c r="J424" s="13"/>
      <c r="K424" s="13"/>
      <c r="L424" s="17">
        <f>G424-J424</f>
        <v>11.2</v>
      </c>
      <c r="M424" s="18">
        <f>L424*(H424*H424)*0.7854/10000</f>
        <v>13.525467647999999</v>
      </c>
      <c r="N424" s="5"/>
      <c r="O424" s="8" t="s">
        <v>19</v>
      </c>
    </row>
    <row r="425" spans="1:15" s="14" customFormat="1" x14ac:dyDescent="0.25">
      <c r="A425" s="13">
        <v>434</v>
      </c>
      <c r="B425" s="16">
        <v>434</v>
      </c>
      <c r="C425" s="13" t="s">
        <v>3256</v>
      </c>
      <c r="D425" s="6" t="s">
        <v>691</v>
      </c>
      <c r="E425" s="13" t="s">
        <v>2931</v>
      </c>
      <c r="F425" s="13"/>
      <c r="G425" s="17">
        <v>4.5</v>
      </c>
      <c r="H425" s="16">
        <v>116</v>
      </c>
      <c r="I425" s="18">
        <v>4.7560000000000002</v>
      </c>
      <c r="J425" s="13"/>
      <c r="K425" s="13"/>
      <c r="L425" s="17">
        <f>G425-J425</f>
        <v>4.5</v>
      </c>
      <c r="M425" s="18">
        <f>L425*(H425*H425)*0.7854/10000</f>
        <v>4.75575408</v>
      </c>
      <c r="N425" s="5" t="s">
        <v>157</v>
      </c>
      <c r="O425" s="8" t="s">
        <v>19</v>
      </c>
    </row>
    <row r="426" spans="1:15" s="14" customFormat="1" x14ac:dyDescent="0.25">
      <c r="A426" s="13">
        <v>435</v>
      </c>
      <c r="B426" s="16">
        <v>435</v>
      </c>
      <c r="C426" s="13" t="s">
        <v>3257</v>
      </c>
      <c r="D426" s="6">
        <v>5309</v>
      </c>
      <c r="E426" s="13" t="s">
        <v>2931</v>
      </c>
      <c r="F426" s="13"/>
      <c r="G426" s="17">
        <v>12.7</v>
      </c>
      <c r="H426" s="16">
        <v>93</v>
      </c>
      <c r="I426" s="18">
        <v>8.6270000000000007</v>
      </c>
      <c r="J426" s="13">
        <v>0.3</v>
      </c>
      <c r="K426" s="13"/>
      <c r="L426" s="17">
        <f>G426-J426</f>
        <v>12.399999999999999</v>
      </c>
      <c r="M426" s="18">
        <f>L426*(H426*H426)*0.7854/10000</f>
        <v>8.4232265040000005</v>
      </c>
      <c r="N426" s="5"/>
      <c r="O426" s="8" t="s">
        <v>19</v>
      </c>
    </row>
    <row r="427" spans="1:15" s="14" customFormat="1" x14ac:dyDescent="0.25">
      <c r="A427" s="13">
        <v>436</v>
      </c>
      <c r="B427" s="16">
        <v>436</v>
      </c>
      <c r="C427" s="13" t="s">
        <v>3258</v>
      </c>
      <c r="D427" s="6" t="s">
        <v>694</v>
      </c>
      <c r="E427" s="13" t="s">
        <v>2931</v>
      </c>
      <c r="F427" s="13"/>
      <c r="G427" s="17">
        <v>11.9</v>
      </c>
      <c r="H427" s="16">
        <v>98</v>
      </c>
      <c r="I427" s="18">
        <v>8.9760000000000009</v>
      </c>
      <c r="J427" s="13"/>
      <c r="K427" s="13"/>
      <c r="L427" s="17">
        <f>G427-J427</f>
        <v>11.9</v>
      </c>
      <c r="M427" s="18">
        <f>L427*(H427*H427)*0.7854/10000</f>
        <v>8.976148104</v>
      </c>
      <c r="N427" s="5"/>
      <c r="O427" s="8" t="s">
        <v>19</v>
      </c>
    </row>
    <row r="428" spans="1:15" s="14" customFormat="1" x14ac:dyDescent="0.25">
      <c r="A428" s="13">
        <v>437</v>
      </c>
      <c r="B428" s="16">
        <v>437</v>
      </c>
      <c r="C428" s="13" t="s">
        <v>3259</v>
      </c>
      <c r="D428" s="6" t="s">
        <v>696</v>
      </c>
      <c r="E428" s="13" t="s">
        <v>2931</v>
      </c>
      <c r="F428" s="13"/>
      <c r="G428" s="17">
        <v>5.7</v>
      </c>
      <c r="H428" s="16">
        <v>91</v>
      </c>
      <c r="I428" s="18">
        <v>3.7069999999999999</v>
      </c>
      <c r="J428" s="13"/>
      <c r="K428" s="13"/>
      <c r="L428" s="17">
        <f>G428-J428</f>
        <v>5.7</v>
      </c>
      <c r="M428" s="18">
        <f>L428*(H428*H428)*0.7854/10000</f>
        <v>3.7072215179999999</v>
      </c>
      <c r="N428" s="5"/>
      <c r="O428" s="8" t="s">
        <v>30</v>
      </c>
    </row>
    <row r="429" spans="1:15" s="14" customFormat="1" x14ac:dyDescent="0.25">
      <c r="A429" s="13">
        <v>439</v>
      </c>
      <c r="B429" s="16">
        <v>439</v>
      </c>
      <c r="C429" s="13" t="s">
        <v>3260</v>
      </c>
      <c r="D429" s="6">
        <v>5311</v>
      </c>
      <c r="E429" s="13" t="s">
        <v>2931</v>
      </c>
      <c r="F429" s="13"/>
      <c r="G429" s="17">
        <v>12.4</v>
      </c>
      <c r="H429" s="16">
        <v>75</v>
      </c>
      <c r="I429" s="18">
        <v>5.4779999999999998</v>
      </c>
      <c r="J429" s="13"/>
      <c r="K429" s="13"/>
      <c r="L429" s="17">
        <f>G429-J429</f>
        <v>12.4</v>
      </c>
      <c r="M429" s="18">
        <f>L429*(H429*H429)*0.7854/10000</f>
        <v>5.4781649999999997</v>
      </c>
      <c r="N429" s="5"/>
      <c r="O429" s="8" t="s">
        <v>19</v>
      </c>
    </row>
    <row r="430" spans="1:15" s="14" customFormat="1" x14ac:dyDescent="0.25">
      <c r="A430" s="13">
        <v>440</v>
      </c>
      <c r="B430" s="16">
        <v>440</v>
      </c>
      <c r="C430" s="13" t="s">
        <v>3261</v>
      </c>
      <c r="D430" s="6" t="s">
        <v>699</v>
      </c>
      <c r="E430" s="13" t="s">
        <v>2931</v>
      </c>
      <c r="F430" s="13"/>
      <c r="G430" s="17">
        <v>7.9</v>
      </c>
      <c r="H430" s="16">
        <v>66</v>
      </c>
      <c r="I430" s="18">
        <v>2.7029999999999998</v>
      </c>
      <c r="J430" s="13">
        <v>0.4</v>
      </c>
      <c r="K430" s="13"/>
      <c r="L430" s="17">
        <f>G430-J430</f>
        <v>7.5</v>
      </c>
      <c r="M430" s="18">
        <f>L430*(H430*H430)*0.7854/10000</f>
        <v>2.5659017999999998</v>
      </c>
      <c r="N430" s="5"/>
      <c r="O430" s="8" t="s">
        <v>19</v>
      </c>
    </row>
    <row r="431" spans="1:15" s="14" customFormat="1" x14ac:dyDescent="0.25">
      <c r="A431" s="13">
        <v>441</v>
      </c>
      <c r="B431" s="16">
        <v>441</v>
      </c>
      <c r="C431" s="13" t="s">
        <v>3262</v>
      </c>
      <c r="D431" s="6" t="s">
        <v>701</v>
      </c>
      <c r="E431" s="13" t="s">
        <v>2931</v>
      </c>
      <c r="F431" s="13"/>
      <c r="G431" s="17">
        <v>12.9</v>
      </c>
      <c r="H431" s="16">
        <v>106</v>
      </c>
      <c r="I431" s="18">
        <v>11.384</v>
      </c>
      <c r="J431" s="13"/>
      <c r="K431" s="13"/>
      <c r="L431" s="17">
        <f>G431-J431</f>
        <v>12.9</v>
      </c>
      <c r="M431" s="18">
        <f>L431*(H431*H431)*0.7854/10000</f>
        <v>11.383933175999999</v>
      </c>
      <c r="N431" s="5"/>
      <c r="O431" s="8" t="s">
        <v>30</v>
      </c>
    </row>
    <row r="432" spans="1:15" s="14" customFormat="1" x14ac:dyDescent="0.25">
      <c r="A432" s="13">
        <v>442</v>
      </c>
      <c r="B432" s="16">
        <v>442</v>
      </c>
      <c r="C432" s="13" t="s">
        <v>3263</v>
      </c>
      <c r="D432" s="6" t="s">
        <v>703</v>
      </c>
      <c r="E432" s="13" t="s">
        <v>2931</v>
      </c>
      <c r="F432" s="13"/>
      <c r="G432" s="17">
        <v>7.3</v>
      </c>
      <c r="H432" s="16">
        <v>103</v>
      </c>
      <c r="I432" s="18">
        <v>6.0830000000000002</v>
      </c>
      <c r="J432" s="13">
        <v>0.3</v>
      </c>
      <c r="K432" s="13"/>
      <c r="L432" s="17">
        <f>G432-J432</f>
        <v>7</v>
      </c>
      <c r="M432" s="18">
        <f>L432*(H432*H432)*0.7854/10000</f>
        <v>5.8326160199999997</v>
      </c>
      <c r="N432" s="5"/>
      <c r="O432" s="8" t="s">
        <v>19</v>
      </c>
    </row>
    <row r="433" spans="1:15" s="14" customFormat="1" x14ac:dyDescent="0.25">
      <c r="A433" s="13">
        <v>443</v>
      </c>
      <c r="B433" s="16">
        <v>443</v>
      </c>
      <c r="C433" s="13" t="s">
        <v>3264</v>
      </c>
      <c r="D433" s="6" t="s">
        <v>705</v>
      </c>
      <c r="E433" s="13" t="s">
        <v>2931</v>
      </c>
      <c r="F433" s="13"/>
      <c r="G433" s="17">
        <v>5.3</v>
      </c>
      <c r="H433" s="16">
        <v>70</v>
      </c>
      <c r="I433" s="18">
        <v>2.04</v>
      </c>
      <c r="J433" s="13"/>
      <c r="K433" s="13"/>
      <c r="L433" s="17">
        <f>G433-J433</f>
        <v>5.3</v>
      </c>
      <c r="M433" s="18">
        <f>L433*(H433*H433)*0.7854/10000</f>
        <v>2.0396838000000002</v>
      </c>
      <c r="N433" s="5"/>
      <c r="O433" s="8" t="s">
        <v>19</v>
      </c>
    </row>
    <row r="434" spans="1:15" s="14" customFormat="1" x14ac:dyDescent="0.25">
      <c r="A434" s="13">
        <v>444</v>
      </c>
      <c r="B434" s="16">
        <v>444</v>
      </c>
      <c r="C434" s="13" t="s">
        <v>3265</v>
      </c>
      <c r="D434" s="6" t="s">
        <v>707</v>
      </c>
      <c r="E434" s="13" t="s">
        <v>2931</v>
      </c>
      <c r="F434" s="13"/>
      <c r="G434" s="17">
        <v>10.6</v>
      </c>
      <c r="H434" s="16">
        <v>99</v>
      </c>
      <c r="I434" s="18">
        <v>8.16</v>
      </c>
      <c r="J434" s="13">
        <v>0.3</v>
      </c>
      <c r="K434" s="13"/>
      <c r="L434" s="17">
        <f>G434-J434</f>
        <v>10.299999999999999</v>
      </c>
      <c r="M434" s="18">
        <f>L434*(H434*H434)*0.7854/10000</f>
        <v>7.9286365619999986</v>
      </c>
      <c r="N434" s="5"/>
      <c r="O434" s="8" t="s">
        <v>30</v>
      </c>
    </row>
    <row r="435" spans="1:15" s="14" customFormat="1" x14ac:dyDescent="0.25">
      <c r="A435" s="13">
        <v>445</v>
      </c>
      <c r="B435" s="16">
        <v>445</v>
      </c>
      <c r="C435" s="13" t="s">
        <v>3266</v>
      </c>
      <c r="D435" s="6" t="s">
        <v>709</v>
      </c>
      <c r="E435" s="13" t="s">
        <v>2931</v>
      </c>
      <c r="F435" s="13"/>
      <c r="G435" s="17">
        <v>10.1</v>
      </c>
      <c r="H435" s="16">
        <v>71</v>
      </c>
      <c r="I435" s="18">
        <v>3.9990000000000001</v>
      </c>
      <c r="J435" s="13"/>
      <c r="K435" s="13"/>
      <c r="L435" s="17">
        <f>G435-J435</f>
        <v>10.1</v>
      </c>
      <c r="M435" s="18">
        <f>L435*(H435*H435)*0.7854/10000</f>
        <v>3.9987934139999997</v>
      </c>
      <c r="N435" s="5"/>
      <c r="O435" s="8" t="s">
        <v>19</v>
      </c>
    </row>
    <row r="436" spans="1:15" s="14" customFormat="1" x14ac:dyDescent="0.25">
      <c r="A436" s="13">
        <v>446</v>
      </c>
      <c r="B436" s="16">
        <v>446</v>
      </c>
      <c r="C436" s="13" t="s">
        <v>3267</v>
      </c>
      <c r="D436" s="6" t="s">
        <v>711</v>
      </c>
      <c r="E436" s="13" t="s">
        <v>2931</v>
      </c>
      <c r="F436" s="13"/>
      <c r="G436" s="17">
        <v>5.5</v>
      </c>
      <c r="H436" s="16">
        <v>94</v>
      </c>
      <c r="I436" s="18">
        <v>3.8170000000000002</v>
      </c>
      <c r="J436" s="13"/>
      <c r="K436" s="13"/>
      <c r="L436" s="17">
        <f>G436-J436</f>
        <v>5.5</v>
      </c>
      <c r="M436" s="18">
        <f>L436*(H436*H436)*0.7854/10000</f>
        <v>3.81688692</v>
      </c>
      <c r="N436" s="5"/>
      <c r="O436" s="8" t="s">
        <v>19</v>
      </c>
    </row>
    <row r="437" spans="1:15" s="14" customFormat="1" x14ac:dyDescent="0.25">
      <c r="A437" s="13">
        <v>447</v>
      </c>
      <c r="B437" s="16">
        <v>447</v>
      </c>
      <c r="C437" s="13" t="s">
        <v>3268</v>
      </c>
      <c r="D437" s="6" t="s">
        <v>713</v>
      </c>
      <c r="E437" s="13" t="s">
        <v>2931</v>
      </c>
      <c r="F437" s="13"/>
      <c r="G437" s="17">
        <v>11.6</v>
      </c>
      <c r="H437" s="16">
        <v>83</v>
      </c>
      <c r="I437" s="18">
        <v>6.2759999999999998</v>
      </c>
      <c r="J437" s="13"/>
      <c r="K437" s="13"/>
      <c r="L437" s="17">
        <f>G437-J437</f>
        <v>11.6</v>
      </c>
      <c r="M437" s="18">
        <f>L437*(H437*H437)*0.7854/10000</f>
        <v>6.2763198959999995</v>
      </c>
      <c r="N437" s="5"/>
      <c r="O437" s="8" t="s">
        <v>19</v>
      </c>
    </row>
    <row r="438" spans="1:15" s="14" customFormat="1" x14ac:dyDescent="0.25">
      <c r="A438" s="13">
        <v>448</v>
      </c>
      <c r="B438" s="16">
        <v>448</v>
      </c>
      <c r="C438" s="13" t="s">
        <v>3269</v>
      </c>
      <c r="D438" s="6" t="s">
        <v>715</v>
      </c>
      <c r="E438" s="13" t="s">
        <v>2931</v>
      </c>
      <c r="F438" s="13"/>
      <c r="G438" s="17">
        <v>11.5</v>
      </c>
      <c r="H438" s="16">
        <v>100</v>
      </c>
      <c r="I438" s="18">
        <v>9.032</v>
      </c>
      <c r="J438" s="13"/>
      <c r="K438" s="13"/>
      <c r="L438" s="17">
        <f>G438-J438</f>
        <v>11.5</v>
      </c>
      <c r="M438" s="18">
        <f>L438*(H438*H438)*0.7854/10000</f>
        <v>9.0320999999999998</v>
      </c>
      <c r="N438" s="5"/>
      <c r="O438" s="8" t="s">
        <v>19</v>
      </c>
    </row>
    <row r="439" spans="1:15" s="14" customFormat="1" x14ac:dyDescent="0.25">
      <c r="A439" s="13">
        <v>449</v>
      </c>
      <c r="B439" s="16">
        <v>449</v>
      </c>
      <c r="C439" s="13" t="s">
        <v>3270</v>
      </c>
      <c r="D439" s="6" t="s">
        <v>717</v>
      </c>
      <c r="E439" s="13" t="s">
        <v>2931</v>
      </c>
      <c r="F439" s="13"/>
      <c r="G439" s="17">
        <v>5.2</v>
      </c>
      <c r="H439" s="16">
        <v>77</v>
      </c>
      <c r="I439" s="18">
        <v>2.4209999999999998</v>
      </c>
      <c r="J439" s="13"/>
      <c r="K439" s="13"/>
      <c r="L439" s="17">
        <f>G439-J439</f>
        <v>5.2</v>
      </c>
      <c r="M439" s="18">
        <f>L439*(H439*H439)*0.7854/10000</f>
        <v>2.4214510319999998</v>
      </c>
      <c r="N439" s="5"/>
      <c r="O439" s="8" t="s">
        <v>19</v>
      </c>
    </row>
    <row r="440" spans="1:15" s="14" customFormat="1" x14ac:dyDescent="0.25">
      <c r="A440" s="13">
        <v>450</v>
      </c>
      <c r="B440" s="16">
        <v>450</v>
      </c>
      <c r="C440" s="13" t="s">
        <v>3271</v>
      </c>
      <c r="D440" s="6" t="s">
        <v>719</v>
      </c>
      <c r="E440" s="13" t="s">
        <v>2931</v>
      </c>
      <c r="F440" s="13"/>
      <c r="G440" s="17">
        <v>5.9</v>
      </c>
      <c r="H440" s="16">
        <v>95</v>
      </c>
      <c r="I440" s="18">
        <v>4.1820000000000004</v>
      </c>
      <c r="J440" s="13"/>
      <c r="K440" s="13"/>
      <c r="L440" s="17">
        <f>G440-J440</f>
        <v>5.9</v>
      </c>
      <c r="M440" s="18">
        <f>L440*(H440*H440)*0.7854/10000</f>
        <v>4.1820586500000001</v>
      </c>
      <c r="N440" s="9"/>
      <c r="O440" s="8" t="s">
        <v>19</v>
      </c>
    </row>
    <row r="441" spans="1:15" s="14" customFormat="1" x14ac:dyDescent="0.25">
      <c r="A441" s="13">
        <v>451</v>
      </c>
      <c r="B441" s="16">
        <v>451</v>
      </c>
      <c r="C441" s="13" t="s">
        <v>3272</v>
      </c>
      <c r="D441" s="6">
        <v>971</v>
      </c>
      <c r="E441" s="13" t="s">
        <v>2931</v>
      </c>
      <c r="F441" s="13"/>
      <c r="G441" s="17">
        <v>5.3</v>
      </c>
      <c r="H441" s="16">
        <v>107</v>
      </c>
      <c r="I441" s="18">
        <v>4.766</v>
      </c>
      <c r="J441" s="13"/>
      <c r="K441" s="13"/>
      <c r="L441" s="17">
        <f>G441-J441</f>
        <v>5.3</v>
      </c>
      <c r="M441" s="18">
        <f>L441*(H441*H441)*0.7854/10000</f>
        <v>4.7657836379999994</v>
      </c>
      <c r="N441" s="9"/>
      <c r="O441" s="8" t="s">
        <v>19</v>
      </c>
    </row>
    <row r="442" spans="1:15" s="14" customFormat="1" x14ac:dyDescent="0.25">
      <c r="A442" s="13">
        <v>452</v>
      </c>
      <c r="B442" s="16">
        <v>452</v>
      </c>
      <c r="C442" s="13" t="s">
        <v>3273</v>
      </c>
      <c r="D442" s="6" t="s">
        <v>722</v>
      </c>
      <c r="E442" s="13" t="s">
        <v>2931</v>
      </c>
      <c r="F442" s="13"/>
      <c r="G442" s="17">
        <v>11.2</v>
      </c>
      <c r="H442" s="16">
        <v>86</v>
      </c>
      <c r="I442" s="18">
        <v>6.5060000000000002</v>
      </c>
      <c r="J442" s="13">
        <v>0.4</v>
      </c>
      <c r="K442" s="13"/>
      <c r="L442" s="17">
        <f>G442-J442</f>
        <v>10.799999999999999</v>
      </c>
      <c r="M442" s="18">
        <f>L442*(H442*H442)*0.7854/10000</f>
        <v>6.2735238719999984</v>
      </c>
      <c r="N442" s="9"/>
      <c r="O442" s="8" t="s">
        <v>19</v>
      </c>
    </row>
    <row r="443" spans="1:15" s="14" customFormat="1" x14ac:dyDescent="0.25">
      <c r="A443" s="13">
        <v>453</v>
      </c>
      <c r="B443" s="16">
        <v>453</v>
      </c>
      <c r="C443" s="13" t="s">
        <v>3274</v>
      </c>
      <c r="D443" s="6">
        <v>972</v>
      </c>
      <c r="E443" s="13" t="s">
        <v>2931</v>
      </c>
      <c r="F443" s="13"/>
      <c r="G443" s="17">
        <v>13.5</v>
      </c>
      <c r="H443" s="16">
        <v>99</v>
      </c>
      <c r="I443" s="18">
        <v>10.391999999999999</v>
      </c>
      <c r="J443" s="13">
        <v>0.3</v>
      </c>
      <c r="K443" s="13"/>
      <c r="L443" s="17">
        <f>G443-J443</f>
        <v>13.2</v>
      </c>
      <c r="M443" s="18">
        <f>L443*(H443*H443)*0.7854/10000</f>
        <v>10.160971128</v>
      </c>
      <c r="N443" s="9"/>
      <c r="O443" s="8" t="s">
        <v>30</v>
      </c>
    </row>
    <row r="444" spans="1:15" s="14" customFormat="1" x14ac:dyDescent="0.25">
      <c r="A444" s="13">
        <v>454</v>
      </c>
      <c r="B444" s="16">
        <v>454</v>
      </c>
      <c r="C444" s="13" t="s">
        <v>3275</v>
      </c>
      <c r="D444" s="6" t="s">
        <v>725</v>
      </c>
      <c r="E444" s="13" t="s">
        <v>2931</v>
      </c>
      <c r="F444" s="13"/>
      <c r="G444" s="17">
        <v>7</v>
      </c>
      <c r="H444" s="16">
        <v>82</v>
      </c>
      <c r="I444" s="18">
        <v>3.6970000000000001</v>
      </c>
      <c r="J444" s="13"/>
      <c r="K444" s="13"/>
      <c r="L444" s="17">
        <f>G444-J444</f>
        <v>7</v>
      </c>
      <c r="M444" s="18">
        <f>L444*(H444*H444)*0.7854/10000</f>
        <v>3.6967207199999996</v>
      </c>
      <c r="N444" s="9"/>
      <c r="O444" s="8" t="s">
        <v>19</v>
      </c>
    </row>
    <row r="445" spans="1:15" s="14" customFormat="1" x14ac:dyDescent="0.25">
      <c r="A445" s="13">
        <v>455</v>
      </c>
      <c r="B445" s="16">
        <v>455</v>
      </c>
      <c r="C445" s="13" t="s">
        <v>3276</v>
      </c>
      <c r="D445" s="6">
        <v>973</v>
      </c>
      <c r="E445" s="13" t="s">
        <v>2931</v>
      </c>
      <c r="F445" s="13"/>
      <c r="G445" s="17">
        <v>13.1</v>
      </c>
      <c r="H445" s="16">
        <v>108</v>
      </c>
      <c r="I445" s="18">
        <v>12.000999999999999</v>
      </c>
      <c r="J445" s="13"/>
      <c r="K445" s="13"/>
      <c r="L445" s="17">
        <f>G445-J445</f>
        <v>13.1</v>
      </c>
      <c r="M445" s="18">
        <f>L445*(H445*H445)*0.7854/10000</f>
        <v>12.000786335999999</v>
      </c>
      <c r="N445" s="9"/>
      <c r="O445" s="8" t="s">
        <v>19</v>
      </c>
    </row>
    <row r="446" spans="1:15" s="14" customFormat="1" x14ac:dyDescent="0.25">
      <c r="A446" s="13">
        <v>456</v>
      </c>
      <c r="B446" s="16">
        <v>456</v>
      </c>
      <c r="C446" s="13" t="s">
        <v>3277</v>
      </c>
      <c r="D446" s="6" t="s">
        <v>728</v>
      </c>
      <c r="E446" s="13" t="s">
        <v>2931</v>
      </c>
      <c r="F446" s="13"/>
      <c r="G446" s="17">
        <v>7.7</v>
      </c>
      <c r="H446" s="16">
        <v>88</v>
      </c>
      <c r="I446" s="18">
        <v>4.6829999999999998</v>
      </c>
      <c r="J446" s="13">
        <v>0.5</v>
      </c>
      <c r="K446" s="13"/>
      <c r="L446" s="17">
        <f>G446-J446</f>
        <v>7.2</v>
      </c>
      <c r="M446" s="18">
        <f>L446*(H446*H446)*0.7854/10000</f>
        <v>4.3791390720000001</v>
      </c>
      <c r="N446" s="9"/>
      <c r="O446" s="8" t="s">
        <v>30</v>
      </c>
    </row>
    <row r="447" spans="1:15" s="14" customFormat="1" x14ac:dyDescent="0.25">
      <c r="A447" s="13">
        <v>457</v>
      </c>
      <c r="B447" s="16">
        <v>457</v>
      </c>
      <c r="C447" s="13" t="s">
        <v>3278</v>
      </c>
      <c r="D447" s="6" t="s">
        <v>730</v>
      </c>
      <c r="E447" s="13" t="s">
        <v>2931</v>
      </c>
      <c r="F447" s="13"/>
      <c r="G447" s="17">
        <v>9.8000000000000007</v>
      </c>
      <c r="H447" s="16">
        <v>88</v>
      </c>
      <c r="I447" s="18">
        <v>5.96</v>
      </c>
      <c r="J447" s="13">
        <v>0.4</v>
      </c>
      <c r="K447" s="13"/>
      <c r="L447" s="17">
        <f>G447-J447</f>
        <v>9.4</v>
      </c>
      <c r="M447" s="18">
        <f>L447*(H447*H447)*0.7854/10000</f>
        <v>5.7172093440000005</v>
      </c>
      <c r="N447" s="9"/>
      <c r="O447" s="8" t="s">
        <v>19</v>
      </c>
    </row>
    <row r="448" spans="1:15" s="14" customFormat="1" x14ac:dyDescent="0.25">
      <c r="A448" s="13">
        <v>458</v>
      </c>
      <c r="B448" s="16">
        <v>458</v>
      </c>
      <c r="C448" s="13" t="s">
        <v>3279</v>
      </c>
      <c r="D448" s="6">
        <v>974</v>
      </c>
      <c r="E448" s="13" t="s">
        <v>2931</v>
      </c>
      <c r="F448" s="13"/>
      <c r="G448" s="17">
        <v>12.8</v>
      </c>
      <c r="H448" s="16">
        <v>94</v>
      </c>
      <c r="I448" s="18">
        <v>8.8829999999999991</v>
      </c>
      <c r="J448" s="13"/>
      <c r="K448" s="13"/>
      <c r="L448" s="17">
        <f>G448-J448</f>
        <v>12.8</v>
      </c>
      <c r="M448" s="18">
        <f>L448*(H448*H448)*0.7854/10000</f>
        <v>8.8829368319999986</v>
      </c>
      <c r="N448" s="9"/>
      <c r="O448" s="8" t="s">
        <v>19</v>
      </c>
    </row>
    <row r="449" spans="1:15" s="14" customFormat="1" x14ac:dyDescent="0.25">
      <c r="A449" s="13">
        <v>459</v>
      </c>
      <c r="B449" s="16">
        <v>459</v>
      </c>
      <c r="C449" s="13" t="s">
        <v>3280</v>
      </c>
      <c r="D449" s="6" t="s">
        <v>733</v>
      </c>
      <c r="E449" s="13" t="s">
        <v>2931</v>
      </c>
      <c r="F449" s="13"/>
      <c r="G449" s="17">
        <v>5.2</v>
      </c>
      <c r="H449" s="16">
        <v>84</v>
      </c>
      <c r="I449" s="18">
        <v>2.8820000000000001</v>
      </c>
      <c r="J449" s="13">
        <v>0.4</v>
      </c>
      <c r="K449" s="13"/>
      <c r="L449" s="17">
        <f>G449-J449</f>
        <v>4.8</v>
      </c>
      <c r="M449" s="18">
        <f>L449*(H449*H449)*0.7854/10000</f>
        <v>2.6600555519999993</v>
      </c>
      <c r="N449" s="9"/>
      <c r="O449" s="8" t="s">
        <v>30</v>
      </c>
    </row>
    <row r="450" spans="1:15" s="14" customFormat="1" x14ac:dyDescent="0.25">
      <c r="A450" s="13">
        <v>460</v>
      </c>
      <c r="B450" s="16">
        <v>460</v>
      </c>
      <c r="C450" s="13" t="s">
        <v>3281</v>
      </c>
      <c r="D450" s="6">
        <v>5317</v>
      </c>
      <c r="E450" s="13" t="s">
        <v>2931</v>
      </c>
      <c r="F450" s="13"/>
      <c r="G450" s="17">
        <v>5.2</v>
      </c>
      <c r="H450" s="16">
        <v>81</v>
      </c>
      <c r="I450" s="18">
        <v>2.68</v>
      </c>
      <c r="J450" s="13"/>
      <c r="K450" s="13"/>
      <c r="L450" s="17">
        <f>G450-J450</f>
        <v>5.2</v>
      </c>
      <c r="M450" s="18">
        <f>L450*(H450*H450)*0.7854/10000</f>
        <v>2.6795648880000003</v>
      </c>
      <c r="N450" s="9"/>
      <c r="O450" s="8" t="s">
        <v>19</v>
      </c>
    </row>
    <row r="451" spans="1:15" s="14" customFormat="1" x14ac:dyDescent="0.25">
      <c r="A451" s="13">
        <v>461</v>
      </c>
      <c r="B451" s="16">
        <v>461</v>
      </c>
      <c r="C451" s="13" t="s">
        <v>3282</v>
      </c>
      <c r="D451" s="6">
        <v>975</v>
      </c>
      <c r="E451" s="13" t="s">
        <v>2931</v>
      </c>
      <c r="F451" s="13"/>
      <c r="G451" s="17">
        <v>10.5</v>
      </c>
      <c r="H451" s="16">
        <v>85</v>
      </c>
      <c r="I451" s="18">
        <v>5.9580000000000002</v>
      </c>
      <c r="J451" s="13"/>
      <c r="K451" s="13"/>
      <c r="L451" s="17">
        <f>G451-J451</f>
        <v>10.5</v>
      </c>
      <c r="M451" s="18">
        <f>L451*(H451*H451)*0.7854/10000</f>
        <v>5.9582407499999999</v>
      </c>
      <c r="N451" s="9"/>
      <c r="O451" s="8" t="s">
        <v>19</v>
      </c>
    </row>
    <row r="452" spans="1:15" s="14" customFormat="1" x14ac:dyDescent="0.25">
      <c r="A452" s="13">
        <v>462</v>
      </c>
      <c r="B452" s="16">
        <v>462</v>
      </c>
      <c r="C452" s="13" t="s">
        <v>3283</v>
      </c>
      <c r="D452" s="6">
        <v>5083</v>
      </c>
      <c r="E452" s="13" t="s">
        <v>2931</v>
      </c>
      <c r="F452" s="13"/>
      <c r="G452" s="17">
        <v>10.7</v>
      </c>
      <c r="H452" s="16">
        <v>91</v>
      </c>
      <c r="I452" s="18">
        <v>6.9589999999999996</v>
      </c>
      <c r="J452" s="13">
        <v>0.3</v>
      </c>
      <c r="K452" s="13"/>
      <c r="L452" s="17">
        <f>G452-J452</f>
        <v>10.399999999999999</v>
      </c>
      <c r="M452" s="18">
        <f>L452*(H452*H452)*0.7854/10000</f>
        <v>6.7640532959999993</v>
      </c>
      <c r="N452" s="9"/>
      <c r="O452" s="8" t="s">
        <v>19</v>
      </c>
    </row>
    <row r="453" spans="1:15" s="14" customFormat="1" x14ac:dyDescent="0.25">
      <c r="A453" s="13">
        <v>463</v>
      </c>
      <c r="B453" s="16">
        <v>463</v>
      </c>
      <c r="C453" s="13" t="s">
        <v>3284</v>
      </c>
      <c r="D453" s="6">
        <v>5318</v>
      </c>
      <c r="E453" s="13" t="s">
        <v>2931</v>
      </c>
      <c r="F453" s="13"/>
      <c r="G453" s="17">
        <v>10.8</v>
      </c>
      <c r="H453" s="16">
        <v>85</v>
      </c>
      <c r="I453" s="18">
        <v>6.1280000000000001</v>
      </c>
      <c r="J453" s="13"/>
      <c r="K453" s="13"/>
      <c r="L453" s="17">
        <f>G453-J453</f>
        <v>10.8</v>
      </c>
      <c r="M453" s="18">
        <f>L453*(H453*H453)*0.7854/10000</f>
        <v>6.1284762000000006</v>
      </c>
      <c r="N453" s="9"/>
      <c r="O453" s="8" t="s">
        <v>19</v>
      </c>
    </row>
    <row r="454" spans="1:15" s="14" customFormat="1" x14ac:dyDescent="0.25">
      <c r="A454" s="13">
        <v>464</v>
      </c>
      <c r="B454" s="16">
        <v>464</v>
      </c>
      <c r="C454" s="13" t="s">
        <v>3285</v>
      </c>
      <c r="D454" s="6">
        <v>5084</v>
      </c>
      <c r="E454" s="13" t="s">
        <v>2931</v>
      </c>
      <c r="F454" s="13"/>
      <c r="G454" s="17">
        <v>11.6</v>
      </c>
      <c r="H454" s="16">
        <v>116</v>
      </c>
      <c r="I454" s="18">
        <v>12.259</v>
      </c>
      <c r="J454" s="13"/>
      <c r="K454" s="13"/>
      <c r="L454" s="17">
        <f>G454-J454</f>
        <v>11.6</v>
      </c>
      <c r="M454" s="18">
        <f>L454*(H454*H454)*0.7854/10000</f>
        <v>12.259277184</v>
      </c>
      <c r="N454" s="9"/>
      <c r="O454" s="8" t="s">
        <v>19</v>
      </c>
    </row>
    <row r="455" spans="1:15" s="14" customFormat="1" x14ac:dyDescent="0.25">
      <c r="A455" s="13">
        <v>465</v>
      </c>
      <c r="B455" s="16">
        <v>465</v>
      </c>
      <c r="C455" s="13" t="s">
        <v>3286</v>
      </c>
      <c r="D455" s="6" t="s">
        <v>740</v>
      </c>
      <c r="E455" s="13" t="s">
        <v>2931</v>
      </c>
      <c r="F455" s="13"/>
      <c r="G455" s="17">
        <v>11.8</v>
      </c>
      <c r="H455" s="16">
        <v>95</v>
      </c>
      <c r="I455" s="18">
        <v>8.3640000000000008</v>
      </c>
      <c r="J455" s="13"/>
      <c r="K455" s="13"/>
      <c r="L455" s="17">
        <f>G455-J455</f>
        <v>11.8</v>
      </c>
      <c r="M455" s="18">
        <f>L455*(H455*H455)*0.7854/10000</f>
        <v>8.3641173000000002</v>
      </c>
      <c r="N455" s="9"/>
      <c r="O455" s="8" t="s">
        <v>19</v>
      </c>
    </row>
    <row r="456" spans="1:15" s="14" customFormat="1" x14ac:dyDescent="0.25">
      <c r="A456" s="13">
        <v>466</v>
      </c>
      <c r="B456" s="16">
        <v>466</v>
      </c>
      <c r="C456" s="13" t="s">
        <v>3287</v>
      </c>
      <c r="D456" s="6" t="s">
        <v>742</v>
      </c>
      <c r="E456" s="13" t="s">
        <v>2931</v>
      </c>
      <c r="F456" s="13"/>
      <c r="G456" s="17">
        <v>10.4</v>
      </c>
      <c r="H456" s="16">
        <v>94</v>
      </c>
      <c r="I456" s="18">
        <v>7.2169999999999996</v>
      </c>
      <c r="J456" s="13"/>
      <c r="K456" s="13"/>
      <c r="L456" s="17">
        <f>G456-J456</f>
        <v>10.4</v>
      </c>
      <c r="M456" s="18">
        <f>L456*(H456*H456)*0.7854/10000</f>
        <v>7.2173861759999998</v>
      </c>
      <c r="N456" s="9"/>
      <c r="O456" s="8" t="s">
        <v>19</v>
      </c>
    </row>
    <row r="457" spans="1:15" s="14" customFormat="1" x14ac:dyDescent="0.25">
      <c r="A457" s="13">
        <v>467</v>
      </c>
      <c r="B457" s="16">
        <v>467</v>
      </c>
      <c r="C457" s="13" t="s">
        <v>3288</v>
      </c>
      <c r="D457" s="6" t="s">
        <v>744</v>
      </c>
      <c r="E457" s="13" t="s">
        <v>2931</v>
      </c>
      <c r="F457" s="13"/>
      <c r="G457" s="17">
        <v>6.2</v>
      </c>
      <c r="H457" s="16">
        <v>93</v>
      </c>
      <c r="I457" s="18">
        <v>4.2119999999999997</v>
      </c>
      <c r="J457" s="13"/>
      <c r="K457" s="13"/>
      <c r="L457" s="17">
        <f>G457-J457</f>
        <v>6.2</v>
      </c>
      <c r="M457" s="18">
        <f>L457*(H457*H457)*0.7854/10000</f>
        <v>4.2116132520000003</v>
      </c>
      <c r="N457" s="9"/>
      <c r="O457" s="8" t="s">
        <v>19</v>
      </c>
    </row>
    <row r="458" spans="1:15" s="14" customFormat="1" x14ac:dyDescent="0.25">
      <c r="A458" s="13">
        <v>468</v>
      </c>
      <c r="B458" s="16">
        <v>468</v>
      </c>
      <c r="C458" s="13" t="s">
        <v>3289</v>
      </c>
      <c r="D458" s="6" t="s">
        <v>746</v>
      </c>
      <c r="E458" s="13" t="s">
        <v>2931</v>
      </c>
      <c r="F458" s="13"/>
      <c r="G458" s="17">
        <v>12.7</v>
      </c>
      <c r="H458" s="16">
        <v>100</v>
      </c>
      <c r="I458" s="18">
        <v>9.9749999999999996</v>
      </c>
      <c r="J458" s="13">
        <v>0.3</v>
      </c>
      <c r="K458" s="13"/>
      <c r="L458" s="17">
        <f>G458-J458</f>
        <v>12.399999999999999</v>
      </c>
      <c r="M458" s="18">
        <f>L458*(H458*H458)*0.7854/10000</f>
        <v>9.7389599999999987</v>
      </c>
      <c r="N458" s="9"/>
      <c r="O458" s="8" t="s">
        <v>30</v>
      </c>
    </row>
    <row r="459" spans="1:15" s="14" customFormat="1" x14ac:dyDescent="0.25">
      <c r="A459" s="13">
        <v>469</v>
      </c>
      <c r="B459" s="16">
        <v>469</v>
      </c>
      <c r="C459" s="13" t="s">
        <v>3290</v>
      </c>
      <c r="D459" s="6" t="s">
        <v>748</v>
      </c>
      <c r="E459" s="13" t="s">
        <v>2931</v>
      </c>
      <c r="F459" s="13"/>
      <c r="G459" s="17">
        <v>12</v>
      </c>
      <c r="H459" s="16">
        <v>94</v>
      </c>
      <c r="I459" s="18">
        <v>8.3279999999999994</v>
      </c>
      <c r="J459" s="13"/>
      <c r="K459" s="13"/>
      <c r="L459" s="17">
        <f>G459-J459</f>
        <v>12</v>
      </c>
      <c r="M459" s="18">
        <f>L459*(H459*H459)*0.7854/10000</f>
        <v>8.3277532799999996</v>
      </c>
      <c r="N459" s="9"/>
      <c r="O459" s="8" t="s">
        <v>19</v>
      </c>
    </row>
    <row r="460" spans="1:15" s="14" customFormat="1" x14ac:dyDescent="0.25">
      <c r="A460" s="13">
        <v>470</v>
      </c>
      <c r="B460" s="16">
        <v>470</v>
      </c>
      <c r="C460" s="13" t="s">
        <v>3291</v>
      </c>
      <c r="D460" s="6" t="s">
        <v>750</v>
      </c>
      <c r="E460" s="13" t="s">
        <v>2931</v>
      </c>
      <c r="F460" s="13"/>
      <c r="G460" s="17">
        <v>5.2</v>
      </c>
      <c r="H460" s="16">
        <v>94</v>
      </c>
      <c r="I460" s="18">
        <v>3.609</v>
      </c>
      <c r="J460" s="13"/>
      <c r="K460" s="13"/>
      <c r="L460" s="17">
        <f>G460-J460</f>
        <v>5.2</v>
      </c>
      <c r="M460" s="18">
        <f>L460*(H460*H460)*0.7854/10000</f>
        <v>3.6086930879999999</v>
      </c>
      <c r="N460" s="9"/>
      <c r="O460" s="8" t="s">
        <v>19</v>
      </c>
    </row>
    <row r="461" spans="1:15" s="14" customFormat="1" x14ac:dyDescent="0.25">
      <c r="A461" s="13">
        <v>471</v>
      </c>
      <c r="B461" s="16">
        <v>471</v>
      </c>
      <c r="C461" s="13" t="s">
        <v>3292</v>
      </c>
      <c r="D461" s="6" t="s">
        <v>752</v>
      </c>
      <c r="E461" s="13" t="s">
        <v>2931</v>
      </c>
      <c r="F461" s="13"/>
      <c r="G461" s="17">
        <v>9.4</v>
      </c>
      <c r="H461" s="16">
        <v>86</v>
      </c>
      <c r="I461" s="18">
        <v>5.46</v>
      </c>
      <c r="J461" s="13"/>
      <c r="K461" s="13"/>
      <c r="L461" s="17">
        <f>G461-J461</f>
        <v>9.4</v>
      </c>
      <c r="M461" s="18">
        <f>L461*(H461*H461)*0.7854/10000</f>
        <v>5.4602892960000009</v>
      </c>
      <c r="N461" s="9"/>
      <c r="O461" s="8" t="s">
        <v>30</v>
      </c>
    </row>
    <row r="462" spans="1:15" s="14" customFormat="1" x14ac:dyDescent="0.25">
      <c r="A462" s="13">
        <v>472</v>
      </c>
      <c r="B462" s="16">
        <v>472</v>
      </c>
      <c r="C462" s="13" t="s">
        <v>3293</v>
      </c>
      <c r="D462" s="6" t="s">
        <v>754</v>
      </c>
      <c r="E462" s="13" t="s">
        <v>2931</v>
      </c>
      <c r="F462" s="13"/>
      <c r="G462" s="17">
        <v>8.1999999999999993</v>
      </c>
      <c r="H462" s="16">
        <v>63</v>
      </c>
      <c r="I462" s="18">
        <v>2.556</v>
      </c>
      <c r="J462" s="13"/>
      <c r="K462" s="13"/>
      <c r="L462" s="17">
        <f>G462-J462</f>
        <v>8.1999999999999993</v>
      </c>
      <c r="M462" s="18">
        <f>L462*(H462*H462)*0.7854/10000</f>
        <v>2.5561471319999995</v>
      </c>
      <c r="N462" s="9" t="s">
        <v>21</v>
      </c>
      <c r="O462" s="8" t="s">
        <v>19</v>
      </c>
    </row>
    <row r="463" spans="1:15" s="14" customFormat="1" x14ac:dyDescent="0.25">
      <c r="A463" s="13">
        <v>473</v>
      </c>
      <c r="B463" s="16">
        <v>473</v>
      </c>
      <c r="C463" s="13" t="s">
        <v>3294</v>
      </c>
      <c r="D463" s="6" t="s">
        <v>756</v>
      </c>
      <c r="E463" s="13" t="s">
        <v>2931</v>
      </c>
      <c r="F463" s="13"/>
      <c r="G463" s="17">
        <v>4.8</v>
      </c>
      <c r="H463" s="16">
        <v>59</v>
      </c>
      <c r="I463" s="18">
        <v>1.3120000000000001</v>
      </c>
      <c r="J463" s="13"/>
      <c r="K463" s="13"/>
      <c r="L463" s="17">
        <f>G463-J463</f>
        <v>4.8</v>
      </c>
      <c r="M463" s="18">
        <f>L463*(H463*H463)*0.7854/10000</f>
        <v>1.3123091520000001</v>
      </c>
      <c r="N463" s="9" t="s">
        <v>53</v>
      </c>
      <c r="O463" s="8" t="s">
        <v>19</v>
      </c>
    </row>
    <row r="464" spans="1:15" s="14" customFormat="1" x14ac:dyDescent="0.25">
      <c r="A464" s="13">
        <v>474</v>
      </c>
      <c r="B464" s="16">
        <v>474</v>
      </c>
      <c r="C464" s="13" t="s">
        <v>3295</v>
      </c>
      <c r="D464" s="6" t="s">
        <v>758</v>
      </c>
      <c r="E464" s="13" t="s">
        <v>2931</v>
      </c>
      <c r="F464" s="13"/>
      <c r="G464" s="17">
        <v>11.1</v>
      </c>
      <c r="H464" s="16">
        <v>102</v>
      </c>
      <c r="I464" s="18">
        <v>9.07</v>
      </c>
      <c r="J464" s="13">
        <v>0.4</v>
      </c>
      <c r="K464" s="13"/>
      <c r="L464" s="17">
        <f>G464-J464</f>
        <v>10.7</v>
      </c>
      <c r="M464" s="18">
        <f>L464*(H464*H464)*0.7854/10000</f>
        <v>8.7432927119999988</v>
      </c>
      <c r="N464" s="9"/>
      <c r="O464" s="8" t="s">
        <v>30</v>
      </c>
    </row>
    <row r="465" spans="1:15" s="14" customFormat="1" x14ac:dyDescent="0.25">
      <c r="A465" s="13">
        <v>475</v>
      </c>
      <c r="B465" s="16">
        <v>475</v>
      </c>
      <c r="C465" s="13" t="s">
        <v>3296</v>
      </c>
      <c r="D465" s="6">
        <v>5074</v>
      </c>
      <c r="E465" s="13" t="s">
        <v>2931</v>
      </c>
      <c r="F465" s="13"/>
      <c r="G465" s="17">
        <v>12.3</v>
      </c>
      <c r="H465" s="16">
        <v>98</v>
      </c>
      <c r="I465" s="18">
        <v>9.2780000000000005</v>
      </c>
      <c r="J465" s="13"/>
      <c r="K465" s="13"/>
      <c r="L465" s="17">
        <f>G465-J465</f>
        <v>12.3</v>
      </c>
      <c r="M465" s="18">
        <f>L465*(H465*H465)*0.7854/10000</f>
        <v>9.2778673680000008</v>
      </c>
      <c r="N465" s="9"/>
      <c r="O465" s="8" t="s">
        <v>19</v>
      </c>
    </row>
    <row r="466" spans="1:15" s="14" customFormat="1" x14ac:dyDescent="0.25">
      <c r="A466" s="13">
        <v>476</v>
      </c>
      <c r="B466" s="16">
        <v>476</v>
      </c>
      <c r="C466" s="13" t="s">
        <v>3297</v>
      </c>
      <c r="D466" s="6" t="s">
        <v>761</v>
      </c>
      <c r="E466" s="13" t="s">
        <v>2931</v>
      </c>
      <c r="F466" s="13"/>
      <c r="G466" s="17">
        <v>10.1</v>
      </c>
      <c r="H466" s="16">
        <v>92</v>
      </c>
      <c r="I466" s="18">
        <v>6.7140000000000004</v>
      </c>
      <c r="J466" s="13"/>
      <c r="K466" s="13"/>
      <c r="L466" s="17">
        <f>G466-J466</f>
        <v>10.1</v>
      </c>
      <c r="M466" s="18">
        <f>L466*(H466*H466)*0.7854/10000</f>
        <v>6.7141018560000001</v>
      </c>
      <c r="N466" s="9"/>
      <c r="O466" s="8" t="s">
        <v>19</v>
      </c>
    </row>
    <row r="467" spans="1:15" s="14" customFormat="1" x14ac:dyDescent="0.25">
      <c r="A467" s="13">
        <v>477</v>
      </c>
      <c r="B467" s="16">
        <v>477</v>
      </c>
      <c r="C467" s="13" t="s">
        <v>3298</v>
      </c>
      <c r="D467" s="6">
        <v>886</v>
      </c>
      <c r="E467" s="13" t="s">
        <v>2931</v>
      </c>
      <c r="F467" s="13"/>
      <c r="G467" s="17">
        <v>11.4</v>
      </c>
      <c r="H467" s="16">
        <v>81</v>
      </c>
      <c r="I467" s="18">
        <v>5.8739999999999997</v>
      </c>
      <c r="J467" s="13"/>
      <c r="K467" s="13"/>
      <c r="L467" s="17">
        <f>G467-J467</f>
        <v>11.4</v>
      </c>
      <c r="M467" s="18">
        <f>L467*(H467*H467)*0.7854/10000</f>
        <v>5.874430716</v>
      </c>
      <c r="N467" s="9"/>
      <c r="O467" s="8" t="s">
        <v>19</v>
      </c>
    </row>
    <row r="468" spans="1:15" s="14" customFormat="1" x14ac:dyDescent="0.25">
      <c r="A468" s="13">
        <v>478</v>
      </c>
      <c r="B468" s="16">
        <v>478</v>
      </c>
      <c r="C468" s="13" t="s">
        <v>3299</v>
      </c>
      <c r="D468" s="6" t="s">
        <v>764</v>
      </c>
      <c r="E468" s="13" t="s">
        <v>2931</v>
      </c>
      <c r="F468" s="13"/>
      <c r="G468" s="17">
        <v>11.8</v>
      </c>
      <c r="H468" s="16">
        <v>96</v>
      </c>
      <c r="I468" s="18">
        <v>8.5410000000000004</v>
      </c>
      <c r="J468" s="13"/>
      <c r="K468" s="13"/>
      <c r="L468" s="17">
        <f>G468-J468</f>
        <v>11.8</v>
      </c>
      <c r="M468" s="18">
        <f>L468*(H468*H468)*0.7854/10000</f>
        <v>8.5411307520000008</v>
      </c>
      <c r="N468" s="9"/>
      <c r="O468" s="8" t="s">
        <v>19</v>
      </c>
    </row>
    <row r="469" spans="1:15" s="14" customFormat="1" x14ac:dyDescent="0.25">
      <c r="A469" s="13">
        <v>479</v>
      </c>
      <c r="B469" s="16">
        <v>479</v>
      </c>
      <c r="C469" s="13" t="s">
        <v>3300</v>
      </c>
      <c r="D469" s="6" t="s">
        <v>766</v>
      </c>
      <c r="E469" s="13" t="s">
        <v>2931</v>
      </c>
      <c r="F469" s="13"/>
      <c r="G469" s="17">
        <v>7</v>
      </c>
      <c r="H469" s="16">
        <v>90</v>
      </c>
      <c r="I469" s="18">
        <v>4.4530000000000003</v>
      </c>
      <c r="J469" s="13"/>
      <c r="K469" s="13"/>
      <c r="L469" s="17">
        <f>G469-J469</f>
        <v>7</v>
      </c>
      <c r="M469" s="18">
        <f>L469*(H469*H469)*0.7854/10000</f>
        <v>4.4532179999999997</v>
      </c>
      <c r="N469" s="9"/>
      <c r="O469" s="8" t="s">
        <v>19</v>
      </c>
    </row>
    <row r="470" spans="1:15" s="14" customFormat="1" x14ac:dyDescent="0.25">
      <c r="A470" s="13">
        <v>480</v>
      </c>
      <c r="B470" s="16">
        <v>480</v>
      </c>
      <c r="C470" s="13" t="s">
        <v>3301</v>
      </c>
      <c r="D470" s="6" t="s">
        <v>768</v>
      </c>
      <c r="E470" s="13" t="s">
        <v>2931</v>
      </c>
      <c r="F470" s="13"/>
      <c r="G470" s="17">
        <v>10.1</v>
      </c>
      <c r="H470" s="16">
        <v>95</v>
      </c>
      <c r="I470" s="18">
        <v>7.1589999999999998</v>
      </c>
      <c r="J470" s="13"/>
      <c r="K470" s="13"/>
      <c r="L470" s="17">
        <f>G470-J470</f>
        <v>10.1</v>
      </c>
      <c r="M470" s="18">
        <f>L470*(H470*H470)*0.7854/10000</f>
        <v>7.1591173500000007</v>
      </c>
      <c r="N470" s="9"/>
      <c r="O470" s="8" t="s">
        <v>19</v>
      </c>
    </row>
    <row r="471" spans="1:15" s="14" customFormat="1" x14ac:dyDescent="0.25">
      <c r="A471" s="13">
        <v>481</v>
      </c>
      <c r="B471" s="16">
        <v>481</v>
      </c>
      <c r="C471" s="13" t="s">
        <v>3302</v>
      </c>
      <c r="D471" s="6" t="s">
        <v>770</v>
      </c>
      <c r="E471" s="13" t="s">
        <v>2931</v>
      </c>
      <c r="F471" s="13"/>
      <c r="G471" s="17">
        <v>5.9</v>
      </c>
      <c r="H471" s="16">
        <v>82</v>
      </c>
      <c r="I471" s="18">
        <v>3.1160000000000001</v>
      </c>
      <c r="J471" s="13">
        <v>0.3</v>
      </c>
      <c r="K471" s="13"/>
      <c r="L471" s="17">
        <f>G471-J471</f>
        <v>5.6000000000000005</v>
      </c>
      <c r="M471" s="18">
        <f>L471*(H471*H471)*0.7854/10000</f>
        <v>2.9573765760000001</v>
      </c>
      <c r="N471" s="9"/>
      <c r="O471" s="8" t="s">
        <v>19</v>
      </c>
    </row>
    <row r="472" spans="1:15" s="14" customFormat="1" x14ac:dyDescent="0.25">
      <c r="A472" s="13">
        <v>482</v>
      </c>
      <c r="B472" s="16">
        <v>482</v>
      </c>
      <c r="C472" s="13" t="s">
        <v>3303</v>
      </c>
      <c r="D472" s="6" t="s">
        <v>772</v>
      </c>
      <c r="E472" s="13" t="s">
        <v>2931</v>
      </c>
      <c r="F472" s="13"/>
      <c r="G472" s="17">
        <v>5.9</v>
      </c>
      <c r="H472" s="16">
        <v>92</v>
      </c>
      <c r="I472" s="18">
        <v>3.9220000000000002</v>
      </c>
      <c r="J472" s="13">
        <v>0.3</v>
      </c>
      <c r="K472" s="13"/>
      <c r="L472" s="17">
        <f>G472-J472</f>
        <v>5.6000000000000005</v>
      </c>
      <c r="M472" s="18">
        <f>L472*(H472*H472)*0.7854/10000</f>
        <v>3.7226703359999997</v>
      </c>
      <c r="N472" s="9"/>
      <c r="O472" s="8" t="s">
        <v>19</v>
      </c>
    </row>
    <row r="473" spans="1:15" s="14" customFormat="1" x14ac:dyDescent="0.25">
      <c r="A473" s="13">
        <v>483</v>
      </c>
      <c r="B473" s="16">
        <v>483</v>
      </c>
      <c r="C473" s="13" t="s">
        <v>3304</v>
      </c>
      <c r="D473" s="6">
        <v>5077</v>
      </c>
      <c r="E473" s="13" t="s">
        <v>2931</v>
      </c>
      <c r="F473" s="13"/>
      <c r="G473" s="17">
        <v>12</v>
      </c>
      <c r="H473" s="16">
        <v>70</v>
      </c>
      <c r="I473" s="18">
        <v>4.6180000000000003</v>
      </c>
      <c r="J473" s="13"/>
      <c r="K473" s="13"/>
      <c r="L473" s="17">
        <f>G473-J473</f>
        <v>12</v>
      </c>
      <c r="M473" s="18">
        <f>L473*(H473*H473)*0.7854/10000</f>
        <v>4.6181519999999994</v>
      </c>
      <c r="N473" s="9"/>
      <c r="O473" s="8" t="s">
        <v>30</v>
      </c>
    </row>
    <row r="474" spans="1:15" s="14" customFormat="1" x14ac:dyDescent="0.25">
      <c r="A474" s="13">
        <v>484</v>
      </c>
      <c r="B474" s="16">
        <v>484</v>
      </c>
      <c r="C474" s="13" t="s">
        <v>3305</v>
      </c>
      <c r="D474" s="6" t="s">
        <v>775</v>
      </c>
      <c r="E474" s="13" t="s">
        <v>2931</v>
      </c>
      <c r="F474" s="13"/>
      <c r="G474" s="17">
        <v>4.7</v>
      </c>
      <c r="H474" s="16">
        <v>88</v>
      </c>
      <c r="I474" s="18">
        <v>2.859</v>
      </c>
      <c r="J474" s="13"/>
      <c r="K474" s="13"/>
      <c r="L474" s="17">
        <f>G474-J474</f>
        <v>4.7</v>
      </c>
      <c r="M474" s="18">
        <f>L474*(H474*H474)*0.7854/10000</f>
        <v>2.8586046720000002</v>
      </c>
      <c r="N474" s="9"/>
      <c r="O474" s="8" t="s">
        <v>19</v>
      </c>
    </row>
    <row r="475" spans="1:15" s="14" customFormat="1" x14ac:dyDescent="0.25">
      <c r="A475" s="13">
        <v>485</v>
      </c>
      <c r="B475" s="16">
        <v>485</v>
      </c>
      <c r="C475" s="13" t="s">
        <v>3306</v>
      </c>
      <c r="D475" s="6" t="s">
        <v>777</v>
      </c>
      <c r="E475" s="13" t="s">
        <v>2931</v>
      </c>
      <c r="F475" s="13"/>
      <c r="G475" s="17">
        <v>9.6</v>
      </c>
      <c r="H475" s="16">
        <v>95</v>
      </c>
      <c r="I475" s="18">
        <v>6.8049999999999997</v>
      </c>
      <c r="J475" s="13"/>
      <c r="K475" s="13"/>
      <c r="L475" s="17">
        <f>G475-J475</f>
        <v>9.6</v>
      </c>
      <c r="M475" s="18">
        <f>L475*(H475*H475)*0.7854/10000</f>
        <v>6.8047055999999992</v>
      </c>
      <c r="N475" s="9"/>
      <c r="O475" s="8" t="s">
        <v>19</v>
      </c>
    </row>
    <row r="476" spans="1:15" s="14" customFormat="1" x14ac:dyDescent="0.25">
      <c r="A476" s="13">
        <v>486</v>
      </c>
      <c r="B476" s="16">
        <v>486</v>
      </c>
      <c r="C476" s="13" t="s">
        <v>3307</v>
      </c>
      <c r="D476" s="6" t="s">
        <v>779</v>
      </c>
      <c r="E476" s="13" t="s">
        <v>2931</v>
      </c>
      <c r="F476" s="13"/>
      <c r="G476" s="17">
        <v>10</v>
      </c>
      <c r="H476" s="16">
        <v>86</v>
      </c>
      <c r="I476" s="18">
        <v>5.8090000000000002</v>
      </c>
      <c r="J476" s="13"/>
      <c r="K476" s="13"/>
      <c r="L476" s="17">
        <f>G476-J476</f>
        <v>10</v>
      </c>
      <c r="M476" s="18">
        <f>L476*(H476*H476)*0.7854/10000</f>
        <v>5.8088183999999998</v>
      </c>
      <c r="N476" s="9"/>
      <c r="O476" s="8" t="s">
        <v>30</v>
      </c>
    </row>
    <row r="477" spans="1:15" s="14" customFormat="1" x14ac:dyDescent="0.25">
      <c r="A477" s="13">
        <v>487</v>
      </c>
      <c r="B477" s="16">
        <v>487</v>
      </c>
      <c r="C477" s="13" t="s">
        <v>3308</v>
      </c>
      <c r="D477" s="6" t="s">
        <v>781</v>
      </c>
      <c r="E477" s="13" t="s">
        <v>2931</v>
      </c>
      <c r="F477" s="13"/>
      <c r="G477" s="17">
        <v>4.7</v>
      </c>
      <c r="H477" s="16">
        <v>78</v>
      </c>
      <c r="I477" s="18">
        <v>2.246</v>
      </c>
      <c r="J477" s="13"/>
      <c r="K477" s="13"/>
      <c r="L477" s="17">
        <f>G477-J477</f>
        <v>4.7</v>
      </c>
      <c r="M477" s="18">
        <f>L477*(H477*H477)*0.7854/10000</f>
        <v>2.2458355919999997</v>
      </c>
      <c r="N477" s="9"/>
      <c r="O477" s="8" t="s">
        <v>19</v>
      </c>
    </row>
    <row r="478" spans="1:15" s="14" customFormat="1" x14ac:dyDescent="0.25">
      <c r="A478" s="13">
        <v>488</v>
      </c>
      <c r="B478" s="16">
        <v>488</v>
      </c>
      <c r="C478" s="13" t="s">
        <v>3309</v>
      </c>
      <c r="D478" s="6" t="s">
        <v>783</v>
      </c>
      <c r="E478" s="13" t="s">
        <v>2931</v>
      </c>
      <c r="F478" s="13"/>
      <c r="G478" s="17">
        <v>10.7</v>
      </c>
      <c r="H478" s="16">
        <v>81</v>
      </c>
      <c r="I478" s="18">
        <v>5.5140000000000002</v>
      </c>
      <c r="J478" s="13"/>
      <c r="K478" s="13"/>
      <c r="L478" s="17">
        <f>G478-J478</f>
        <v>10.7</v>
      </c>
      <c r="M478" s="18">
        <f>L478*(H478*H478)*0.7854/10000</f>
        <v>5.5137200579999996</v>
      </c>
      <c r="N478" s="9"/>
      <c r="O478" s="8" t="s">
        <v>19</v>
      </c>
    </row>
    <row r="479" spans="1:15" s="14" customFormat="1" x14ac:dyDescent="0.25">
      <c r="A479" s="13">
        <v>489</v>
      </c>
      <c r="B479" s="16">
        <v>489</v>
      </c>
      <c r="C479" s="13" t="s">
        <v>3310</v>
      </c>
      <c r="D479" s="6">
        <v>5297</v>
      </c>
      <c r="E479" s="13" t="s">
        <v>2931</v>
      </c>
      <c r="F479" s="13"/>
      <c r="G479" s="17">
        <v>13.8</v>
      </c>
      <c r="H479" s="16">
        <v>102</v>
      </c>
      <c r="I479" s="18">
        <v>11.276</v>
      </c>
      <c r="J479" s="13"/>
      <c r="K479" s="13"/>
      <c r="L479" s="17">
        <f>G479-J479</f>
        <v>13.8</v>
      </c>
      <c r="M479" s="18">
        <f>L479*(H479*H479)*0.7854/10000</f>
        <v>11.276396208000001</v>
      </c>
      <c r="N479" s="9"/>
      <c r="O479" s="8" t="s">
        <v>30</v>
      </c>
    </row>
    <row r="480" spans="1:15" s="14" customFormat="1" x14ac:dyDescent="0.25">
      <c r="A480" s="13">
        <v>490</v>
      </c>
      <c r="B480" s="16">
        <v>490</v>
      </c>
      <c r="C480" s="13" t="s">
        <v>3311</v>
      </c>
      <c r="D480" s="6" t="s">
        <v>786</v>
      </c>
      <c r="E480" s="13" t="s">
        <v>2931</v>
      </c>
      <c r="F480" s="13"/>
      <c r="G480" s="17">
        <v>5.3</v>
      </c>
      <c r="H480" s="16">
        <v>72</v>
      </c>
      <c r="I480" s="18">
        <v>2.1579999999999999</v>
      </c>
      <c r="J480" s="13"/>
      <c r="K480" s="13"/>
      <c r="L480" s="17">
        <f>G480-J480</f>
        <v>5.3</v>
      </c>
      <c r="M480" s="18">
        <f>L480*(H480*H480)*0.7854/10000</f>
        <v>2.1579022079999999</v>
      </c>
      <c r="N480" s="9"/>
      <c r="O480" s="8" t="s">
        <v>19</v>
      </c>
    </row>
    <row r="481" spans="1:15" s="14" customFormat="1" x14ac:dyDescent="0.25">
      <c r="A481" s="13">
        <v>491</v>
      </c>
      <c r="B481" s="16">
        <v>491</v>
      </c>
      <c r="C481" s="13" t="s">
        <v>3312</v>
      </c>
      <c r="D481" s="6" t="s">
        <v>788</v>
      </c>
      <c r="E481" s="13" t="s">
        <v>2931</v>
      </c>
      <c r="F481" s="13"/>
      <c r="G481" s="17">
        <v>10.8</v>
      </c>
      <c r="H481" s="16">
        <v>108</v>
      </c>
      <c r="I481" s="18">
        <v>9.8940000000000001</v>
      </c>
      <c r="J481" s="13"/>
      <c r="K481" s="13"/>
      <c r="L481" s="17">
        <f>G481-J481</f>
        <v>10.8</v>
      </c>
      <c r="M481" s="18">
        <f>L481*(H481*H481)*0.7854/10000</f>
        <v>9.8937780479999997</v>
      </c>
      <c r="N481" s="9"/>
      <c r="O481" s="8" t="s">
        <v>19</v>
      </c>
    </row>
    <row r="482" spans="1:15" s="14" customFormat="1" x14ac:dyDescent="0.25">
      <c r="A482" s="13">
        <v>492</v>
      </c>
      <c r="B482" s="16">
        <v>492</v>
      </c>
      <c r="C482" s="13" t="s">
        <v>3313</v>
      </c>
      <c r="D482" s="6" t="s">
        <v>790</v>
      </c>
      <c r="E482" s="13" t="s">
        <v>2931</v>
      </c>
      <c r="F482" s="13"/>
      <c r="G482" s="17">
        <v>9.8000000000000007</v>
      </c>
      <c r="H482" s="16">
        <v>100</v>
      </c>
      <c r="I482" s="18">
        <v>7.6970000000000001</v>
      </c>
      <c r="J482" s="13"/>
      <c r="K482" s="13"/>
      <c r="L482" s="17">
        <f>G482-J482</f>
        <v>9.8000000000000007</v>
      </c>
      <c r="M482" s="18">
        <f>L482*(H482*H482)*0.7854/10000</f>
        <v>7.6969199999999995</v>
      </c>
      <c r="N482" s="9"/>
      <c r="O482" s="8" t="s">
        <v>19</v>
      </c>
    </row>
    <row r="483" spans="1:15" s="14" customFormat="1" x14ac:dyDescent="0.25">
      <c r="A483" s="13">
        <v>493</v>
      </c>
      <c r="B483" s="16">
        <v>493</v>
      </c>
      <c r="C483" s="13" t="s">
        <v>3314</v>
      </c>
      <c r="D483" s="6" t="s">
        <v>792</v>
      </c>
      <c r="E483" s="13" t="s">
        <v>2931</v>
      </c>
      <c r="F483" s="13"/>
      <c r="G483" s="17">
        <v>4.7</v>
      </c>
      <c r="H483" s="16">
        <v>104</v>
      </c>
      <c r="I483" s="18">
        <v>3.9929999999999999</v>
      </c>
      <c r="J483" s="13"/>
      <c r="K483" s="13"/>
      <c r="L483" s="17">
        <f>G483-J483</f>
        <v>4.7</v>
      </c>
      <c r="M483" s="18">
        <f>L483*(H483*H483)*0.7854/10000</f>
        <v>3.9925966080000004</v>
      </c>
      <c r="N483" s="9"/>
      <c r="O483" s="8" t="s">
        <v>19</v>
      </c>
    </row>
    <row r="484" spans="1:15" s="14" customFormat="1" x14ac:dyDescent="0.25">
      <c r="A484" s="13">
        <v>494</v>
      </c>
      <c r="B484" s="16">
        <v>494</v>
      </c>
      <c r="C484" s="13" t="s">
        <v>3315</v>
      </c>
      <c r="D484" s="6" t="s">
        <v>794</v>
      </c>
      <c r="E484" s="13" t="s">
        <v>2931</v>
      </c>
      <c r="F484" s="13"/>
      <c r="G484" s="17">
        <v>5.4</v>
      </c>
      <c r="H484" s="16">
        <v>94</v>
      </c>
      <c r="I484" s="18">
        <v>3.7469999999999999</v>
      </c>
      <c r="J484" s="13"/>
      <c r="K484" s="13"/>
      <c r="L484" s="17">
        <f>G484-J484</f>
        <v>5.4</v>
      </c>
      <c r="M484" s="18">
        <f>L484*(H484*H484)*0.7854/10000</f>
        <v>3.7474889759999996</v>
      </c>
      <c r="N484" s="9"/>
      <c r="O484" s="8" t="s">
        <v>19</v>
      </c>
    </row>
    <row r="485" spans="1:15" s="14" customFormat="1" x14ac:dyDescent="0.25">
      <c r="A485" s="13">
        <v>495</v>
      </c>
      <c r="B485" s="16">
        <v>495</v>
      </c>
      <c r="C485" s="13" t="s">
        <v>3316</v>
      </c>
      <c r="D485" s="6">
        <v>894</v>
      </c>
      <c r="E485" s="13" t="s">
        <v>2931</v>
      </c>
      <c r="F485" s="13"/>
      <c r="G485" s="17">
        <v>5.5</v>
      </c>
      <c r="H485" s="16">
        <v>106</v>
      </c>
      <c r="I485" s="18">
        <v>4.8540000000000001</v>
      </c>
      <c r="J485" s="13">
        <v>0.4</v>
      </c>
      <c r="K485" s="13"/>
      <c r="L485" s="17">
        <f>G485-J485</f>
        <v>5.0999999999999996</v>
      </c>
      <c r="M485" s="18">
        <f>L485*(H485*H485)*0.7854/10000</f>
        <v>4.5006247439999996</v>
      </c>
      <c r="N485" s="9"/>
      <c r="O485" s="8" t="s">
        <v>19</v>
      </c>
    </row>
    <row r="486" spans="1:15" s="14" customFormat="1" x14ac:dyDescent="0.25">
      <c r="A486" s="13">
        <v>496</v>
      </c>
      <c r="B486" s="16">
        <v>496</v>
      </c>
      <c r="C486" s="13" t="s">
        <v>3317</v>
      </c>
      <c r="D486" s="6">
        <v>895</v>
      </c>
      <c r="E486" s="13" t="s">
        <v>2931</v>
      </c>
      <c r="F486" s="13"/>
      <c r="G486" s="17">
        <v>11.6</v>
      </c>
      <c r="H486" s="16">
        <v>140</v>
      </c>
      <c r="I486" s="18">
        <v>17.856999999999999</v>
      </c>
      <c r="J486" s="13"/>
      <c r="K486" s="13"/>
      <c r="L486" s="17">
        <f>G486-J486</f>
        <v>11.6</v>
      </c>
      <c r="M486" s="18">
        <f>L486*(H486*H486)*0.7854/10000</f>
        <v>17.8568544</v>
      </c>
      <c r="N486" s="9" t="s">
        <v>157</v>
      </c>
      <c r="O486" s="8" t="s">
        <v>19</v>
      </c>
    </row>
    <row r="487" spans="1:15" s="14" customFormat="1" x14ac:dyDescent="0.25">
      <c r="A487" s="13">
        <v>497</v>
      </c>
      <c r="B487" s="16">
        <v>497</v>
      </c>
      <c r="C487" s="13" t="s">
        <v>3318</v>
      </c>
      <c r="D487" s="6">
        <v>896</v>
      </c>
      <c r="E487" s="13" t="s">
        <v>2931</v>
      </c>
      <c r="F487" s="13"/>
      <c r="G487" s="17">
        <v>13</v>
      </c>
      <c r="H487" s="16">
        <v>85</v>
      </c>
      <c r="I487" s="18">
        <v>7.3769999999999998</v>
      </c>
      <c r="J487" s="13"/>
      <c r="K487" s="13"/>
      <c r="L487" s="17">
        <f>G487-J487</f>
        <v>13</v>
      </c>
      <c r="M487" s="18">
        <f>L487*(H487*H487)*0.7854/10000</f>
        <v>7.3768694999999989</v>
      </c>
      <c r="N487" s="9"/>
      <c r="O487" s="8" t="s">
        <v>19</v>
      </c>
    </row>
    <row r="488" spans="1:15" s="14" customFormat="1" x14ac:dyDescent="0.25">
      <c r="A488" s="13">
        <v>498</v>
      </c>
      <c r="B488" s="16">
        <v>498</v>
      </c>
      <c r="C488" s="13" t="s">
        <v>3319</v>
      </c>
      <c r="D488" s="6" t="s">
        <v>799</v>
      </c>
      <c r="E488" s="13" t="s">
        <v>2931</v>
      </c>
      <c r="F488" s="13"/>
      <c r="G488" s="17">
        <v>9</v>
      </c>
      <c r="H488" s="16">
        <v>99</v>
      </c>
      <c r="I488" s="18">
        <v>6.9279999999999999</v>
      </c>
      <c r="J488" s="13"/>
      <c r="K488" s="13"/>
      <c r="L488" s="17">
        <f>G488-J488</f>
        <v>9</v>
      </c>
      <c r="M488" s="18">
        <f>L488*(H488*H488)*0.7854/10000</f>
        <v>6.9279348599999997</v>
      </c>
      <c r="N488" s="9" t="s">
        <v>53</v>
      </c>
      <c r="O488" s="8" t="s">
        <v>30</v>
      </c>
    </row>
    <row r="489" spans="1:15" s="14" customFormat="1" x14ac:dyDescent="0.25">
      <c r="A489" s="13">
        <v>499</v>
      </c>
      <c r="B489" s="16">
        <v>499</v>
      </c>
      <c r="C489" s="13" t="s">
        <v>3320</v>
      </c>
      <c r="D489" s="6" t="s">
        <v>801</v>
      </c>
      <c r="E489" s="13" t="s">
        <v>2931</v>
      </c>
      <c r="F489" s="13"/>
      <c r="G489" s="17">
        <v>10.9</v>
      </c>
      <c r="H489" s="16">
        <v>94</v>
      </c>
      <c r="I489" s="18">
        <v>7.5640000000000001</v>
      </c>
      <c r="J489" s="13"/>
      <c r="K489" s="13"/>
      <c r="L489" s="17">
        <f>G489-J489</f>
        <v>10.9</v>
      </c>
      <c r="M489" s="18">
        <f>L489*(H489*H489)*0.7854/10000</f>
        <v>7.5643758960000005</v>
      </c>
      <c r="N489" s="9" t="s">
        <v>53</v>
      </c>
      <c r="O489" s="8" t="s">
        <v>19</v>
      </c>
    </row>
    <row r="490" spans="1:15" s="14" customFormat="1" x14ac:dyDescent="0.25">
      <c r="A490" s="13">
        <v>500</v>
      </c>
      <c r="B490" s="16">
        <v>500</v>
      </c>
      <c r="C490" s="13" t="s">
        <v>3321</v>
      </c>
      <c r="D490" s="6" t="s">
        <v>803</v>
      </c>
      <c r="E490" s="13" t="s">
        <v>2931</v>
      </c>
      <c r="F490" s="13"/>
      <c r="G490" s="17">
        <v>4.5999999999999996</v>
      </c>
      <c r="H490" s="16">
        <v>92</v>
      </c>
      <c r="I490" s="18">
        <v>3.0579999999999998</v>
      </c>
      <c r="J490" s="13"/>
      <c r="K490" s="13"/>
      <c r="L490" s="17">
        <f>G490-J490</f>
        <v>4.5999999999999996</v>
      </c>
      <c r="M490" s="18">
        <f>L490*(H490*H490)*0.7854/10000</f>
        <v>3.0579077759999995</v>
      </c>
      <c r="N490" s="9"/>
      <c r="O490" s="8" t="s">
        <v>19</v>
      </c>
    </row>
    <row r="491" spans="1:15" s="14" customFormat="1" x14ac:dyDescent="0.25">
      <c r="A491" s="13">
        <v>501</v>
      </c>
      <c r="B491" s="16">
        <v>501</v>
      </c>
      <c r="C491" s="13" t="s">
        <v>3322</v>
      </c>
      <c r="D491" s="6" t="s">
        <v>805</v>
      </c>
      <c r="E491" s="13" t="s">
        <v>2931</v>
      </c>
      <c r="F491" s="13"/>
      <c r="G491" s="17">
        <v>7.9</v>
      </c>
      <c r="H491" s="16">
        <v>82</v>
      </c>
      <c r="I491" s="18">
        <v>4.1719999999999997</v>
      </c>
      <c r="J491" s="13"/>
      <c r="K491" s="13"/>
      <c r="L491" s="17">
        <f>G491-J491</f>
        <v>7.9</v>
      </c>
      <c r="M491" s="18">
        <f>L491*(H491*H491)*0.7854/10000</f>
        <v>4.1720133840000004</v>
      </c>
      <c r="N491" s="9"/>
      <c r="O491" s="8" t="s">
        <v>30</v>
      </c>
    </row>
    <row r="492" spans="1:15" s="14" customFormat="1" x14ac:dyDescent="0.25">
      <c r="A492" s="13">
        <v>502</v>
      </c>
      <c r="B492" s="16">
        <v>502</v>
      </c>
      <c r="C492" s="13" t="s">
        <v>3323</v>
      </c>
      <c r="D492" s="6" t="s">
        <v>807</v>
      </c>
      <c r="E492" s="13" t="s">
        <v>2931</v>
      </c>
      <c r="F492" s="13"/>
      <c r="G492" s="17">
        <v>6.1</v>
      </c>
      <c r="H492" s="16">
        <v>77</v>
      </c>
      <c r="I492" s="18">
        <v>2.8410000000000002</v>
      </c>
      <c r="J492" s="13"/>
      <c r="K492" s="13"/>
      <c r="L492" s="17">
        <f>G492-J492</f>
        <v>6.1</v>
      </c>
      <c r="M492" s="18">
        <f>L492*(H492*H492)*0.7854/10000</f>
        <v>2.840548326</v>
      </c>
      <c r="N492" s="9"/>
      <c r="O492" s="8" t="s">
        <v>19</v>
      </c>
    </row>
    <row r="493" spans="1:15" s="14" customFormat="1" x14ac:dyDescent="0.25">
      <c r="A493" s="13">
        <v>503</v>
      </c>
      <c r="B493" s="16">
        <v>503</v>
      </c>
      <c r="C493" s="13" t="s">
        <v>3324</v>
      </c>
      <c r="D493" s="6" t="s">
        <v>809</v>
      </c>
      <c r="E493" s="13" t="s">
        <v>2931</v>
      </c>
      <c r="F493" s="13"/>
      <c r="G493" s="17">
        <v>13.8</v>
      </c>
      <c r="H493" s="16">
        <v>92</v>
      </c>
      <c r="I493" s="18">
        <v>9.1739999999999995</v>
      </c>
      <c r="J493" s="13"/>
      <c r="K493" s="13"/>
      <c r="L493" s="17">
        <f>G493-J493</f>
        <v>13.8</v>
      </c>
      <c r="M493" s="18">
        <f>L493*(H493*H493)*0.7854/10000</f>
        <v>9.1737233279999995</v>
      </c>
      <c r="N493" s="9"/>
      <c r="O493" s="8" t="s">
        <v>19</v>
      </c>
    </row>
    <row r="494" spans="1:15" s="14" customFormat="1" x14ac:dyDescent="0.25">
      <c r="A494" s="13">
        <v>504</v>
      </c>
      <c r="B494" s="16">
        <v>504</v>
      </c>
      <c r="C494" s="13" t="s">
        <v>3325</v>
      </c>
      <c r="D494" s="6">
        <v>1100</v>
      </c>
      <c r="E494" s="13" t="s">
        <v>2931</v>
      </c>
      <c r="F494" s="13"/>
      <c r="G494" s="17">
        <v>10.3</v>
      </c>
      <c r="H494" s="16">
        <v>119</v>
      </c>
      <c r="I494" s="18">
        <v>11.456</v>
      </c>
      <c r="J494" s="13"/>
      <c r="K494" s="13"/>
      <c r="L494" s="17">
        <f>G494-J494</f>
        <v>10.3</v>
      </c>
      <c r="M494" s="18">
        <f>L494*(H494*H494)*0.7854/10000</f>
        <v>11.455710882</v>
      </c>
      <c r="N494" s="9"/>
      <c r="O494" s="8" t="s">
        <v>30</v>
      </c>
    </row>
    <row r="495" spans="1:15" s="14" customFormat="1" x14ac:dyDescent="0.25">
      <c r="A495" s="13">
        <v>505</v>
      </c>
      <c r="B495" s="16">
        <v>505</v>
      </c>
      <c r="C495" s="13" t="s">
        <v>3326</v>
      </c>
      <c r="D495" s="6" t="s">
        <v>812</v>
      </c>
      <c r="E495" s="13" t="s">
        <v>2931</v>
      </c>
      <c r="F495" s="13"/>
      <c r="G495" s="17">
        <v>6.1</v>
      </c>
      <c r="H495" s="16">
        <v>84</v>
      </c>
      <c r="I495" s="18">
        <v>3.38</v>
      </c>
      <c r="J495" s="13"/>
      <c r="K495" s="13"/>
      <c r="L495" s="17">
        <f>G495-J495</f>
        <v>6.1</v>
      </c>
      <c r="M495" s="18">
        <f>L495*(H495*H495)*0.7854/10000</f>
        <v>3.3804872640000001</v>
      </c>
      <c r="N495" s="9"/>
      <c r="O495" s="8" t="s">
        <v>19</v>
      </c>
    </row>
    <row r="496" spans="1:15" s="14" customFormat="1" x14ac:dyDescent="0.25">
      <c r="A496" s="13">
        <v>506</v>
      </c>
      <c r="B496" s="16">
        <v>506</v>
      </c>
      <c r="C496" s="13" t="s">
        <v>3327</v>
      </c>
      <c r="D496" s="6" t="s">
        <v>814</v>
      </c>
      <c r="E496" s="13" t="s">
        <v>2931</v>
      </c>
      <c r="F496" s="13"/>
      <c r="G496" s="17">
        <v>5.3</v>
      </c>
      <c r="H496" s="16">
        <v>118</v>
      </c>
      <c r="I496" s="18">
        <v>5.7960000000000003</v>
      </c>
      <c r="J496" s="13"/>
      <c r="K496" s="13"/>
      <c r="L496" s="17">
        <f>G496-J496</f>
        <v>5.3</v>
      </c>
      <c r="M496" s="18">
        <f>L496*(H496*H496)*0.7854/10000</f>
        <v>5.7960320879999996</v>
      </c>
      <c r="N496" s="9"/>
      <c r="O496" s="8" t="s">
        <v>19</v>
      </c>
    </row>
    <row r="497" spans="1:15" s="14" customFormat="1" x14ac:dyDescent="0.25">
      <c r="A497" s="13">
        <v>508</v>
      </c>
      <c r="B497" s="16">
        <v>508</v>
      </c>
      <c r="C497" s="13" t="s">
        <v>3328</v>
      </c>
      <c r="D497" s="6" t="s">
        <v>816</v>
      </c>
      <c r="E497" s="13" t="s">
        <v>2931</v>
      </c>
      <c r="F497" s="13"/>
      <c r="G497" s="17">
        <v>11.9</v>
      </c>
      <c r="H497" s="16">
        <v>80</v>
      </c>
      <c r="I497" s="18">
        <v>5.9820000000000002</v>
      </c>
      <c r="J497" s="13"/>
      <c r="K497" s="13"/>
      <c r="L497" s="17">
        <f>G497-J497</f>
        <v>11.9</v>
      </c>
      <c r="M497" s="18">
        <f>L497*(H497*H497)*0.7854/10000</f>
        <v>5.9816063999999995</v>
      </c>
      <c r="N497" s="9"/>
      <c r="O497" s="8" t="s">
        <v>19</v>
      </c>
    </row>
    <row r="498" spans="1:15" s="14" customFormat="1" x14ac:dyDescent="0.25">
      <c r="A498" s="13">
        <v>509</v>
      </c>
      <c r="B498" s="16">
        <v>509</v>
      </c>
      <c r="C498" s="13" t="s">
        <v>3329</v>
      </c>
      <c r="D498" s="6" t="s">
        <v>818</v>
      </c>
      <c r="E498" s="13" t="s">
        <v>2931</v>
      </c>
      <c r="F498" s="13"/>
      <c r="G498" s="17">
        <v>11.1</v>
      </c>
      <c r="H498" s="16">
        <v>87</v>
      </c>
      <c r="I498" s="18">
        <v>6.5990000000000002</v>
      </c>
      <c r="J498" s="13"/>
      <c r="K498" s="13"/>
      <c r="L498" s="17">
        <f>G498-J498</f>
        <v>11.1</v>
      </c>
      <c r="M498" s="18">
        <f>L498*(H498*H498)*0.7854/10000</f>
        <v>6.5986087859999998</v>
      </c>
      <c r="N498" s="9"/>
      <c r="O498" s="8" t="s">
        <v>19</v>
      </c>
    </row>
    <row r="499" spans="1:15" s="14" customFormat="1" x14ac:dyDescent="0.25">
      <c r="A499" s="13">
        <v>510</v>
      </c>
      <c r="B499" s="16">
        <v>510</v>
      </c>
      <c r="C499" s="13" t="s">
        <v>3330</v>
      </c>
      <c r="D499" s="6" t="s">
        <v>820</v>
      </c>
      <c r="E499" s="13" t="s">
        <v>2931</v>
      </c>
      <c r="F499" s="13"/>
      <c r="G499" s="17">
        <v>9</v>
      </c>
      <c r="H499" s="16">
        <v>91</v>
      </c>
      <c r="I499" s="18">
        <v>5.8529999999999998</v>
      </c>
      <c r="J499" s="13"/>
      <c r="K499" s="13"/>
      <c r="L499" s="17">
        <f>G499-J499</f>
        <v>9</v>
      </c>
      <c r="M499" s="18">
        <f>L499*(H499*H499)*0.7854/10000</f>
        <v>5.85350766</v>
      </c>
      <c r="N499" s="9"/>
      <c r="O499" s="8" t="s">
        <v>19</v>
      </c>
    </row>
    <row r="500" spans="1:15" s="14" customFormat="1" x14ac:dyDescent="0.25">
      <c r="A500" s="13">
        <v>511</v>
      </c>
      <c r="B500" s="16">
        <v>511</v>
      </c>
      <c r="C500" s="13" t="s">
        <v>3331</v>
      </c>
      <c r="D500" s="6" t="s">
        <v>822</v>
      </c>
      <c r="E500" s="13" t="s">
        <v>2931</v>
      </c>
      <c r="F500" s="13"/>
      <c r="G500" s="17">
        <v>6.8</v>
      </c>
      <c r="H500" s="16">
        <v>76</v>
      </c>
      <c r="I500" s="18">
        <v>3.085</v>
      </c>
      <c r="J500" s="13"/>
      <c r="K500" s="13"/>
      <c r="L500" s="17">
        <f>G500-J500</f>
        <v>6.8</v>
      </c>
      <c r="M500" s="18">
        <f>L500*(H500*H500)*0.7854/10000</f>
        <v>3.0847998719999996</v>
      </c>
      <c r="N500" s="9"/>
      <c r="O500" s="8" t="s">
        <v>19</v>
      </c>
    </row>
    <row r="501" spans="1:15" s="14" customFormat="1" x14ac:dyDescent="0.25">
      <c r="A501" s="13">
        <v>512</v>
      </c>
      <c r="B501" s="16">
        <v>512</v>
      </c>
      <c r="C501" s="13" t="s">
        <v>3332</v>
      </c>
      <c r="D501" s="6" t="s">
        <v>824</v>
      </c>
      <c r="E501" s="13" t="s">
        <v>2931</v>
      </c>
      <c r="F501" s="13"/>
      <c r="G501" s="17">
        <v>6.3</v>
      </c>
      <c r="H501" s="16">
        <v>79</v>
      </c>
      <c r="I501" s="18">
        <v>3.0880000000000001</v>
      </c>
      <c r="J501" s="13"/>
      <c r="K501" s="13"/>
      <c r="L501" s="17">
        <f>G501-J501</f>
        <v>6.3</v>
      </c>
      <c r="M501" s="18">
        <f>L501*(H501*H501)*0.7854/10000</f>
        <v>3.0880592819999992</v>
      </c>
      <c r="N501" s="9"/>
      <c r="O501" s="8" t="s">
        <v>19</v>
      </c>
    </row>
    <row r="502" spans="1:15" s="14" customFormat="1" x14ac:dyDescent="0.25">
      <c r="A502" s="13">
        <v>513</v>
      </c>
      <c r="B502" s="16">
        <v>513</v>
      </c>
      <c r="C502" s="13" t="s">
        <v>3333</v>
      </c>
      <c r="D502" s="6" t="s">
        <v>826</v>
      </c>
      <c r="E502" s="13" t="s">
        <v>2931</v>
      </c>
      <c r="F502" s="13"/>
      <c r="G502" s="17">
        <v>8.3000000000000007</v>
      </c>
      <c r="H502" s="16">
        <v>79</v>
      </c>
      <c r="I502" s="18">
        <v>4.0679999999999996</v>
      </c>
      <c r="J502" s="13"/>
      <c r="K502" s="13"/>
      <c r="L502" s="17">
        <f>G502-J502</f>
        <v>8.3000000000000007</v>
      </c>
      <c r="M502" s="18">
        <f>L502*(H502*H502)*0.7854/10000</f>
        <v>4.0683955620000001</v>
      </c>
      <c r="N502" s="9" t="s">
        <v>21</v>
      </c>
      <c r="O502" s="8" t="s">
        <v>19</v>
      </c>
    </row>
    <row r="503" spans="1:15" s="14" customFormat="1" x14ac:dyDescent="0.25">
      <c r="A503" s="13">
        <v>514</v>
      </c>
      <c r="B503" s="16">
        <v>514</v>
      </c>
      <c r="C503" s="13" t="s">
        <v>3334</v>
      </c>
      <c r="D503" s="6">
        <v>1104</v>
      </c>
      <c r="E503" s="13" t="s">
        <v>2931</v>
      </c>
      <c r="F503" s="13"/>
      <c r="G503" s="17">
        <v>8</v>
      </c>
      <c r="H503" s="16">
        <v>104</v>
      </c>
      <c r="I503" s="18">
        <v>6.7960000000000003</v>
      </c>
      <c r="J503" s="13">
        <v>0.5</v>
      </c>
      <c r="K503" s="13"/>
      <c r="L503" s="17">
        <f>G503-J503</f>
        <v>7.5</v>
      </c>
      <c r="M503" s="18">
        <f>L503*(H503*H503)*0.7854/10000</f>
        <v>6.3711647999999999</v>
      </c>
      <c r="N503" s="9"/>
      <c r="O503" s="8" t="s">
        <v>30</v>
      </c>
    </row>
    <row r="504" spans="1:15" s="14" customFormat="1" x14ac:dyDescent="0.25">
      <c r="A504" s="13">
        <v>515</v>
      </c>
      <c r="B504" s="16">
        <v>515</v>
      </c>
      <c r="C504" s="13" t="s">
        <v>3335</v>
      </c>
      <c r="D504" s="6" t="s">
        <v>829</v>
      </c>
      <c r="E504" s="13" t="s">
        <v>2931</v>
      </c>
      <c r="F504" s="13"/>
      <c r="G504" s="17">
        <v>9.1999999999999993</v>
      </c>
      <c r="H504" s="16">
        <v>84</v>
      </c>
      <c r="I504" s="18">
        <v>5.0979999999999999</v>
      </c>
      <c r="J504" s="13"/>
      <c r="K504" s="13"/>
      <c r="L504" s="17">
        <f>G504-J504</f>
        <v>9.1999999999999993</v>
      </c>
      <c r="M504" s="18">
        <f>L504*(H504*H504)*0.7854/10000</f>
        <v>5.0984398080000002</v>
      </c>
      <c r="N504" s="9"/>
      <c r="O504" s="8" t="s">
        <v>19</v>
      </c>
    </row>
    <row r="505" spans="1:15" s="14" customFormat="1" x14ac:dyDescent="0.25">
      <c r="A505" s="13">
        <v>516</v>
      </c>
      <c r="B505" s="16">
        <v>516</v>
      </c>
      <c r="C505" s="13" t="s">
        <v>3336</v>
      </c>
      <c r="D505" s="6" t="s">
        <v>831</v>
      </c>
      <c r="E505" s="13" t="s">
        <v>2931</v>
      </c>
      <c r="F505" s="13"/>
      <c r="G505" s="17">
        <v>10.7</v>
      </c>
      <c r="H505" s="16">
        <v>109</v>
      </c>
      <c r="I505" s="18">
        <v>9.9849999999999994</v>
      </c>
      <c r="J505" s="13"/>
      <c r="K505" s="13"/>
      <c r="L505" s="17">
        <f>G505-J505</f>
        <v>10.7</v>
      </c>
      <c r="M505" s="18">
        <f>L505*(H505*H505)*0.7854/10000</f>
        <v>9.9845310180000002</v>
      </c>
      <c r="N505" s="9"/>
      <c r="O505" s="8" t="s">
        <v>19</v>
      </c>
    </row>
    <row r="506" spans="1:15" s="14" customFormat="1" x14ac:dyDescent="0.25">
      <c r="A506" s="13">
        <v>517</v>
      </c>
      <c r="B506" s="16">
        <v>517</v>
      </c>
      <c r="C506" s="13" t="s">
        <v>3337</v>
      </c>
      <c r="D506" s="6" t="s">
        <v>833</v>
      </c>
      <c r="E506" s="13" t="s">
        <v>2931</v>
      </c>
      <c r="F506" s="13"/>
      <c r="G506" s="17">
        <v>4.8</v>
      </c>
      <c r="H506" s="16">
        <v>85</v>
      </c>
      <c r="I506" s="18">
        <v>2.7240000000000002</v>
      </c>
      <c r="J506" s="13"/>
      <c r="K506" s="13"/>
      <c r="L506" s="17">
        <f>G506-J506</f>
        <v>4.8</v>
      </c>
      <c r="M506" s="18">
        <f>L506*(H506*H506)*0.7854/10000</f>
        <v>2.7237671999999997</v>
      </c>
      <c r="N506" s="9"/>
      <c r="O506" s="8" t="s">
        <v>30</v>
      </c>
    </row>
    <row r="507" spans="1:15" s="14" customFormat="1" x14ac:dyDescent="0.25">
      <c r="A507" s="13">
        <v>518</v>
      </c>
      <c r="B507" s="16">
        <v>518</v>
      </c>
      <c r="C507" s="13" t="s">
        <v>3338</v>
      </c>
      <c r="D507" s="6" t="s">
        <v>835</v>
      </c>
      <c r="E507" s="13" t="s">
        <v>2931</v>
      </c>
      <c r="F507" s="13"/>
      <c r="G507" s="17">
        <v>6.7</v>
      </c>
      <c r="H507" s="16">
        <v>99</v>
      </c>
      <c r="I507" s="18">
        <v>5.157</v>
      </c>
      <c r="J507" s="13"/>
      <c r="K507" s="13"/>
      <c r="L507" s="17">
        <f>G507-J507</f>
        <v>6.7</v>
      </c>
      <c r="M507" s="18">
        <f>L507*(H507*H507)*0.7854/10000</f>
        <v>5.1574626180000003</v>
      </c>
      <c r="N507" s="9" t="s">
        <v>21</v>
      </c>
      <c r="O507" s="8" t="s">
        <v>19</v>
      </c>
    </row>
    <row r="508" spans="1:15" s="14" customFormat="1" x14ac:dyDescent="0.25">
      <c r="A508" s="13">
        <v>520</v>
      </c>
      <c r="B508" s="16">
        <v>520</v>
      </c>
      <c r="C508" s="13" t="s">
        <v>3339</v>
      </c>
      <c r="D508" s="6">
        <v>1106</v>
      </c>
      <c r="E508" s="13" t="s">
        <v>2931</v>
      </c>
      <c r="F508" s="13"/>
      <c r="G508" s="17">
        <v>7.4</v>
      </c>
      <c r="H508" s="16">
        <v>91</v>
      </c>
      <c r="I508" s="18">
        <v>4.8129999999999997</v>
      </c>
      <c r="J508" s="13">
        <v>0.4</v>
      </c>
      <c r="K508" s="13"/>
      <c r="L508" s="17">
        <f>G508-J508</f>
        <v>7</v>
      </c>
      <c r="M508" s="18">
        <f>L508*(H508*H508)*0.7854/10000</f>
        <v>4.5527281799999999</v>
      </c>
      <c r="N508" s="9"/>
      <c r="O508" s="8" t="s">
        <v>19</v>
      </c>
    </row>
    <row r="509" spans="1:15" s="14" customFormat="1" x14ac:dyDescent="0.25">
      <c r="A509" s="13">
        <v>521</v>
      </c>
      <c r="B509" s="16">
        <v>521</v>
      </c>
      <c r="C509" s="13" t="s">
        <v>3340</v>
      </c>
      <c r="D509" s="6" t="s">
        <v>838</v>
      </c>
      <c r="E509" s="13" t="s">
        <v>2931</v>
      </c>
      <c r="F509" s="13"/>
      <c r="G509" s="17">
        <v>10.4</v>
      </c>
      <c r="H509" s="16">
        <v>73</v>
      </c>
      <c r="I509" s="18">
        <v>4.3529999999999998</v>
      </c>
      <c r="J509" s="13"/>
      <c r="K509" s="13"/>
      <c r="L509" s="17">
        <f>G509-J509</f>
        <v>10.4</v>
      </c>
      <c r="M509" s="18">
        <f>L509*(H509*H509)*0.7854/10000</f>
        <v>4.3528124639999994</v>
      </c>
      <c r="N509" s="9"/>
      <c r="O509" s="8" t="s">
        <v>30</v>
      </c>
    </row>
    <row r="510" spans="1:15" s="14" customFormat="1" x14ac:dyDescent="0.25">
      <c r="A510" s="13">
        <v>522</v>
      </c>
      <c r="B510" s="16">
        <v>522</v>
      </c>
      <c r="C510" s="13" t="s">
        <v>3341</v>
      </c>
      <c r="D510" s="6" t="s">
        <v>840</v>
      </c>
      <c r="E510" s="13" t="s">
        <v>2931</v>
      </c>
      <c r="F510" s="13"/>
      <c r="G510" s="17">
        <v>10.6</v>
      </c>
      <c r="H510" s="16">
        <v>89</v>
      </c>
      <c r="I510" s="18">
        <v>6.5940000000000003</v>
      </c>
      <c r="J510" s="13"/>
      <c r="K510" s="13"/>
      <c r="L510" s="17">
        <f>G510-J510</f>
        <v>10.6</v>
      </c>
      <c r="M510" s="18">
        <f>L510*(H510*H510)*0.7854/10000</f>
        <v>6.5944226039999991</v>
      </c>
      <c r="N510" s="9"/>
      <c r="O510" s="8" t="s">
        <v>19</v>
      </c>
    </row>
    <row r="511" spans="1:15" s="14" customFormat="1" x14ac:dyDescent="0.25">
      <c r="A511" s="13">
        <v>523</v>
      </c>
      <c r="B511" s="16">
        <v>523</v>
      </c>
      <c r="C511" s="13" t="s">
        <v>3342</v>
      </c>
      <c r="D511" s="6" t="s">
        <v>842</v>
      </c>
      <c r="E511" s="13" t="s">
        <v>2931</v>
      </c>
      <c r="F511" s="13"/>
      <c r="G511" s="17">
        <v>5.2</v>
      </c>
      <c r="H511" s="16">
        <v>81</v>
      </c>
      <c r="I511" s="18">
        <v>2.68</v>
      </c>
      <c r="J511" s="13"/>
      <c r="K511" s="13"/>
      <c r="L511" s="17">
        <f>G511-J511</f>
        <v>5.2</v>
      </c>
      <c r="M511" s="18">
        <f>L511*(H511*H511)*0.7854/10000</f>
        <v>2.6795648880000003</v>
      </c>
      <c r="N511" s="9"/>
      <c r="O511" s="8" t="s">
        <v>19</v>
      </c>
    </row>
    <row r="512" spans="1:15" s="14" customFormat="1" x14ac:dyDescent="0.25">
      <c r="A512" s="13">
        <v>524</v>
      </c>
      <c r="B512" s="16">
        <v>524</v>
      </c>
      <c r="C512" s="13" t="s">
        <v>3343</v>
      </c>
      <c r="D512" s="6" t="s">
        <v>844</v>
      </c>
      <c r="E512" s="13" t="s">
        <v>2931</v>
      </c>
      <c r="F512" s="13"/>
      <c r="G512" s="17">
        <v>11.8</v>
      </c>
      <c r="H512" s="16">
        <v>118</v>
      </c>
      <c r="I512" s="18">
        <v>12.904</v>
      </c>
      <c r="J512" s="13"/>
      <c r="K512" s="13"/>
      <c r="L512" s="17">
        <f>G512-J512</f>
        <v>11.8</v>
      </c>
      <c r="M512" s="18">
        <f>L512*(H512*H512)*0.7854/10000</f>
        <v>12.904373328</v>
      </c>
      <c r="N512" s="9"/>
      <c r="O512" s="8" t="s">
        <v>19</v>
      </c>
    </row>
    <row r="513" spans="1:15" s="14" customFormat="1" x14ac:dyDescent="0.25">
      <c r="A513" s="13">
        <v>525</v>
      </c>
      <c r="B513" s="16">
        <v>525</v>
      </c>
      <c r="C513" s="13" t="s">
        <v>3344</v>
      </c>
      <c r="D513" s="6">
        <v>5063</v>
      </c>
      <c r="E513" s="13" t="s">
        <v>2931</v>
      </c>
      <c r="F513" s="13"/>
      <c r="G513" s="17">
        <v>11</v>
      </c>
      <c r="H513" s="16">
        <v>64</v>
      </c>
      <c r="I513" s="18">
        <v>3.5390000000000001</v>
      </c>
      <c r="J513" s="13"/>
      <c r="K513" s="13"/>
      <c r="L513" s="17">
        <f>G513-J513</f>
        <v>11</v>
      </c>
      <c r="M513" s="18">
        <f>L513*(H513*H513)*0.7854/10000</f>
        <v>3.53869824</v>
      </c>
      <c r="N513" s="9"/>
      <c r="O513" s="8" t="s">
        <v>19</v>
      </c>
    </row>
    <row r="514" spans="1:15" s="14" customFormat="1" x14ac:dyDescent="0.25">
      <c r="A514" s="13">
        <v>526</v>
      </c>
      <c r="B514" s="16">
        <v>526</v>
      </c>
      <c r="C514" s="13" t="s">
        <v>3345</v>
      </c>
      <c r="D514" s="6" t="s">
        <v>847</v>
      </c>
      <c r="E514" s="13" t="s">
        <v>2931</v>
      </c>
      <c r="F514" s="13"/>
      <c r="G514" s="17">
        <v>5.3</v>
      </c>
      <c r="H514" s="16">
        <v>113</v>
      </c>
      <c r="I514" s="18">
        <v>5.3150000000000004</v>
      </c>
      <c r="J514" s="13">
        <v>0.3</v>
      </c>
      <c r="K514" s="13"/>
      <c r="L514" s="17">
        <f>G514-J514</f>
        <v>5</v>
      </c>
      <c r="M514" s="18">
        <f>L514*(H514*H514)*0.7854/10000</f>
        <v>5.0143863</v>
      </c>
      <c r="N514" s="9"/>
      <c r="O514" s="8" t="s">
        <v>19</v>
      </c>
    </row>
    <row r="515" spans="1:15" s="14" customFormat="1" x14ac:dyDescent="0.25">
      <c r="A515" s="13">
        <v>527</v>
      </c>
      <c r="B515" s="16">
        <v>527</v>
      </c>
      <c r="C515" s="13" t="s">
        <v>3346</v>
      </c>
      <c r="D515" s="6">
        <v>5284</v>
      </c>
      <c r="E515" s="13" t="s">
        <v>2931</v>
      </c>
      <c r="F515" s="13"/>
      <c r="G515" s="17">
        <v>10.6</v>
      </c>
      <c r="H515" s="16">
        <v>71</v>
      </c>
      <c r="I515" s="18">
        <v>4.1970000000000001</v>
      </c>
      <c r="J515" s="13"/>
      <c r="K515" s="13"/>
      <c r="L515" s="17">
        <f>G515-J515</f>
        <v>10.6</v>
      </c>
      <c r="M515" s="18">
        <f>L515*(H515*H515)*0.7854/10000</f>
        <v>4.1967534840000003</v>
      </c>
      <c r="N515" s="9"/>
      <c r="O515" s="8" t="s">
        <v>19</v>
      </c>
    </row>
    <row r="516" spans="1:15" s="14" customFormat="1" x14ac:dyDescent="0.25">
      <c r="A516" s="13">
        <v>528</v>
      </c>
      <c r="B516" s="16">
        <v>528</v>
      </c>
      <c r="C516" s="13" t="s">
        <v>3347</v>
      </c>
      <c r="D516" s="6">
        <v>5285</v>
      </c>
      <c r="E516" s="13" t="s">
        <v>2931</v>
      </c>
      <c r="F516" s="13"/>
      <c r="G516" s="17">
        <v>7.5</v>
      </c>
      <c r="H516" s="16">
        <v>86</v>
      </c>
      <c r="I516" s="18">
        <v>4.3570000000000002</v>
      </c>
      <c r="J516" s="13">
        <v>0.3</v>
      </c>
      <c r="K516" s="13"/>
      <c r="L516" s="17">
        <f>G516-J516</f>
        <v>7.2</v>
      </c>
      <c r="M516" s="18">
        <f>L516*(H516*H516)*0.7854/10000</f>
        <v>4.1823492480000004</v>
      </c>
      <c r="N516" s="9"/>
      <c r="O516" s="8" t="s">
        <v>19</v>
      </c>
    </row>
    <row r="517" spans="1:15" s="14" customFormat="1" x14ac:dyDescent="0.25">
      <c r="A517" s="13">
        <v>529</v>
      </c>
      <c r="B517" s="16">
        <v>529</v>
      </c>
      <c r="C517" s="13" t="s">
        <v>3348</v>
      </c>
      <c r="D517" s="6" t="s">
        <v>851</v>
      </c>
      <c r="E517" s="13" t="s">
        <v>2931</v>
      </c>
      <c r="F517" s="13"/>
      <c r="G517" s="17">
        <v>11.1</v>
      </c>
      <c r="H517" s="16">
        <v>97</v>
      </c>
      <c r="I517" s="18">
        <v>8.2029999999999994</v>
      </c>
      <c r="J517" s="13">
        <v>0.3</v>
      </c>
      <c r="K517" s="13"/>
      <c r="L517" s="17">
        <f>G517-J517</f>
        <v>10.799999999999999</v>
      </c>
      <c r="M517" s="18">
        <f>L517*(H517*H517)*0.7854/10000</f>
        <v>7.9810148879999989</v>
      </c>
      <c r="N517" s="9"/>
      <c r="O517" s="8" t="s">
        <v>19</v>
      </c>
    </row>
    <row r="518" spans="1:15" s="14" customFormat="1" x14ac:dyDescent="0.25">
      <c r="A518" s="13">
        <v>530</v>
      </c>
      <c r="B518" s="16">
        <v>530</v>
      </c>
      <c r="C518" s="13" t="s">
        <v>3349</v>
      </c>
      <c r="D518" s="6">
        <v>778</v>
      </c>
      <c r="E518" s="13" t="s">
        <v>2931</v>
      </c>
      <c r="F518" s="13"/>
      <c r="G518" s="17">
        <v>7.6</v>
      </c>
      <c r="H518" s="16">
        <v>126</v>
      </c>
      <c r="I518" s="18">
        <v>9.4760000000000009</v>
      </c>
      <c r="J518" s="13"/>
      <c r="K518" s="13"/>
      <c r="L518" s="17">
        <f>G518-J518</f>
        <v>7.6</v>
      </c>
      <c r="M518" s="18">
        <f>L518*(H518*H518)*0.7854/10000</f>
        <v>9.4764479039999987</v>
      </c>
      <c r="N518" s="9"/>
      <c r="O518" s="8" t="s">
        <v>30</v>
      </c>
    </row>
    <row r="519" spans="1:15" s="14" customFormat="1" x14ac:dyDescent="0.25">
      <c r="A519" s="13">
        <v>531</v>
      </c>
      <c r="B519" s="16">
        <v>531</v>
      </c>
      <c r="C519" s="13" t="s">
        <v>3350</v>
      </c>
      <c r="D519" s="6">
        <v>1110</v>
      </c>
      <c r="E519" s="13" t="s">
        <v>2931</v>
      </c>
      <c r="F519" s="13"/>
      <c r="G519" s="17">
        <v>5.8</v>
      </c>
      <c r="H519" s="16">
        <v>90</v>
      </c>
      <c r="I519" s="18">
        <v>3.69</v>
      </c>
      <c r="J519" s="13"/>
      <c r="K519" s="13"/>
      <c r="L519" s="17">
        <f>G519-J519</f>
        <v>5.8</v>
      </c>
      <c r="M519" s="18">
        <f>L519*(H519*H519)*0.7854/10000</f>
        <v>3.6898091999999996</v>
      </c>
      <c r="N519" s="9"/>
      <c r="O519" s="8" t="s">
        <v>19</v>
      </c>
    </row>
    <row r="520" spans="1:15" s="14" customFormat="1" x14ac:dyDescent="0.25">
      <c r="A520" s="13">
        <v>532</v>
      </c>
      <c r="B520" s="16">
        <v>532</v>
      </c>
      <c r="C520" s="13" t="s">
        <v>3351</v>
      </c>
      <c r="D520" s="6">
        <v>779</v>
      </c>
      <c r="E520" s="13" t="s">
        <v>2931</v>
      </c>
      <c r="F520" s="13"/>
      <c r="G520" s="17">
        <v>6.1</v>
      </c>
      <c r="H520" s="16">
        <v>87</v>
      </c>
      <c r="I520" s="18">
        <v>3.6259999999999999</v>
      </c>
      <c r="J520" s="13">
        <v>0.3</v>
      </c>
      <c r="K520" s="13"/>
      <c r="L520" s="17">
        <f>G520-J520</f>
        <v>5.8</v>
      </c>
      <c r="M520" s="18">
        <f>L520*(H520*H520)*0.7854/10000</f>
        <v>3.4479217079999995</v>
      </c>
      <c r="N520" s="9"/>
      <c r="O520" s="8" t="s">
        <v>19</v>
      </c>
    </row>
    <row r="521" spans="1:15" s="14" customFormat="1" x14ac:dyDescent="0.25">
      <c r="A521" s="13">
        <v>533</v>
      </c>
      <c r="B521" s="16">
        <v>533</v>
      </c>
      <c r="C521" s="13" t="s">
        <v>3352</v>
      </c>
      <c r="D521" s="6">
        <v>1111</v>
      </c>
      <c r="E521" s="13" t="s">
        <v>2931</v>
      </c>
      <c r="F521" s="13"/>
      <c r="G521" s="17">
        <v>10.4</v>
      </c>
      <c r="H521" s="16">
        <v>105</v>
      </c>
      <c r="I521" s="18">
        <v>9.0050000000000008</v>
      </c>
      <c r="J521" s="13">
        <v>0.3</v>
      </c>
      <c r="K521" s="13"/>
      <c r="L521" s="17">
        <f>G521-J521</f>
        <v>10.1</v>
      </c>
      <c r="M521" s="18">
        <f>L521*(H521*H521)*0.7854/10000</f>
        <v>8.7456253499999992</v>
      </c>
      <c r="N521" s="9"/>
      <c r="O521" s="8" t="s">
        <v>30</v>
      </c>
    </row>
    <row r="522" spans="1:15" s="14" customFormat="1" x14ac:dyDescent="0.25">
      <c r="A522" s="13">
        <v>534</v>
      </c>
      <c r="B522" s="16">
        <v>534</v>
      </c>
      <c r="C522" s="13" t="s">
        <v>3353</v>
      </c>
      <c r="D522" s="6" t="s">
        <v>857</v>
      </c>
      <c r="E522" s="13" t="s">
        <v>2931</v>
      </c>
      <c r="F522" s="13"/>
      <c r="G522" s="17">
        <v>10.9</v>
      </c>
      <c r="H522" s="16">
        <v>118</v>
      </c>
      <c r="I522" s="18">
        <v>11.92</v>
      </c>
      <c r="J522" s="13"/>
      <c r="K522" s="13"/>
      <c r="L522" s="17">
        <f>G522-J522</f>
        <v>10.9</v>
      </c>
      <c r="M522" s="18">
        <f>L522*(H522*H522)*0.7854/10000</f>
        <v>11.920141464</v>
      </c>
      <c r="N522" s="9"/>
      <c r="O522" s="8" t="s">
        <v>19</v>
      </c>
    </row>
    <row r="523" spans="1:15" s="14" customFormat="1" x14ac:dyDescent="0.25">
      <c r="A523" s="13">
        <v>535</v>
      </c>
      <c r="B523" s="16">
        <v>535</v>
      </c>
      <c r="C523" s="13" t="s">
        <v>3354</v>
      </c>
      <c r="D523" s="6" t="s">
        <v>859</v>
      </c>
      <c r="E523" s="13" t="s">
        <v>2931</v>
      </c>
      <c r="F523" s="13"/>
      <c r="G523" s="17">
        <v>7.8</v>
      </c>
      <c r="H523" s="16">
        <v>104</v>
      </c>
      <c r="I523" s="18">
        <v>6.6260000000000003</v>
      </c>
      <c r="J523" s="13"/>
      <c r="K523" s="13"/>
      <c r="L523" s="17">
        <f>G523-J523</f>
        <v>7.8</v>
      </c>
      <c r="M523" s="18">
        <f>L523*(H523*H523)*0.7854/10000</f>
        <v>6.6260113920000006</v>
      </c>
      <c r="N523" s="9"/>
      <c r="O523" s="8" t="s">
        <v>19</v>
      </c>
    </row>
    <row r="524" spans="1:15" s="14" customFormat="1" x14ac:dyDescent="0.25">
      <c r="A524" s="13">
        <v>536</v>
      </c>
      <c r="B524" s="16">
        <v>536</v>
      </c>
      <c r="C524" s="13" t="s">
        <v>3355</v>
      </c>
      <c r="D524" s="6" t="s">
        <v>861</v>
      </c>
      <c r="E524" s="13" t="s">
        <v>2931</v>
      </c>
      <c r="F524" s="13"/>
      <c r="G524" s="17">
        <v>10.9</v>
      </c>
      <c r="H524" s="16">
        <v>113</v>
      </c>
      <c r="I524" s="18">
        <v>10.930999999999999</v>
      </c>
      <c r="J524" s="13"/>
      <c r="K524" s="13"/>
      <c r="L524" s="17">
        <f>G524-J524</f>
        <v>10.9</v>
      </c>
      <c r="M524" s="18">
        <f>L524*(H524*H524)*0.7854/10000</f>
        <v>10.931362134</v>
      </c>
      <c r="N524" s="9"/>
      <c r="O524" s="8" t="s">
        <v>30</v>
      </c>
    </row>
    <row r="525" spans="1:15" s="14" customFormat="1" x14ac:dyDescent="0.25">
      <c r="A525" s="13">
        <v>537</v>
      </c>
      <c r="B525" s="16">
        <v>537</v>
      </c>
      <c r="C525" s="13" t="s">
        <v>3356</v>
      </c>
      <c r="D525" s="6">
        <v>5050</v>
      </c>
      <c r="E525" s="13" t="s">
        <v>2931</v>
      </c>
      <c r="F525" s="13"/>
      <c r="G525" s="17">
        <v>10.1</v>
      </c>
      <c r="H525" s="16">
        <v>67</v>
      </c>
      <c r="I525" s="18">
        <v>3.5609999999999999</v>
      </c>
      <c r="J525" s="13"/>
      <c r="K525" s="13"/>
      <c r="L525" s="17">
        <f>G525-J525</f>
        <v>10.1</v>
      </c>
      <c r="M525" s="18">
        <f>L525*(H525*H525)*0.7854/10000</f>
        <v>3.5609172059999996</v>
      </c>
      <c r="N525" s="9"/>
      <c r="O525" s="8" t="s">
        <v>19</v>
      </c>
    </row>
    <row r="526" spans="1:15" s="14" customFormat="1" x14ac:dyDescent="0.25">
      <c r="A526" s="13">
        <v>538</v>
      </c>
      <c r="B526" s="16">
        <v>538</v>
      </c>
      <c r="C526" s="13" t="s">
        <v>3357</v>
      </c>
      <c r="D526" s="6" t="s">
        <v>864</v>
      </c>
      <c r="E526" s="13" t="s">
        <v>2931</v>
      </c>
      <c r="F526" s="13"/>
      <c r="G526" s="17">
        <v>5</v>
      </c>
      <c r="H526" s="16">
        <v>117</v>
      </c>
      <c r="I526" s="18">
        <v>5.3760000000000003</v>
      </c>
      <c r="J526" s="13"/>
      <c r="K526" s="13"/>
      <c r="L526" s="17">
        <f>G526-J526</f>
        <v>5</v>
      </c>
      <c r="M526" s="18">
        <f>L526*(H526*H526)*0.7854/10000</f>
        <v>5.3756703000000003</v>
      </c>
      <c r="N526" s="9"/>
      <c r="O526" s="8" t="s">
        <v>19</v>
      </c>
    </row>
    <row r="527" spans="1:15" s="14" customFormat="1" x14ac:dyDescent="0.25">
      <c r="A527" s="13">
        <v>541</v>
      </c>
      <c r="B527" s="16">
        <v>541</v>
      </c>
      <c r="C527" s="13" t="s">
        <v>3358</v>
      </c>
      <c r="D527" s="6">
        <v>5052</v>
      </c>
      <c r="E527" s="13" t="s">
        <v>2931</v>
      </c>
      <c r="F527" s="13"/>
      <c r="G527" s="17">
        <v>11.2</v>
      </c>
      <c r="H527" s="16">
        <v>85</v>
      </c>
      <c r="I527" s="18">
        <v>6.3550000000000004</v>
      </c>
      <c r="J527" s="13"/>
      <c r="K527" s="13"/>
      <c r="L527" s="17">
        <f>G527-J527</f>
        <v>11.2</v>
      </c>
      <c r="M527" s="18">
        <f>L527*(H527*H527)*0.7854/10000</f>
        <v>6.3554567999999998</v>
      </c>
      <c r="N527" s="9"/>
      <c r="O527" s="8" t="s">
        <v>19</v>
      </c>
    </row>
    <row r="528" spans="1:15" s="14" customFormat="1" x14ac:dyDescent="0.25">
      <c r="A528" s="13">
        <v>542</v>
      </c>
      <c r="B528" s="16">
        <v>542</v>
      </c>
      <c r="C528" s="13" t="s">
        <v>3359</v>
      </c>
      <c r="D528" s="6" t="s">
        <v>867</v>
      </c>
      <c r="E528" s="13" t="s">
        <v>2931</v>
      </c>
      <c r="F528" s="13"/>
      <c r="G528" s="17">
        <v>12.2</v>
      </c>
      <c r="H528" s="16">
        <v>89</v>
      </c>
      <c r="I528" s="18">
        <v>7.59</v>
      </c>
      <c r="J528" s="13"/>
      <c r="K528" s="13"/>
      <c r="L528" s="17">
        <f>G528-J528</f>
        <v>12.2</v>
      </c>
      <c r="M528" s="18">
        <f>L528*(H528*H528)*0.7854/10000</f>
        <v>7.5898071480000002</v>
      </c>
      <c r="N528" s="9"/>
      <c r="O528" s="8" t="s">
        <v>19</v>
      </c>
    </row>
    <row r="529" spans="1:15" s="14" customFormat="1" x14ac:dyDescent="0.25">
      <c r="A529" s="13">
        <v>543</v>
      </c>
      <c r="B529" s="16">
        <v>543</v>
      </c>
      <c r="C529" s="13" t="s">
        <v>3360</v>
      </c>
      <c r="D529" s="6" t="s">
        <v>869</v>
      </c>
      <c r="E529" s="13" t="s">
        <v>2931</v>
      </c>
      <c r="F529" s="13"/>
      <c r="G529" s="17">
        <v>4.5999999999999996</v>
      </c>
      <c r="H529" s="16">
        <v>81</v>
      </c>
      <c r="I529" s="18">
        <v>2.37</v>
      </c>
      <c r="J529" s="13"/>
      <c r="K529" s="13"/>
      <c r="L529" s="17">
        <f>G529-J529</f>
        <v>4.5999999999999996</v>
      </c>
      <c r="M529" s="18">
        <f>L529*(H529*H529)*0.7854/10000</f>
        <v>2.3703843239999998</v>
      </c>
      <c r="N529" s="9"/>
      <c r="O529" s="8" t="s">
        <v>19</v>
      </c>
    </row>
    <row r="530" spans="1:15" s="14" customFormat="1" x14ac:dyDescent="0.25">
      <c r="A530" s="13">
        <v>544</v>
      </c>
      <c r="B530" s="16">
        <v>544</v>
      </c>
      <c r="C530" s="13" t="s">
        <v>3361</v>
      </c>
      <c r="D530" s="6" t="s">
        <v>871</v>
      </c>
      <c r="E530" s="13" t="s">
        <v>2931</v>
      </c>
      <c r="F530" s="13"/>
      <c r="G530" s="17">
        <v>10.9</v>
      </c>
      <c r="H530" s="16">
        <v>108</v>
      </c>
      <c r="I530" s="18">
        <v>9.9849999999999994</v>
      </c>
      <c r="J530" s="13"/>
      <c r="K530" s="13"/>
      <c r="L530" s="17">
        <f>G530-J530</f>
        <v>10.9</v>
      </c>
      <c r="M530" s="18">
        <f>L530*(H530*H530)*0.7854/10000</f>
        <v>9.9853871039999991</v>
      </c>
      <c r="N530" s="9"/>
      <c r="O530" s="8" t="s">
        <v>19</v>
      </c>
    </row>
    <row r="531" spans="1:15" s="14" customFormat="1" x14ac:dyDescent="0.25">
      <c r="A531" s="13">
        <v>545</v>
      </c>
      <c r="B531" s="16">
        <v>545</v>
      </c>
      <c r="C531" s="13" t="s">
        <v>3362</v>
      </c>
      <c r="D531" s="6">
        <v>5263</v>
      </c>
      <c r="E531" s="13" t="s">
        <v>2931</v>
      </c>
      <c r="F531" s="13"/>
      <c r="G531" s="17">
        <v>6.2</v>
      </c>
      <c r="H531" s="16">
        <v>95</v>
      </c>
      <c r="I531" s="18">
        <v>4.3949999999999996</v>
      </c>
      <c r="J531" s="13"/>
      <c r="K531" s="13"/>
      <c r="L531" s="17">
        <f>G531-J531</f>
        <v>6.2</v>
      </c>
      <c r="M531" s="18">
        <f>L531*(H531*H531)*0.7854/10000</f>
        <v>4.3947057000000003</v>
      </c>
      <c r="N531" s="9"/>
      <c r="O531" s="8" t="s">
        <v>19</v>
      </c>
    </row>
    <row r="532" spans="1:15" s="14" customFormat="1" x14ac:dyDescent="0.25">
      <c r="A532" s="13">
        <v>546</v>
      </c>
      <c r="B532" s="16">
        <v>546</v>
      </c>
      <c r="C532" s="13" t="s">
        <v>3363</v>
      </c>
      <c r="D532" s="6">
        <v>5055</v>
      </c>
      <c r="E532" s="13" t="s">
        <v>2931</v>
      </c>
      <c r="F532" s="13"/>
      <c r="G532" s="17">
        <v>11.7</v>
      </c>
      <c r="H532" s="16">
        <v>89</v>
      </c>
      <c r="I532" s="18">
        <v>7.2789999999999999</v>
      </c>
      <c r="J532" s="13"/>
      <c r="K532" s="13"/>
      <c r="L532" s="17">
        <f>G532-J532</f>
        <v>11.7</v>
      </c>
      <c r="M532" s="18">
        <f>L532*(H532*H532)*0.7854/10000</f>
        <v>7.2787494779999991</v>
      </c>
      <c r="N532" s="9"/>
      <c r="O532" s="8" t="s">
        <v>19</v>
      </c>
    </row>
    <row r="533" spans="1:15" s="14" customFormat="1" x14ac:dyDescent="0.25">
      <c r="A533" s="13">
        <v>547</v>
      </c>
      <c r="B533" s="16">
        <v>547</v>
      </c>
      <c r="C533" s="13" t="s">
        <v>3364</v>
      </c>
      <c r="D533" s="6">
        <v>5264</v>
      </c>
      <c r="E533" s="13" t="s">
        <v>2931</v>
      </c>
      <c r="F533" s="13"/>
      <c r="G533" s="17">
        <v>7.7</v>
      </c>
      <c r="H533" s="16">
        <v>80</v>
      </c>
      <c r="I533" s="18">
        <v>3.87</v>
      </c>
      <c r="J533" s="13">
        <v>0.4</v>
      </c>
      <c r="K533" s="13"/>
      <c r="L533" s="17">
        <f>G533-J533</f>
        <v>7.3</v>
      </c>
      <c r="M533" s="18">
        <f>L533*(H533*H533)*0.7854/10000</f>
        <v>3.6693888000000001</v>
      </c>
      <c r="N533" s="9"/>
      <c r="O533" s="8" t="s">
        <v>30</v>
      </c>
    </row>
    <row r="534" spans="1:15" s="14" customFormat="1" x14ac:dyDescent="0.25">
      <c r="A534" s="13">
        <v>548</v>
      </c>
      <c r="B534" s="16">
        <v>548</v>
      </c>
      <c r="C534" s="13" t="s">
        <v>3365</v>
      </c>
      <c r="D534" s="6" t="s">
        <v>876</v>
      </c>
      <c r="E534" s="13" t="s">
        <v>2931</v>
      </c>
      <c r="F534" s="13"/>
      <c r="G534" s="17">
        <v>10</v>
      </c>
      <c r="H534" s="16">
        <v>97</v>
      </c>
      <c r="I534" s="18">
        <v>7.39</v>
      </c>
      <c r="J534" s="13"/>
      <c r="K534" s="13"/>
      <c r="L534" s="17">
        <f>G534-J534</f>
        <v>10</v>
      </c>
      <c r="M534" s="18">
        <f>L534*(H534*H534)*0.7854/10000</f>
        <v>7.3898285999999995</v>
      </c>
      <c r="N534" s="9"/>
      <c r="O534" s="8" t="s">
        <v>19</v>
      </c>
    </row>
    <row r="535" spans="1:15" s="14" customFormat="1" x14ac:dyDescent="0.25">
      <c r="A535" s="13">
        <v>549</v>
      </c>
      <c r="B535" s="16">
        <v>549</v>
      </c>
      <c r="C535" s="13" t="s">
        <v>3366</v>
      </c>
      <c r="D535" s="6" t="s">
        <v>878</v>
      </c>
      <c r="E535" s="13" t="s">
        <v>2931</v>
      </c>
      <c r="F535" s="13"/>
      <c r="G535" s="17">
        <v>6.3</v>
      </c>
      <c r="H535" s="16">
        <v>82</v>
      </c>
      <c r="I535" s="18">
        <v>3.327</v>
      </c>
      <c r="J535" s="13"/>
      <c r="K535" s="13"/>
      <c r="L535" s="17">
        <f>G535-J535</f>
        <v>6.3</v>
      </c>
      <c r="M535" s="18">
        <f>L535*(H535*H535)*0.7854/10000</f>
        <v>3.3270486479999999</v>
      </c>
      <c r="N535" s="9"/>
      <c r="O535" s="8" t="s">
        <v>19</v>
      </c>
    </row>
    <row r="536" spans="1:15" s="14" customFormat="1" x14ac:dyDescent="0.25">
      <c r="A536" s="13">
        <v>550</v>
      </c>
      <c r="B536" s="16">
        <v>550</v>
      </c>
      <c r="C536" s="13" t="s">
        <v>3367</v>
      </c>
      <c r="D536" s="6">
        <v>5265</v>
      </c>
      <c r="E536" s="13" t="s">
        <v>2931</v>
      </c>
      <c r="F536" s="13"/>
      <c r="G536" s="17">
        <v>13</v>
      </c>
      <c r="H536" s="16">
        <v>100</v>
      </c>
      <c r="I536" s="18">
        <v>10.210000000000001</v>
      </c>
      <c r="J536" s="13"/>
      <c r="K536" s="13"/>
      <c r="L536" s="17">
        <f>G536-J536</f>
        <v>13</v>
      </c>
      <c r="M536" s="18">
        <f>L536*(H536*H536)*0.7854/10000</f>
        <v>10.2102</v>
      </c>
      <c r="N536" s="9"/>
      <c r="O536" s="8" t="s">
        <v>30</v>
      </c>
    </row>
    <row r="537" spans="1:15" s="14" customFormat="1" x14ac:dyDescent="0.25">
      <c r="A537" s="13">
        <v>551</v>
      </c>
      <c r="B537" s="16">
        <v>551</v>
      </c>
      <c r="C537" s="13" t="s">
        <v>3368</v>
      </c>
      <c r="D537" s="6" t="s">
        <v>881</v>
      </c>
      <c r="E537" s="13" t="s">
        <v>2931</v>
      </c>
      <c r="F537" s="13"/>
      <c r="G537" s="17">
        <v>4.3</v>
      </c>
      <c r="H537" s="16">
        <v>94</v>
      </c>
      <c r="I537" s="18">
        <v>2.984</v>
      </c>
      <c r="J537" s="13"/>
      <c r="K537" s="13"/>
      <c r="L537" s="17">
        <f>G537-J537</f>
        <v>4.3</v>
      </c>
      <c r="M537" s="18">
        <f>L537*(H537*H537)*0.7854/10000</f>
        <v>2.9841115919999996</v>
      </c>
      <c r="N537" s="9" t="s">
        <v>53</v>
      </c>
      <c r="O537" s="8" t="s">
        <v>19</v>
      </c>
    </row>
    <row r="538" spans="1:15" s="14" customFormat="1" x14ac:dyDescent="0.25">
      <c r="A538" s="13">
        <v>552</v>
      </c>
      <c r="B538" s="16">
        <v>552</v>
      </c>
      <c r="C538" s="13" t="s">
        <v>3369</v>
      </c>
      <c r="D538" s="6">
        <v>5056</v>
      </c>
      <c r="E538" s="13" t="s">
        <v>2931</v>
      </c>
      <c r="F538" s="13"/>
      <c r="G538" s="17">
        <v>11</v>
      </c>
      <c r="H538" s="16">
        <v>88</v>
      </c>
      <c r="I538" s="18">
        <v>6.69</v>
      </c>
      <c r="J538" s="13"/>
      <c r="K538" s="13"/>
      <c r="L538" s="17">
        <f>G538-J538</f>
        <v>11</v>
      </c>
      <c r="M538" s="18">
        <f>L538*(H538*H538)*0.7854/10000</f>
        <v>6.6903513600000002</v>
      </c>
      <c r="N538" s="9"/>
      <c r="O538" s="8" t="s">
        <v>19</v>
      </c>
    </row>
    <row r="539" spans="1:15" s="14" customFormat="1" x14ac:dyDescent="0.25">
      <c r="A539" s="13">
        <v>553</v>
      </c>
      <c r="B539" s="16">
        <v>553</v>
      </c>
      <c r="C539" s="13" t="s">
        <v>3370</v>
      </c>
      <c r="D539" s="6" t="s">
        <v>884</v>
      </c>
      <c r="E539" s="13" t="s">
        <v>2931</v>
      </c>
      <c r="F539" s="13"/>
      <c r="G539" s="17">
        <v>10.7</v>
      </c>
      <c r="H539" s="16">
        <v>94</v>
      </c>
      <c r="I539" s="18">
        <v>7.4260000000000002</v>
      </c>
      <c r="J539" s="13"/>
      <c r="K539" s="13"/>
      <c r="L539" s="17">
        <f>G539-J539</f>
        <v>10.7</v>
      </c>
      <c r="M539" s="18">
        <f>L539*(H539*H539)*0.7854/10000</f>
        <v>7.4255800079999998</v>
      </c>
      <c r="N539" s="9"/>
      <c r="O539" s="8" t="s">
        <v>30</v>
      </c>
    </row>
    <row r="540" spans="1:15" s="14" customFormat="1" x14ac:dyDescent="0.25">
      <c r="A540" s="13">
        <v>554</v>
      </c>
      <c r="B540" s="16">
        <v>554</v>
      </c>
      <c r="C540" s="13" t="s">
        <v>3371</v>
      </c>
      <c r="D540" s="6">
        <v>5057</v>
      </c>
      <c r="E540" s="13" t="s">
        <v>2931</v>
      </c>
      <c r="F540" s="13"/>
      <c r="G540" s="17">
        <v>12.5</v>
      </c>
      <c r="H540" s="16">
        <v>141</v>
      </c>
      <c r="I540" s="18">
        <v>19.518000000000001</v>
      </c>
      <c r="J540" s="13"/>
      <c r="K540" s="13"/>
      <c r="L540" s="17">
        <f>G540-J540</f>
        <v>12.5</v>
      </c>
      <c r="M540" s="18">
        <f>L540*(H540*H540)*0.7854/10000</f>
        <v>19.51817175</v>
      </c>
      <c r="N540" s="9" t="s">
        <v>21</v>
      </c>
      <c r="O540" s="8" t="s">
        <v>19</v>
      </c>
    </row>
    <row r="541" spans="1:15" s="14" customFormat="1" x14ac:dyDescent="0.25">
      <c r="A541" s="13">
        <v>555</v>
      </c>
      <c r="B541" s="16">
        <v>555</v>
      </c>
      <c r="C541" s="13" t="s">
        <v>3372</v>
      </c>
      <c r="D541" s="6" t="s">
        <v>887</v>
      </c>
      <c r="E541" s="13" t="s">
        <v>2931</v>
      </c>
      <c r="F541" s="13"/>
      <c r="G541" s="17">
        <v>11.7</v>
      </c>
      <c r="H541" s="16">
        <v>82</v>
      </c>
      <c r="I541" s="18">
        <v>6.1790000000000003</v>
      </c>
      <c r="J541" s="13"/>
      <c r="K541" s="13"/>
      <c r="L541" s="17">
        <f>G541-J541</f>
        <v>11.7</v>
      </c>
      <c r="M541" s="18">
        <f>L541*(H541*H541)*0.7854/10000</f>
        <v>6.1788046319999985</v>
      </c>
      <c r="N541" s="9"/>
      <c r="O541" s="8" t="s">
        <v>19</v>
      </c>
    </row>
    <row r="542" spans="1:15" s="14" customFormat="1" x14ac:dyDescent="0.25">
      <c r="A542" s="13">
        <v>556</v>
      </c>
      <c r="B542" s="16">
        <v>556</v>
      </c>
      <c r="C542" s="13" t="s">
        <v>3373</v>
      </c>
      <c r="D542" s="6" t="s">
        <v>889</v>
      </c>
      <c r="E542" s="13" t="s">
        <v>2931</v>
      </c>
      <c r="F542" s="13"/>
      <c r="G542" s="17">
        <v>9</v>
      </c>
      <c r="H542" s="16">
        <v>72</v>
      </c>
      <c r="I542" s="18">
        <v>3.6640000000000001</v>
      </c>
      <c r="J542" s="13"/>
      <c r="K542" s="13"/>
      <c r="L542" s="17">
        <f>G542-J542</f>
        <v>9</v>
      </c>
      <c r="M542" s="18">
        <f>L542*(H542*H542)*0.7854/10000</f>
        <v>3.66436224</v>
      </c>
      <c r="N542" s="9"/>
      <c r="O542" s="8" t="s">
        <v>19</v>
      </c>
    </row>
    <row r="543" spans="1:15" s="14" customFormat="1" x14ac:dyDescent="0.25">
      <c r="A543" s="13">
        <v>557</v>
      </c>
      <c r="B543" s="16">
        <v>557</v>
      </c>
      <c r="C543" s="13" t="s">
        <v>3374</v>
      </c>
      <c r="D543" s="6" t="s">
        <v>891</v>
      </c>
      <c r="E543" s="13" t="s">
        <v>2931</v>
      </c>
      <c r="F543" s="13"/>
      <c r="G543" s="17">
        <v>11.3</v>
      </c>
      <c r="H543" s="16">
        <v>107</v>
      </c>
      <c r="I543" s="18">
        <v>10.161</v>
      </c>
      <c r="J543" s="13"/>
      <c r="K543" s="13"/>
      <c r="L543" s="17">
        <f>G543-J543</f>
        <v>11.3</v>
      </c>
      <c r="M543" s="18">
        <f>L543*(H543*H543)*0.7854/10000</f>
        <v>10.161010398000002</v>
      </c>
      <c r="N543" s="9"/>
      <c r="O543" s="8" t="s">
        <v>19</v>
      </c>
    </row>
    <row r="544" spans="1:15" s="14" customFormat="1" x14ac:dyDescent="0.25">
      <c r="A544" s="13">
        <v>558</v>
      </c>
      <c r="B544" s="16">
        <v>558</v>
      </c>
      <c r="C544" s="13" t="s">
        <v>3375</v>
      </c>
      <c r="D544" s="6" t="s">
        <v>893</v>
      </c>
      <c r="E544" s="13" t="s">
        <v>2931</v>
      </c>
      <c r="F544" s="13"/>
      <c r="G544" s="17">
        <v>9.9</v>
      </c>
      <c r="H544" s="16">
        <v>98</v>
      </c>
      <c r="I544" s="18">
        <v>7.468</v>
      </c>
      <c r="J544" s="13"/>
      <c r="K544" s="13"/>
      <c r="L544" s="17">
        <f>G544-J544</f>
        <v>9.9</v>
      </c>
      <c r="M544" s="18">
        <f>L544*(H544*H544)*0.7854/10000</f>
        <v>7.4675517840000003</v>
      </c>
      <c r="N544" s="9"/>
      <c r="O544" s="8" t="s">
        <v>19</v>
      </c>
    </row>
    <row r="545" spans="1:15" s="14" customFormat="1" x14ac:dyDescent="0.25">
      <c r="A545" s="13">
        <v>559</v>
      </c>
      <c r="B545" s="16">
        <v>559</v>
      </c>
      <c r="C545" s="13" t="s">
        <v>3376</v>
      </c>
      <c r="D545" s="6">
        <v>849</v>
      </c>
      <c r="E545" s="13" t="s">
        <v>2931</v>
      </c>
      <c r="F545" s="13"/>
      <c r="G545" s="17">
        <v>12.8</v>
      </c>
      <c r="H545" s="16">
        <v>79</v>
      </c>
      <c r="I545" s="18">
        <v>6.274</v>
      </c>
      <c r="J545" s="13"/>
      <c r="K545" s="13"/>
      <c r="L545" s="17">
        <f>G545-J545</f>
        <v>12.8</v>
      </c>
      <c r="M545" s="18">
        <f>L545*(H545*H545)*0.7854/10000</f>
        <v>6.2741521919999999</v>
      </c>
      <c r="N545" s="9"/>
      <c r="O545" s="8" t="s">
        <v>19</v>
      </c>
    </row>
    <row r="546" spans="1:15" s="14" customFormat="1" x14ac:dyDescent="0.25">
      <c r="A546" s="13">
        <v>560</v>
      </c>
      <c r="B546" s="16">
        <v>560</v>
      </c>
      <c r="C546" s="13" t="s">
        <v>3377</v>
      </c>
      <c r="D546" s="6" t="s">
        <v>896</v>
      </c>
      <c r="E546" s="13" t="s">
        <v>2931</v>
      </c>
      <c r="F546" s="13"/>
      <c r="G546" s="17">
        <v>10.4</v>
      </c>
      <c r="H546" s="16">
        <v>108</v>
      </c>
      <c r="I546" s="18">
        <v>9.5269999999999992</v>
      </c>
      <c r="J546" s="13"/>
      <c r="K546" s="13"/>
      <c r="L546" s="17">
        <f>G546-J546</f>
        <v>10.4</v>
      </c>
      <c r="M546" s="18">
        <f>L546*(H546*H546)*0.7854/10000</f>
        <v>9.5273418240000005</v>
      </c>
      <c r="N546" s="9"/>
      <c r="O546" s="8" t="s">
        <v>19</v>
      </c>
    </row>
    <row r="547" spans="1:15" s="14" customFormat="1" x14ac:dyDescent="0.25">
      <c r="A547" s="13">
        <v>561</v>
      </c>
      <c r="B547" s="16">
        <v>561</v>
      </c>
      <c r="C547" s="13" t="s">
        <v>3378</v>
      </c>
      <c r="D547" s="6" t="s">
        <v>898</v>
      </c>
      <c r="E547" s="13" t="s">
        <v>2931</v>
      </c>
      <c r="F547" s="13"/>
      <c r="G547" s="17">
        <v>9.1999999999999993</v>
      </c>
      <c r="H547" s="16">
        <v>102</v>
      </c>
      <c r="I547" s="18">
        <v>7.5179999999999998</v>
      </c>
      <c r="J547" s="13"/>
      <c r="K547" s="13"/>
      <c r="L547" s="17">
        <f>G547-J547</f>
        <v>9.1999999999999993</v>
      </c>
      <c r="M547" s="18">
        <f>L547*(H547*H547)*0.7854/10000</f>
        <v>7.5175974719999985</v>
      </c>
      <c r="N547" s="9"/>
      <c r="O547" s="8" t="s">
        <v>19</v>
      </c>
    </row>
    <row r="548" spans="1:15" s="14" customFormat="1" x14ac:dyDescent="0.25">
      <c r="A548" s="13">
        <v>562</v>
      </c>
      <c r="B548" s="16">
        <v>562</v>
      </c>
      <c r="C548" s="13" t="s">
        <v>3379</v>
      </c>
      <c r="D548" s="6">
        <v>850</v>
      </c>
      <c r="E548" s="13" t="s">
        <v>2931</v>
      </c>
      <c r="F548" s="13"/>
      <c r="G548" s="17">
        <v>13.6</v>
      </c>
      <c r="H548" s="16">
        <v>81</v>
      </c>
      <c r="I548" s="18">
        <v>7.008</v>
      </c>
      <c r="J548" s="13">
        <v>0.3</v>
      </c>
      <c r="K548" s="13"/>
      <c r="L548" s="17">
        <f>G548-J548</f>
        <v>13.299999999999999</v>
      </c>
      <c r="M548" s="18">
        <f>L548*(H548*H548)*0.7854/10000</f>
        <v>6.8535025019999987</v>
      </c>
      <c r="N548" s="9"/>
      <c r="O548" s="8" t="s">
        <v>30</v>
      </c>
    </row>
    <row r="549" spans="1:15" s="14" customFormat="1" x14ac:dyDescent="0.25">
      <c r="A549" s="13">
        <v>563</v>
      </c>
      <c r="B549" s="16">
        <v>563</v>
      </c>
      <c r="C549" s="13" t="s">
        <v>3380</v>
      </c>
      <c r="D549" s="6">
        <v>851</v>
      </c>
      <c r="E549" s="13" t="s">
        <v>2931</v>
      </c>
      <c r="F549" s="13"/>
      <c r="G549" s="17">
        <v>12.1</v>
      </c>
      <c r="H549" s="16">
        <v>96</v>
      </c>
      <c r="I549" s="18">
        <v>8.7579999999999991</v>
      </c>
      <c r="J549" s="13"/>
      <c r="K549" s="13"/>
      <c r="L549" s="17">
        <f>G549-J549</f>
        <v>12.1</v>
      </c>
      <c r="M549" s="18">
        <f>L549*(H549*H549)*0.7854/10000</f>
        <v>8.7582781439999984</v>
      </c>
      <c r="N549" s="9"/>
      <c r="O549" s="8" t="s">
        <v>19</v>
      </c>
    </row>
    <row r="550" spans="1:15" s="14" customFormat="1" x14ac:dyDescent="0.25">
      <c r="A550" s="13">
        <v>564</v>
      </c>
      <c r="B550" s="16">
        <v>564</v>
      </c>
      <c r="C550" s="13" t="s">
        <v>3381</v>
      </c>
      <c r="D550" s="6" t="s">
        <v>902</v>
      </c>
      <c r="E550" s="13" t="s">
        <v>2931</v>
      </c>
      <c r="F550" s="13"/>
      <c r="G550" s="17">
        <v>11.5</v>
      </c>
      <c r="H550" s="16">
        <v>98</v>
      </c>
      <c r="I550" s="18">
        <v>8.6739999999999995</v>
      </c>
      <c r="J550" s="13"/>
      <c r="K550" s="13"/>
      <c r="L550" s="17">
        <f>G550-J550</f>
        <v>11.5</v>
      </c>
      <c r="M550" s="18">
        <f>L550*(H550*H550)*0.7854/10000</f>
        <v>8.6744288400000009</v>
      </c>
      <c r="N550" s="9"/>
      <c r="O550" s="8" t="s">
        <v>19</v>
      </c>
    </row>
    <row r="551" spans="1:15" s="14" customFormat="1" x14ac:dyDescent="0.25">
      <c r="A551" s="13">
        <v>565</v>
      </c>
      <c r="B551" s="16">
        <v>565</v>
      </c>
      <c r="C551" s="13" t="s">
        <v>3382</v>
      </c>
      <c r="D551" s="6" t="s">
        <v>904</v>
      </c>
      <c r="E551" s="13" t="s">
        <v>2931</v>
      </c>
      <c r="F551" s="13"/>
      <c r="G551" s="17">
        <v>12.1</v>
      </c>
      <c r="H551" s="16">
        <v>94</v>
      </c>
      <c r="I551" s="18">
        <v>8.3970000000000002</v>
      </c>
      <c r="J551" s="13"/>
      <c r="K551" s="13"/>
      <c r="L551" s="17">
        <f>G551-J551</f>
        <v>12.1</v>
      </c>
      <c r="M551" s="18">
        <f>L551*(H551*H551)*0.7854/10000</f>
        <v>8.3971512239999999</v>
      </c>
      <c r="N551" s="9"/>
      <c r="O551" s="8" t="s">
        <v>30</v>
      </c>
    </row>
    <row r="552" spans="1:15" s="14" customFormat="1" x14ac:dyDescent="0.25">
      <c r="A552" s="13">
        <v>566</v>
      </c>
      <c r="B552" s="16">
        <v>566</v>
      </c>
      <c r="C552" s="13" t="s">
        <v>3383</v>
      </c>
      <c r="D552" s="6" t="s">
        <v>906</v>
      </c>
      <c r="E552" s="13" t="s">
        <v>2931</v>
      </c>
      <c r="F552" s="13"/>
      <c r="G552" s="17">
        <v>6.3</v>
      </c>
      <c r="H552" s="16">
        <v>98</v>
      </c>
      <c r="I552" s="18">
        <v>4.7519999999999998</v>
      </c>
      <c r="J552" s="13"/>
      <c r="K552" s="13"/>
      <c r="L552" s="17">
        <f>G552-J552</f>
        <v>6.3</v>
      </c>
      <c r="M552" s="18">
        <f>L552*(H552*H552)*0.7854/10000</f>
        <v>4.752078408</v>
      </c>
      <c r="N552" s="9"/>
      <c r="O552" s="8" t="s">
        <v>19</v>
      </c>
    </row>
    <row r="553" spans="1:15" s="14" customFormat="1" x14ac:dyDescent="0.25">
      <c r="A553" s="13">
        <v>567</v>
      </c>
      <c r="B553" s="16">
        <v>567</v>
      </c>
      <c r="C553" s="13" t="s">
        <v>3384</v>
      </c>
      <c r="D553" s="6" t="s">
        <v>908</v>
      </c>
      <c r="E553" s="13" t="s">
        <v>2931</v>
      </c>
      <c r="F553" s="13"/>
      <c r="G553" s="17">
        <v>8.9</v>
      </c>
      <c r="H553" s="16">
        <v>85</v>
      </c>
      <c r="I553" s="18">
        <v>5.05</v>
      </c>
      <c r="J553" s="13"/>
      <c r="K553" s="13"/>
      <c r="L553" s="17">
        <f>G553-J553</f>
        <v>8.9</v>
      </c>
      <c r="M553" s="18">
        <f>L553*(H553*H553)*0.7854/10000</f>
        <v>5.0503183499999995</v>
      </c>
      <c r="N553" s="9"/>
      <c r="O553" s="8" t="s">
        <v>19</v>
      </c>
    </row>
    <row r="554" spans="1:15" s="14" customFormat="1" x14ac:dyDescent="0.25">
      <c r="A554" s="13">
        <v>568</v>
      </c>
      <c r="B554" s="16">
        <v>568</v>
      </c>
      <c r="C554" s="13" t="s">
        <v>3385</v>
      </c>
      <c r="D554" s="6" t="s">
        <v>910</v>
      </c>
      <c r="E554" s="13" t="s">
        <v>2931</v>
      </c>
      <c r="F554" s="13"/>
      <c r="G554" s="17">
        <v>11.5</v>
      </c>
      <c r="H554" s="16">
        <v>103</v>
      </c>
      <c r="I554" s="18">
        <v>9.5820000000000007</v>
      </c>
      <c r="J554" s="13"/>
      <c r="K554" s="13"/>
      <c r="L554" s="17">
        <f>G554-J554</f>
        <v>11.5</v>
      </c>
      <c r="M554" s="18">
        <f>L554*(H554*H554)*0.7854/10000</f>
        <v>9.58215489</v>
      </c>
      <c r="N554" s="9" t="s">
        <v>35</v>
      </c>
      <c r="O554" s="8" t="s">
        <v>30</v>
      </c>
    </row>
    <row r="555" spans="1:15" s="14" customFormat="1" x14ac:dyDescent="0.25">
      <c r="A555" s="13">
        <v>569</v>
      </c>
      <c r="B555" s="16">
        <v>569</v>
      </c>
      <c r="C555" s="13" t="s">
        <v>3386</v>
      </c>
      <c r="D555" s="6" t="s">
        <v>912</v>
      </c>
      <c r="E555" s="13" t="s">
        <v>2931</v>
      </c>
      <c r="F555" s="13"/>
      <c r="G555" s="17">
        <v>8.1999999999999993</v>
      </c>
      <c r="H555" s="16">
        <v>90</v>
      </c>
      <c r="I555" s="18">
        <v>5.2169999999999996</v>
      </c>
      <c r="J555" s="13"/>
      <c r="K555" s="13"/>
      <c r="L555" s="17">
        <f>G555-J555</f>
        <v>8.1999999999999993</v>
      </c>
      <c r="M555" s="18">
        <f>L555*(H555*H555)*0.7854/10000</f>
        <v>5.2166267999999993</v>
      </c>
      <c r="N555" s="9"/>
      <c r="O555" s="8" t="s">
        <v>19</v>
      </c>
    </row>
    <row r="556" spans="1:15" s="14" customFormat="1" x14ac:dyDescent="0.25">
      <c r="A556" s="13">
        <v>570</v>
      </c>
      <c r="B556" s="16">
        <v>570</v>
      </c>
      <c r="C556" s="13" t="s">
        <v>3387</v>
      </c>
      <c r="D556" s="6">
        <v>5273</v>
      </c>
      <c r="E556" s="13" t="s">
        <v>2931</v>
      </c>
      <c r="F556" s="13"/>
      <c r="G556" s="17">
        <v>14</v>
      </c>
      <c r="H556" s="16">
        <v>69</v>
      </c>
      <c r="I556" s="18">
        <v>5.2350000000000003</v>
      </c>
      <c r="J556" s="13">
        <v>0.3</v>
      </c>
      <c r="K556" s="13"/>
      <c r="L556" s="17">
        <f>G556-J556</f>
        <v>13.7</v>
      </c>
      <c r="M556" s="18">
        <f>L556*(H556*H556)*0.7854/10000</f>
        <v>5.1228264779999995</v>
      </c>
      <c r="N556" s="9"/>
      <c r="O556" s="8" t="s">
        <v>19</v>
      </c>
    </row>
    <row r="557" spans="1:15" s="14" customFormat="1" x14ac:dyDescent="0.25">
      <c r="A557" s="13">
        <v>572</v>
      </c>
      <c r="B557" s="16">
        <v>572</v>
      </c>
      <c r="C557" s="13" t="s">
        <v>3388</v>
      </c>
      <c r="D557" s="6" t="s">
        <v>915</v>
      </c>
      <c r="E557" s="13" t="s">
        <v>2931</v>
      </c>
      <c r="F557" s="13"/>
      <c r="G557" s="17">
        <v>11.2</v>
      </c>
      <c r="H557" s="16">
        <v>83</v>
      </c>
      <c r="I557" s="18">
        <v>6.06</v>
      </c>
      <c r="J557" s="13"/>
      <c r="K557" s="13"/>
      <c r="L557" s="17">
        <f>G557-J557</f>
        <v>11.2</v>
      </c>
      <c r="M557" s="18">
        <f>L557*(H557*H557)*0.7854/10000</f>
        <v>6.0598950719999998</v>
      </c>
      <c r="N557" s="9" t="s">
        <v>916</v>
      </c>
      <c r="O557" s="8" t="s">
        <v>19</v>
      </c>
    </row>
    <row r="558" spans="1:15" s="14" customFormat="1" x14ac:dyDescent="0.25">
      <c r="A558" s="13">
        <v>573</v>
      </c>
      <c r="B558" s="16">
        <v>573</v>
      </c>
      <c r="C558" s="13" t="s">
        <v>3389</v>
      </c>
      <c r="D558" s="6" t="s">
        <v>918</v>
      </c>
      <c r="E558" s="13" t="s">
        <v>2931</v>
      </c>
      <c r="F558" s="13"/>
      <c r="G558" s="17">
        <v>9.8000000000000007</v>
      </c>
      <c r="H558" s="16">
        <v>83</v>
      </c>
      <c r="I558" s="18">
        <v>5.3019999999999996</v>
      </c>
      <c r="J558" s="13"/>
      <c r="K558" s="13"/>
      <c r="L558" s="17">
        <f>G558-J558</f>
        <v>9.8000000000000007</v>
      </c>
      <c r="M558" s="18">
        <f>L558*(H558*H558)*0.7854/10000</f>
        <v>5.3024081880000002</v>
      </c>
      <c r="N558" s="9"/>
      <c r="O558" s="8" t="s">
        <v>19</v>
      </c>
    </row>
    <row r="559" spans="1:15" s="14" customFormat="1" x14ac:dyDescent="0.25">
      <c r="A559" s="13">
        <v>574</v>
      </c>
      <c r="B559" s="16">
        <v>574</v>
      </c>
      <c r="C559" s="13" t="s">
        <v>3390</v>
      </c>
      <c r="D559" s="6" t="s">
        <v>920</v>
      </c>
      <c r="E559" s="13" t="s">
        <v>2931</v>
      </c>
      <c r="F559" s="13"/>
      <c r="G559" s="17">
        <v>10.6</v>
      </c>
      <c r="H559" s="16">
        <v>74</v>
      </c>
      <c r="I559" s="18">
        <v>4.5590000000000002</v>
      </c>
      <c r="J559" s="13"/>
      <c r="K559" s="13"/>
      <c r="L559" s="17">
        <f>G559-J559</f>
        <v>10.6</v>
      </c>
      <c r="M559" s="18">
        <f>L559*(H559*H559)*0.7854/10000</f>
        <v>4.5589014240000001</v>
      </c>
      <c r="N559" s="9"/>
      <c r="O559" s="8" t="s">
        <v>19</v>
      </c>
    </row>
    <row r="560" spans="1:15" s="14" customFormat="1" x14ac:dyDescent="0.25">
      <c r="A560" s="13">
        <v>575</v>
      </c>
      <c r="B560" s="16">
        <v>575</v>
      </c>
      <c r="C560" s="13" t="s">
        <v>3391</v>
      </c>
      <c r="D560" s="6" t="s">
        <v>922</v>
      </c>
      <c r="E560" s="13" t="s">
        <v>2931</v>
      </c>
      <c r="F560" s="13"/>
      <c r="G560" s="17">
        <v>8.4</v>
      </c>
      <c r="H560" s="16">
        <v>72</v>
      </c>
      <c r="I560" s="18">
        <v>3.42</v>
      </c>
      <c r="J560" s="13"/>
      <c r="K560" s="13"/>
      <c r="L560" s="17">
        <f>G560-J560</f>
        <v>8.4</v>
      </c>
      <c r="M560" s="18">
        <f>L560*(H560*H560)*0.7854/10000</f>
        <v>3.4200714240000001</v>
      </c>
      <c r="N560" s="9"/>
      <c r="O560" s="8" t="s">
        <v>19</v>
      </c>
    </row>
    <row r="561" spans="1:15" s="14" customFormat="1" x14ac:dyDescent="0.25">
      <c r="A561" s="13">
        <v>576</v>
      </c>
      <c r="B561" s="16">
        <v>576</v>
      </c>
      <c r="C561" s="13" t="s">
        <v>3392</v>
      </c>
      <c r="D561" s="6" t="s">
        <v>924</v>
      </c>
      <c r="E561" s="13" t="s">
        <v>2931</v>
      </c>
      <c r="F561" s="13"/>
      <c r="G561" s="17">
        <v>5.2</v>
      </c>
      <c r="H561" s="16">
        <v>76</v>
      </c>
      <c r="I561" s="18">
        <v>2.359</v>
      </c>
      <c r="J561" s="13"/>
      <c r="K561" s="13"/>
      <c r="L561" s="17">
        <f>G561-J561</f>
        <v>5.2</v>
      </c>
      <c r="M561" s="18">
        <f>L561*(H561*H561)*0.7854/10000</f>
        <v>2.358964608</v>
      </c>
      <c r="N561" s="9"/>
      <c r="O561" s="8" t="s">
        <v>19</v>
      </c>
    </row>
    <row r="562" spans="1:15" s="14" customFormat="1" x14ac:dyDescent="0.25">
      <c r="A562" s="13">
        <v>577</v>
      </c>
      <c r="B562" s="16">
        <v>577</v>
      </c>
      <c r="C562" s="13" t="s">
        <v>3393</v>
      </c>
      <c r="D562" s="6" t="s">
        <v>926</v>
      </c>
      <c r="E562" s="13" t="s">
        <v>2931</v>
      </c>
      <c r="F562" s="13"/>
      <c r="G562" s="17">
        <v>5.3</v>
      </c>
      <c r="H562" s="16">
        <v>73</v>
      </c>
      <c r="I562" s="18">
        <v>2.218</v>
      </c>
      <c r="J562" s="13"/>
      <c r="K562" s="13"/>
      <c r="L562" s="17">
        <f>G562-J562</f>
        <v>5.3</v>
      </c>
      <c r="M562" s="18">
        <f>L562*(H562*H562)*0.7854/10000</f>
        <v>2.2182601979999998</v>
      </c>
      <c r="N562" s="9"/>
      <c r="O562" s="8" t="s">
        <v>19</v>
      </c>
    </row>
    <row r="563" spans="1:15" s="14" customFormat="1" x14ac:dyDescent="0.25">
      <c r="A563" s="13">
        <v>578</v>
      </c>
      <c r="B563" s="16">
        <v>578</v>
      </c>
      <c r="C563" s="13" t="s">
        <v>3394</v>
      </c>
      <c r="D563" s="6">
        <v>5049</v>
      </c>
      <c r="E563" s="13" t="s">
        <v>2931</v>
      </c>
      <c r="F563" s="13"/>
      <c r="G563" s="17">
        <v>12.3</v>
      </c>
      <c r="H563" s="16">
        <v>95</v>
      </c>
      <c r="I563" s="18">
        <v>8.7189999999999994</v>
      </c>
      <c r="J563" s="13">
        <v>0.3</v>
      </c>
      <c r="K563" s="13"/>
      <c r="L563" s="17">
        <f>G563-J563</f>
        <v>12</v>
      </c>
      <c r="M563" s="18">
        <f>L563*(H563*H563)*0.7854/10000</f>
        <v>8.5058819999999997</v>
      </c>
      <c r="N563" s="9"/>
      <c r="O563" s="8" t="s">
        <v>30</v>
      </c>
    </row>
    <row r="564" spans="1:15" s="14" customFormat="1" x14ac:dyDescent="0.25">
      <c r="A564" s="13">
        <v>579</v>
      </c>
      <c r="B564" s="16">
        <v>579</v>
      </c>
      <c r="C564" s="13" t="s">
        <v>3395</v>
      </c>
      <c r="D564" s="6" t="s">
        <v>929</v>
      </c>
      <c r="E564" s="13" t="s">
        <v>2931</v>
      </c>
      <c r="F564" s="13"/>
      <c r="G564" s="17">
        <v>10.3</v>
      </c>
      <c r="H564" s="16">
        <v>122</v>
      </c>
      <c r="I564" s="18">
        <v>12.041</v>
      </c>
      <c r="J564" s="13">
        <v>0.3</v>
      </c>
      <c r="K564" s="13"/>
      <c r="L564" s="17">
        <f>G564-J564</f>
        <v>10</v>
      </c>
      <c r="M564" s="18">
        <f>L564*(H564*H564)*0.7854/10000</f>
        <v>11.6898936</v>
      </c>
      <c r="N564" s="9"/>
      <c r="O564" s="8" t="s">
        <v>19</v>
      </c>
    </row>
    <row r="565" spans="1:15" s="14" customFormat="1" x14ac:dyDescent="0.25">
      <c r="A565" s="13">
        <v>580</v>
      </c>
      <c r="B565" s="16">
        <v>580</v>
      </c>
      <c r="C565" s="13" t="s">
        <v>3396</v>
      </c>
      <c r="D565" s="6">
        <v>5276</v>
      </c>
      <c r="E565" s="13" t="s">
        <v>2931</v>
      </c>
      <c r="F565" s="13"/>
      <c r="G565" s="17">
        <v>5.2</v>
      </c>
      <c r="H565" s="16">
        <v>119</v>
      </c>
      <c r="I565" s="18">
        <v>5.7830000000000004</v>
      </c>
      <c r="J565" s="13"/>
      <c r="K565" s="13"/>
      <c r="L565" s="17">
        <f>G565-J565</f>
        <v>5.2</v>
      </c>
      <c r="M565" s="18">
        <f>L565*(H565*H565)*0.7854/10000</f>
        <v>5.7834656879999997</v>
      </c>
      <c r="N565" s="9" t="s">
        <v>21</v>
      </c>
      <c r="O565" s="8" t="s">
        <v>19</v>
      </c>
    </row>
    <row r="566" spans="1:15" s="14" customFormat="1" x14ac:dyDescent="0.25">
      <c r="A566" s="13">
        <v>581</v>
      </c>
      <c r="B566" s="16">
        <v>581</v>
      </c>
      <c r="C566" s="13" t="s">
        <v>3397</v>
      </c>
      <c r="D566" s="6" t="s">
        <v>932</v>
      </c>
      <c r="E566" s="13" t="s">
        <v>2931</v>
      </c>
      <c r="F566" s="13"/>
      <c r="G566" s="17">
        <v>10.3</v>
      </c>
      <c r="H566" s="16">
        <v>104</v>
      </c>
      <c r="I566" s="18">
        <v>8.75</v>
      </c>
      <c r="J566" s="13">
        <v>0.4</v>
      </c>
      <c r="K566" s="13"/>
      <c r="L566" s="17">
        <f>G566-J566</f>
        <v>9.9</v>
      </c>
      <c r="M566" s="18">
        <f>L566*(H566*H566)*0.7854/10000</f>
        <v>8.409937536000001</v>
      </c>
      <c r="N566" s="9"/>
      <c r="O566" s="8" t="s">
        <v>30</v>
      </c>
    </row>
    <row r="567" spans="1:15" s="14" customFormat="1" x14ac:dyDescent="0.25">
      <c r="A567" s="13">
        <v>582</v>
      </c>
      <c r="B567" s="16">
        <v>582</v>
      </c>
      <c r="C567" s="13" t="s">
        <v>3398</v>
      </c>
      <c r="D567" s="6" t="s">
        <v>934</v>
      </c>
      <c r="E567" s="13" t="s">
        <v>2931</v>
      </c>
      <c r="F567" s="13"/>
      <c r="G567" s="17">
        <v>4.4000000000000004</v>
      </c>
      <c r="H567" s="16">
        <v>101</v>
      </c>
      <c r="I567" s="18">
        <v>3.5249999999999999</v>
      </c>
      <c r="J567" s="13">
        <v>0.4</v>
      </c>
      <c r="K567" s="13"/>
      <c r="L567" s="17">
        <f>G567-J567</f>
        <v>4</v>
      </c>
      <c r="M567" s="18">
        <f>L567*(H567*H567)*0.7854/10000</f>
        <v>3.20474616</v>
      </c>
      <c r="N567" s="9"/>
      <c r="O567" s="8" t="s">
        <v>19</v>
      </c>
    </row>
    <row r="568" spans="1:15" s="14" customFormat="1" x14ac:dyDescent="0.25">
      <c r="A568" s="13">
        <v>583</v>
      </c>
      <c r="B568" s="16">
        <v>583</v>
      </c>
      <c r="C568" s="13" t="s">
        <v>3399</v>
      </c>
      <c r="D568" s="6">
        <v>5278</v>
      </c>
      <c r="E568" s="13" t="s">
        <v>2931</v>
      </c>
      <c r="F568" s="13"/>
      <c r="G568" s="17">
        <v>13</v>
      </c>
      <c r="H568" s="16">
        <v>79</v>
      </c>
      <c r="I568" s="18">
        <v>6.3719999999999999</v>
      </c>
      <c r="J568" s="13"/>
      <c r="K568" s="13"/>
      <c r="L568" s="17">
        <f>G568-J568</f>
        <v>13</v>
      </c>
      <c r="M568" s="18">
        <f>L568*(H568*H568)*0.7854/10000</f>
        <v>6.3721858200000003</v>
      </c>
      <c r="N568" s="9"/>
      <c r="O568" s="8" t="s">
        <v>19</v>
      </c>
    </row>
    <row r="569" spans="1:15" s="14" customFormat="1" x14ac:dyDescent="0.25">
      <c r="A569" s="13">
        <v>584</v>
      </c>
      <c r="B569" s="16">
        <v>584</v>
      </c>
      <c r="C569" s="13" t="s">
        <v>3400</v>
      </c>
      <c r="D569" s="6" t="s">
        <v>937</v>
      </c>
      <c r="E569" s="13" t="s">
        <v>2931</v>
      </c>
      <c r="F569" s="13"/>
      <c r="G569" s="17">
        <v>11.6</v>
      </c>
      <c r="H569" s="16">
        <v>109</v>
      </c>
      <c r="I569" s="18">
        <v>10.824</v>
      </c>
      <c r="J569" s="13"/>
      <c r="K569" s="13"/>
      <c r="L569" s="17">
        <f>G569-J569</f>
        <v>11.6</v>
      </c>
      <c r="M569" s="18">
        <f>L569*(H569*H569)*0.7854/10000</f>
        <v>10.824351384</v>
      </c>
      <c r="N569" s="9"/>
      <c r="O569" s="8" t="s">
        <v>30</v>
      </c>
    </row>
    <row r="570" spans="1:15" s="14" customFormat="1" x14ac:dyDescent="0.25">
      <c r="A570" s="13">
        <v>585</v>
      </c>
      <c r="B570" s="16">
        <v>585</v>
      </c>
      <c r="C570" s="13" t="s">
        <v>3401</v>
      </c>
      <c r="D570" s="6" t="s">
        <v>939</v>
      </c>
      <c r="E570" s="13" t="s">
        <v>2931</v>
      </c>
      <c r="F570" s="13"/>
      <c r="G570" s="17">
        <v>7.8</v>
      </c>
      <c r="H570" s="16">
        <v>102</v>
      </c>
      <c r="I570" s="18">
        <v>6.3739999999999997</v>
      </c>
      <c r="J570" s="13"/>
      <c r="K570" s="13"/>
      <c r="L570" s="17">
        <f>G570-J570</f>
        <v>7.8</v>
      </c>
      <c r="M570" s="18">
        <f>L570*(H570*H570)*0.7854/10000</f>
        <v>6.3736152480000001</v>
      </c>
      <c r="N570" s="9"/>
      <c r="O570" s="8" t="s">
        <v>19</v>
      </c>
    </row>
    <row r="571" spans="1:15" s="14" customFormat="1" x14ac:dyDescent="0.25">
      <c r="A571" s="13">
        <v>586</v>
      </c>
      <c r="B571" s="16">
        <v>586</v>
      </c>
      <c r="C571" s="13" t="s">
        <v>3402</v>
      </c>
      <c r="D571" s="6">
        <v>5281</v>
      </c>
      <c r="E571" s="13" t="s">
        <v>2931</v>
      </c>
      <c r="F571" s="13"/>
      <c r="G571" s="17">
        <v>9.8000000000000007</v>
      </c>
      <c r="H571" s="16">
        <v>110</v>
      </c>
      <c r="I571" s="18">
        <v>9.3130000000000006</v>
      </c>
      <c r="J571" s="13">
        <v>0.4</v>
      </c>
      <c r="K571" s="13"/>
      <c r="L571" s="17">
        <f>G571-J571</f>
        <v>9.4</v>
      </c>
      <c r="M571" s="18">
        <f>L571*(H571*H571)*0.7854/10000</f>
        <v>8.9331395999999987</v>
      </c>
      <c r="N571" s="9"/>
      <c r="O571" s="8" t="s">
        <v>19</v>
      </c>
    </row>
    <row r="572" spans="1:15" s="14" customFormat="1" x14ac:dyDescent="0.25">
      <c r="A572" s="13">
        <v>587</v>
      </c>
      <c r="B572" s="16">
        <v>587</v>
      </c>
      <c r="C572" s="13" t="s">
        <v>3403</v>
      </c>
      <c r="D572" s="6">
        <v>863</v>
      </c>
      <c r="E572" s="13" t="s">
        <v>2931</v>
      </c>
      <c r="F572" s="13"/>
      <c r="G572" s="17">
        <v>10.3</v>
      </c>
      <c r="H572" s="16">
        <v>98</v>
      </c>
      <c r="I572" s="18">
        <v>7.7690000000000001</v>
      </c>
      <c r="J572" s="13"/>
      <c r="K572" s="13"/>
      <c r="L572" s="17">
        <f>G572-J572</f>
        <v>10.3</v>
      </c>
      <c r="M572" s="18">
        <f>L572*(H572*H572)*0.7854/10000</f>
        <v>7.7692710480000011</v>
      </c>
      <c r="N572" s="9"/>
      <c r="O572" s="8" t="s">
        <v>19</v>
      </c>
    </row>
    <row r="573" spans="1:15" s="14" customFormat="1" x14ac:dyDescent="0.25">
      <c r="A573" s="13">
        <v>588</v>
      </c>
      <c r="B573" s="16">
        <v>588</v>
      </c>
      <c r="C573" s="13" t="s">
        <v>3404</v>
      </c>
      <c r="D573" s="6" t="s">
        <v>943</v>
      </c>
      <c r="E573" s="13" t="s">
        <v>2931</v>
      </c>
      <c r="F573" s="13"/>
      <c r="G573" s="17">
        <v>9.9</v>
      </c>
      <c r="H573" s="16">
        <v>98</v>
      </c>
      <c r="I573" s="18">
        <v>7.468</v>
      </c>
      <c r="J573" s="13"/>
      <c r="K573" s="13"/>
      <c r="L573" s="17">
        <f>G573-J573</f>
        <v>9.9</v>
      </c>
      <c r="M573" s="18">
        <f>L573*(H573*H573)*0.7854/10000</f>
        <v>7.4675517840000003</v>
      </c>
      <c r="N573" s="9"/>
      <c r="O573" s="8" t="s">
        <v>19</v>
      </c>
    </row>
    <row r="574" spans="1:15" s="14" customFormat="1" x14ac:dyDescent="0.25">
      <c r="A574" s="13">
        <v>589</v>
      </c>
      <c r="B574" s="16">
        <v>589</v>
      </c>
      <c r="C574" s="13" t="s">
        <v>3405</v>
      </c>
      <c r="D574" s="6" t="s">
        <v>945</v>
      </c>
      <c r="E574" s="13" t="s">
        <v>2931</v>
      </c>
      <c r="F574" s="13"/>
      <c r="G574" s="17">
        <v>11</v>
      </c>
      <c r="H574" s="16">
        <v>76</v>
      </c>
      <c r="I574" s="18">
        <v>4.99</v>
      </c>
      <c r="J574" s="13"/>
      <c r="K574" s="13"/>
      <c r="L574" s="17">
        <f>G574-J574</f>
        <v>11</v>
      </c>
      <c r="M574" s="18">
        <f>L574*(H574*H574)*0.7854/10000</f>
        <v>4.9901174399999997</v>
      </c>
      <c r="N574" s="9"/>
      <c r="O574" s="8" t="s">
        <v>19</v>
      </c>
    </row>
    <row r="575" spans="1:15" s="14" customFormat="1" x14ac:dyDescent="0.25">
      <c r="A575" s="13">
        <v>590</v>
      </c>
      <c r="B575" s="16">
        <v>590</v>
      </c>
      <c r="C575" s="13" t="s">
        <v>3406</v>
      </c>
      <c r="D575" s="6" t="s">
        <v>947</v>
      </c>
      <c r="E575" s="13" t="s">
        <v>2931</v>
      </c>
      <c r="F575" s="13"/>
      <c r="G575" s="17">
        <v>11.7</v>
      </c>
      <c r="H575" s="16">
        <v>109</v>
      </c>
      <c r="I575" s="18">
        <v>10.917999999999999</v>
      </c>
      <c r="J575" s="13"/>
      <c r="K575" s="13"/>
      <c r="L575" s="17">
        <f>G575-J575</f>
        <v>11.7</v>
      </c>
      <c r="M575" s="18">
        <f>L575*(H575*H575)*0.7854/10000</f>
        <v>10.917664757999999</v>
      </c>
      <c r="N575" s="9"/>
      <c r="O575" s="8" t="s">
        <v>19</v>
      </c>
    </row>
    <row r="576" spans="1:15" s="14" customFormat="1" x14ac:dyDescent="0.25">
      <c r="A576" s="13">
        <v>591</v>
      </c>
      <c r="B576" s="16">
        <v>591</v>
      </c>
      <c r="C576" s="13" t="s">
        <v>3407</v>
      </c>
      <c r="D576" s="6" t="s">
        <v>949</v>
      </c>
      <c r="E576" s="13" t="s">
        <v>2931</v>
      </c>
      <c r="F576" s="13"/>
      <c r="G576" s="17">
        <v>4.9000000000000004</v>
      </c>
      <c r="H576" s="16">
        <v>93</v>
      </c>
      <c r="I576" s="18">
        <v>3.3290000000000002</v>
      </c>
      <c r="J576" s="13"/>
      <c r="K576" s="13"/>
      <c r="L576" s="17">
        <f>G576-J576</f>
        <v>4.9000000000000004</v>
      </c>
      <c r="M576" s="18">
        <f>L576*(H576*H576)*0.7854/10000</f>
        <v>3.3285330540000002</v>
      </c>
      <c r="N576" s="9"/>
      <c r="O576" s="8" t="s">
        <v>19</v>
      </c>
    </row>
    <row r="577" spans="1:15" s="14" customFormat="1" x14ac:dyDescent="0.25">
      <c r="A577" s="13">
        <v>592</v>
      </c>
      <c r="B577" s="16">
        <v>592</v>
      </c>
      <c r="C577" s="13" t="s">
        <v>3408</v>
      </c>
      <c r="D577" s="6" t="s">
        <v>951</v>
      </c>
      <c r="E577" s="13" t="s">
        <v>2931</v>
      </c>
      <c r="F577" s="13"/>
      <c r="G577" s="17">
        <v>6</v>
      </c>
      <c r="H577" s="16">
        <v>72</v>
      </c>
      <c r="I577" s="18">
        <v>2.4430000000000001</v>
      </c>
      <c r="J577" s="13"/>
      <c r="K577" s="13"/>
      <c r="L577" s="17">
        <f>G577-J577</f>
        <v>6</v>
      </c>
      <c r="M577" s="18">
        <f>L577*(H577*H577)*0.7854/10000</f>
        <v>2.44290816</v>
      </c>
      <c r="N577" s="9"/>
      <c r="O577" s="8" t="s">
        <v>19</v>
      </c>
    </row>
    <row r="578" spans="1:15" s="14" customFormat="1" x14ac:dyDescent="0.25">
      <c r="A578" s="13">
        <v>593</v>
      </c>
      <c r="B578" s="16">
        <v>593</v>
      </c>
      <c r="C578" s="13" t="s">
        <v>3409</v>
      </c>
      <c r="D578" s="6" t="s">
        <v>953</v>
      </c>
      <c r="E578" s="13" t="s">
        <v>2931</v>
      </c>
      <c r="F578" s="13"/>
      <c r="G578" s="17">
        <v>6.9</v>
      </c>
      <c r="H578" s="16">
        <v>98</v>
      </c>
      <c r="I578" s="18">
        <v>5.2050000000000001</v>
      </c>
      <c r="J578" s="13"/>
      <c r="K578" s="13"/>
      <c r="L578" s="17">
        <f>G578-J578</f>
        <v>6.9</v>
      </c>
      <c r="M578" s="18">
        <f>L578*(H578*H578)*0.7854/10000</f>
        <v>5.2046573040000004</v>
      </c>
      <c r="N578" s="9"/>
      <c r="O578" s="8" t="s">
        <v>30</v>
      </c>
    </row>
    <row r="579" spans="1:15" s="14" customFormat="1" x14ac:dyDescent="0.25">
      <c r="A579" s="13">
        <v>594</v>
      </c>
      <c r="B579" s="16">
        <v>594</v>
      </c>
      <c r="C579" s="13" t="s">
        <v>3410</v>
      </c>
      <c r="D579" s="6" t="s">
        <v>955</v>
      </c>
      <c r="E579" s="13" t="s">
        <v>2931</v>
      </c>
      <c r="F579" s="13"/>
      <c r="G579" s="17">
        <v>10.7</v>
      </c>
      <c r="H579" s="16">
        <v>77</v>
      </c>
      <c r="I579" s="18">
        <v>4.9829999999999997</v>
      </c>
      <c r="J579" s="13"/>
      <c r="K579" s="13"/>
      <c r="L579" s="17">
        <f>G579-J579</f>
        <v>10.7</v>
      </c>
      <c r="M579" s="18">
        <f>L579*(H579*H579)*0.7854/10000</f>
        <v>4.9826011619999999</v>
      </c>
      <c r="N579" s="9"/>
      <c r="O579" s="8" t="s">
        <v>19</v>
      </c>
    </row>
    <row r="580" spans="1:15" s="14" customFormat="1" x14ac:dyDescent="0.25">
      <c r="A580" s="13">
        <v>595</v>
      </c>
      <c r="B580" s="16">
        <v>595</v>
      </c>
      <c r="C580" s="13" t="s">
        <v>3411</v>
      </c>
      <c r="D580" s="6" t="s">
        <v>957</v>
      </c>
      <c r="E580" s="13" t="s">
        <v>2931</v>
      </c>
      <c r="F580" s="13"/>
      <c r="G580" s="17">
        <v>8.6</v>
      </c>
      <c r="H580" s="16">
        <v>71</v>
      </c>
      <c r="I580" s="18">
        <v>3.4049999999999998</v>
      </c>
      <c r="J580" s="13"/>
      <c r="K580" s="13"/>
      <c r="L580" s="17">
        <f>G580-J580</f>
        <v>8.6</v>
      </c>
      <c r="M580" s="18">
        <f>L580*(H580*H580)*0.7854/10000</f>
        <v>3.4049132039999996</v>
      </c>
      <c r="N580" s="9" t="s">
        <v>21</v>
      </c>
      <c r="O580" s="8" t="s">
        <v>19</v>
      </c>
    </row>
    <row r="581" spans="1:15" s="14" customFormat="1" x14ac:dyDescent="0.25">
      <c r="A581" s="13">
        <v>596</v>
      </c>
      <c r="B581" s="16">
        <v>596</v>
      </c>
      <c r="C581" s="13" t="s">
        <v>3412</v>
      </c>
      <c r="D581" s="6" t="s">
        <v>959</v>
      </c>
      <c r="E581" s="13" t="s">
        <v>2931</v>
      </c>
      <c r="F581" s="13"/>
      <c r="G581" s="17">
        <v>6.1</v>
      </c>
      <c r="H581" s="16">
        <v>91</v>
      </c>
      <c r="I581" s="18">
        <v>3.9670000000000001</v>
      </c>
      <c r="J581" s="13">
        <v>0.4</v>
      </c>
      <c r="K581" s="13"/>
      <c r="L581" s="17">
        <f>G581-J581</f>
        <v>5.6999999999999993</v>
      </c>
      <c r="M581" s="18">
        <f>L581*(H581*H581)*0.7854/10000</f>
        <v>3.7072215179999999</v>
      </c>
      <c r="N581" s="9"/>
      <c r="O581" s="8" t="s">
        <v>30</v>
      </c>
    </row>
    <row r="582" spans="1:15" s="14" customFormat="1" x14ac:dyDescent="0.25">
      <c r="A582" s="13">
        <v>597</v>
      </c>
      <c r="B582" s="16">
        <v>597</v>
      </c>
      <c r="C582" s="13" t="s">
        <v>3413</v>
      </c>
      <c r="D582" s="6" t="s">
        <v>961</v>
      </c>
      <c r="E582" s="13" t="s">
        <v>2931</v>
      </c>
      <c r="F582" s="13"/>
      <c r="G582" s="17">
        <v>9.9</v>
      </c>
      <c r="H582" s="16">
        <v>103</v>
      </c>
      <c r="I582" s="18">
        <v>8.2490000000000006</v>
      </c>
      <c r="J582" s="13"/>
      <c r="K582" s="13"/>
      <c r="L582" s="17">
        <f>G582-J582</f>
        <v>9.9</v>
      </c>
      <c r="M582" s="18">
        <f>L582*(H582*H582)*0.7854/10000</f>
        <v>8.2489855139999992</v>
      </c>
      <c r="N582" s="9"/>
      <c r="O582" s="8" t="s">
        <v>19</v>
      </c>
    </row>
    <row r="583" spans="1:15" s="14" customFormat="1" x14ac:dyDescent="0.25">
      <c r="A583" s="13">
        <v>598</v>
      </c>
      <c r="B583" s="16">
        <v>598</v>
      </c>
      <c r="C583" s="13" t="s">
        <v>3414</v>
      </c>
      <c r="D583" s="6" t="s">
        <v>963</v>
      </c>
      <c r="E583" s="13" t="s">
        <v>2931</v>
      </c>
      <c r="F583" s="13"/>
      <c r="G583" s="17">
        <v>4.9000000000000004</v>
      </c>
      <c r="H583" s="16">
        <v>101</v>
      </c>
      <c r="I583" s="18">
        <v>3.9260000000000002</v>
      </c>
      <c r="J583" s="13">
        <v>0.4</v>
      </c>
      <c r="K583" s="13"/>
      <c r="L583" s="17">
        <f>G583-J583</f>
        <v>4.5</v>
      </c>
      <c r="M583" s="18">
        <f>L583*(H583*H583)*0.7854/10000</f>
        <v>3.6053394299999999</v>
      </c>
      <c r="N583" s="9"/>
      <c r="O583" s="8" t="s">
        <v>19</v>
      </c>
    </row>
    <row r="584" spans="1:15" s="14" customFormat="1" x14ac:dyDescent="0.25">
      <c r="A584" s="13">
        <v>599</v>
      </c>
      <c r="B584" s="16">
        <v>599</v>
      </c>
      <c r="C584" s="13" t="s">
        <v>3415</v>
      </c>
      <c r="D584" s="6">
        <v>5042</v>
      </c>
      <c r="E584" s="13" t="s">
        <v>2931</v>
      </c>
      <c r="F584" s="13"/>
      <c r="G584" s="17">
        <v>12.9</v>
      </c>
      <c r="H584" s="16">
        <v>70</v>
      </c>
      <c r="I584" s="18">
        <v>4.9649999999999999</v>
      </c>
      <c r="J584" s="13"/>
      <c r="K584" s="13"/>
      <c r="L584" s="17">
        <f>G584-J584</f>
        <v>12.9</v>
      </c>
      <c r="M584" s="18">
        <f>L584*(H584*H584)*0.7854/10000</f>
        <v>4.9645133999999995</v>
      </c>
      <c r="N584" s="9" t="s">
        <v>21</v>
      </c>
      <c r="O584" s="8" t="s">
        <v>30</v>
      </c>
    </row>
    <row r="585" spans="1:15" s="14" customFormat="1" x14ac:dyDescent="0.25">
      <c r="A585" s="13">
        <v>600</v>
      </c>
      <c r="B585" s="16">
        <v>600</v>
      </c>
      <c r="C585" s="13" t="s">
        <v>3416</v>
      </c>
      <c r="D585" s="6">
        <v>5043</v>
      </c>
      <c r="E585" s="13" t="s">
        <v>2931</v>
      </c>
      <c r="F585" s="13"/>
      <c r="G585" s="17">
        <v>8.3000000000000007</v>
      </c>
      <c r="H585" s="16">
        <v>62</v>
      </c>
      <c r="I585" s="18">
        <v>2.5059999999999998</v>
      </c>
      <c r="J585" s="13">
        <v>0.3</v>
      </c>
      <c r="K585" s="13"/>
      <c r="L585" s="17">
        <f>G585-J585</f>
        <v>8</v>
      </c>
      <c r="M585" s="18">
        <f>L585*(H585*H585)*0.7854/10000</f>
        <v>2.4152620800000002</v>
      </c>
      <c r="N585" s="9"/>
      <c r="O585" s="8" t="s">
        <v>19</v>
      </c>
    </row>
    <row r="586" spans="1:15" s="14" customFormat="1" x14ac:dyDescent="0.25">
      <c r="A586" s="13">
        <v>601</v>
      </c>
      <c r="B586" s="16">
        <v>601</v>
      </c>
      <c r="C586" s="13" t="s">
        <v>3417</v>
      </c>
      <c r="D586" s="6" t="s">
        <v>967</v>
      </c>
      <c r="E586" s="13" t="s">
        <v>2931</v>
      </c>
      <c r="F586" s="13"/>
      <c r="G586" s="17">
        <v>4.7</v>
      </c>
      <c r="H586" s="16">
        <v>92</v>
      </c>
      <c r="I586" s="18">
        <v>3.1240000000000001</v>
      </c>
      <c r="J586" s="13"/>
      <c r="K586" s="13"/>
      <c r="L586" s="17">
        <f>G586-J586</f>
        <v>4.7</v>
      </c>
      <c r="M586" s="18">
        <f>L586*(H586*H586)*0.7854/10000</f>
        <v>3.1243840320000005</v>
      </c>
      <c r="N586" s="9"/>
      <c r="O586" s="8" t="s">
        <v>19</v>
      </c>
    </row>
    <row r="587" spans="1:15" s="14" customFormat="1" x14ac:dyDescent="0.25">
      <c r="A587" s="13">
        <v>602</v>
      </c>
      <c r="B587" s="16">
        <v>602</v>
      </c>
      <c r="C587" s="13" t="s">
        <v>3418</v>
      </c>
      <c r="D587" s="6" t="s">
        <v>969</v>
      </c>
      <c r="E587" s="13" t="s">
        <v>2931</v>
      </c>
      <c r="F587" s="13"/>
      <c r="G587" s="17">
        <v>10.5</v>
      </c>
      <c r="H587" s="16">
        <v>117</v>
      </c>
      <c r="I587" s="18">
        <v>11.289</v>
      </c>
      <c r="J587" s="13">
        <v>0.4</v>
      </c>
      <c r="K587" s="13"/>
      <c r="L587" s="17">
        <f>G587-J587</f>
        <v>10.1</v>
      </c>
      <c r="M587" s="18">
        <f>L587*(H587*H587)*0.7854/10000</f>
        <v>10.858854006</v>
      </c>
      <c r="N587" s="9"/>
      <c r="O587" s="8" t="s">
        <v>19</v>
      </c>
    </row>
    <row r="588" spans="1:15" s="14" customFormat="1" x14ac:dyDescent="0.25">
      <c r="A588" s="13">
        <v>603</v>
      </c>
      <c r="B588" s="16">
        <v>603</v>
      </c>
      <c r="C588" s="13" t="s">
        <v>3419</v>
      </c>
      <c r="D588" s="6">
        <v>5113</v>
      </c>
      <c r="E588" s="13" t="s">
        <v>2931</v>
      </c>
      <c r="F588" s="13"/>
      <c r="G588" s="17">
        <v>12.6</v>
      </c>
      <c r="H588" s="16">
        <v>93</v>
      </c>
      <c r="I588" s="18">
        <v>8.5589999999999993</v>
      </c>
      <c r="J588" s="13">
        <v>0.4</v>
      </c>
      <c r="K588" s="13"/>
      <c r="L588" s="17">
        <f>G588-J588</f>
        <v>12.2</v>
      </c>
      <c r="M588" s="18">
        <f>L588*(H588*H588)*0.7854/10000</f>
        <v>8.2873680119999982</v>
      </c>
      <c r="N588" s="9"/>
      <c r="O588" s="8" t="s">
        <v>19</v>
      </c>
    </row>
    <row r="589" spans="1:15" s="14" customFormat="1" x14ac:dyDescent="0.25">
      <c r="A589" s="13">
        <v>604</v>
      </c>
      <c r="B589" s="16">
        <v>604</v>
      </c>
      <c r="C589" s="13" t="s">
        <v>3420</v>
      </c>
      <c r="D589" s="6" t="s">
        <v>972</v>
      </c>
      <c r="E589" s="13" t="s">
        <v>2931</v>
      </c>
      <c r="F589" s="13"/>
      <c r="G589" s="17">
        <v>9.6</v>
      </c>
      <c r="H589" s="16">
        <v>105</v>
      </c>
      <c r="I589" s="18">
        <v>8.3130000000000006</v>
      </c>
      <c r="J589" s="13"/>
      <c r="K589" s="13"/>
      <c r="L589" s="17">
        <f>G589-J589</f>
        <v>9.6</v>
      </c>
      <c r="M589" s="18">
        <f>L589*(H589*H589)*0.7854/10000</f>
        <v>8.3126736000000001</v>
      </c>
      <c r="N589" s="9"/>
      <c r="O589" s="8" t="s">
        <v>19</v>
      </c>
    </row>
    <row r="590" spans="1:15" s="14" customFormat="1" x14ac:dyDescent="0.25">
      <c r="A590" s="13">
        <v>605</v>
      </c>
      <c r="B590" s="16">
        <v>605</v>
      </c>
      <c r="C590" s="13" t="s">
        <v>3421</v>
      </c>
      <c r="D590" s="6" t="s">
        <v>974</v>
      </c>
      <c r="E590" s="13" t="s">
        <v>2931</v>
      </c>
      <c r="F590" s="13"/>
      <c r="G590" s="17">
        <v>11.4</v>
      </c>
      <c r="H590" s="16">
        <v>94</v>
      </c>
      <c r="I590" s="18">
        <v>7.9109999999999996</v>
      </c>
      <c r="J590" s="13"/>
      <c r="K590" s="13"/>
      <c r="L590" s="17">
        <f>G590-J590</f>
        <v>11.4</v>
      </c>
      <c r="M590" s="18">
        <f>L590*(H590*H590)*0.7854/10000</f>
        <v>7.9113656159999994</v>
      </c>
      <c r="N590" s="9"/>
      <c r="O590" s="8" t="s">
        <v>19</v>
      </c>
    </row>
    <row r="591" spans="1:15" s="14" customFormat="1" x14ac:dyDescent="0.25">
      <c r="A591" s="13">
        <v>606</v>
      </c>
      <c r="B591" s="16">
        <v>606</v>
      </c>
      <c r="C591" s="13" t="s">
        <v>3422</v>
      </c>
      <c r="D591" s="6" t="s">
        <v>976</v>
      </c>
      <c r="E591" s="13" t="s">
        <v>2931</v>
      </c>
      <c r="F591" s="13"/>
      <c r="G591" s="17">
        <v>11</v>
      </c>
      <c r="H591" s="16">
        <v>82</v>
      </c>
      <c r="I591" s="18">
        <v>5.8090000000000002</v>
      </c>
      <c r="J591" s="13"/>
      <c r="K591" s="13"/>
      <c r="L591" s="17">
        <f>G591-J591</f>
        <v>11</v>
      </c>
      <c r="M591" s="18">
        <f>L591*(H591*H591)*0.7854/10000</f>
        <v>5.8091325599999992</v>
      </c>
      <c r="N591" s="9"/>
      <c r="O591" s="8" t="s">
        <v>19</v>
      </c>
    </row>
    <row r="592" spans="1:15" s="14" customFormat="1" x14ac:dyDescent="0.25">
      <c r="A592" s="13">
        <v>607</v>
      </c>
      <c r="B592" s="16">
        <v>607</v>
      </c>
      <c r="C592" s="13" t="s">
        <v>3423</v>
      </c>
      <c r="D592" s="6" t="s">
        <v>978</v>
      </c>
      <c r="E592" s="13" t="s">
        <v>2931</v>
      </c>
      <c r="F592" s="13"/>
      <c r="G592" s="17">
        <v>12.6</v>
      </c>
      <c r="H592" s="16">
        <v>120</v>
      </c>
      <c r="I592" s="18">
        <v>14.25</v>
      </c>
      <c r="J592" s="13">
        <v>0.3</v>
      </c>
      <c r="K592" s="13"/>
      <c r="L592" s="17">
        <f>G592-J592</f>
        <v>12.299999999999999</v>
      </c>
      <c r="M592" s="18">
        <f>L592*(H592*H592)*0.7854/10000</f>
        <v>13.911004799999999</v>
      </c>
      <c r="N592" s="9"/>
      <c r="O592" s="8" t="s">
        <v>19</v>
      </c>
    </row>
    <row r="593" spans="1:15" s="14" customFormat="1" x14ac:dyDescent="0.25">
      <c r="A593" s="13">
        <v>608</v>
      </c>
      <c r="B593" s="16">
        <v>608</v>
      </c>
      <c r="C593" s="13" t="s">
        <v>3424</v>
      </c>
      <c r="D593" s="6" t="s">
        <v>980</v>
      </c>
      <c r="E593" s="13" t="s">
        <v>2931</v>
      </c>
      <c r="F593" s="13"/>
      <c r="G593" s="17">
        <v>7.9</v>
      </c>
      <c r="H593" s="16">
        <v>89</v>
      </c>
      <c r="I593" s="18">
        <v>4.915</v>
      </c>
      <c r="J593" s="13"/>
      <c r="K593" s="13"/>
      <c r="L593" s="17">
        <f>G593-J593</f>
        <v>7.9</v>
      </c>
      <c r="M593" s="18">
        <f>L593*(H593*H593)*0.7854/10000</f>
        <v>4.9147111859999999</v>
      </c>
      <c r="N593" s="9"/>
      <c r="O593" s="8" t="s">
        <v>30</v>
      </c>
    </row>
    <row r="594" spans="1:15" s="14" customFormat="1" x14ac:dyDescent="0.25">
      <c r="A594" s="13">
        <v>609</v>
      </c>
      <c r="B594" s="16">
        <v>609</v>
      </c>
      <c r="C594" s="13" t="s">
        <v>3425</v>
      </c>
      <c r="D594" s="6" t="s">
        <v>982</v>
      </c>
      <c r="E594" s="13" t="s">
        <v>2931</v>
      </c>
      <c r="F594" s="13"/>
      <c r="G594" s="17">
        <v>10</v>
      </c>
      <c r="H594" s="16">
        <v>70</v>
      </c>
      <c r="I594" s="18">
        <v>3.8479999999999999</v>
      </c>
      <c r="J594" s="13"/>
      <c r="K594" s="13"/>
      <c r="L594" s="17">
        <f>G594-J594</f>
        <v>10</v>
      </c>
      <c r="M594" s="18">
        <f>L594*(H594*H594)*0.7854/10000</f>
        <v>3.8484599999999998</v>
      </c>
      <c r="N594" s="9"/>
      <c r="O594" s="8" t="s">
        <v>19</v>
      </c>
    </row>
    <row r="595" spans="1:15" s="14" customFormat="1" x14ac:dyDescent="0.25">
      <c r="A595" s="13">
        <v>610</v>
      </c>
      <c r="B595" s="16">
        <v>610</v>
      </c>
      <c r="C595" s="13" t="s">
        <v>3426</v>
      </c>
      <c r="D595" s="6" t="s">
        <v>984</v>
      </c>
      <c r="E595" s="13" t="s">
        <v>2931</v>
      </c>
      <c r="F595" s="13"/>
      <c r="G595" s="17">
        <v>5.3</v>
      </c>
      <c r="H595" s="16">
        <v>115</v>
      </c>
      <c r="I595" s="18">
        <v>5.5049999999999999</v>
      </c>
      <c r="J595" s="13">
        <v>0.5</v>
      </c>
      <c r="K595" s="13"/>
      <c r="L595" s="17">
        <f>G595-J595</f>
        <v>4.8</v>
      </c>
      <c r="M595" s="18">
        <f>L595*(H595*H595)*0.7854/10000</f>
        <v>4.9857192000000001</v>
      </c>
      <c r="N595" s="9"/>
      <c r="O595" s="8" t="s">
        <v>19</v>
      </c>
    </row>
    <row r="596" spans="1:15" s="14" customFormat="1" x14ac:dyDescent="0.25">
      <c r="A596" s="13">
        <v>611</v>
      </c>
      <c r="B596" s="16">
        <v>611</v>
      </c>
      <c r="C596" s="13" t="s">
        <v>3427</v>
      </c>
      <c r="D596" s="6" t="s">
        <v>986</v>
      </c>
      <c r="E596" s="13" t="s">
        <v>2931</v>
      </c>
      <c r="F596" s="13"/>
      <c r="G596" s="17">
        <v>7.4</v>
      </c>
      <c r="H596" s="16">
        <v>95</v>
      </c>
      <c r="I596" s="18">
        <v>5.2450000000000001</v>
      </c>
      <c r="J596" s="13">
        <v>0.3</v>
      </c>
      <c r="K596" s="13"/>
      <c r="L596" s="17">
        <f>G596-J596</f>
        <v>7.1000000000000005</v>
      </c>
      <c r="M596" s="18">
        <f>L596*(H596*H596)*0.7854/10000</f>
        <v>5.0326468499999999</v>
      </c>
      <c r="N596" s="9"/>
      <c r="O596" s="8" t="s">
        <v>30</v>
      </c>
    </row>
    <row r="597" spans="1:15" s="14" customFormat="1" x14ac:dyDescent="0.25">
      <c r="A597" s="13">
        <v>612</v>
      </c>
      <c r="B597" s="16">
        <v>612</v>
      </c>
      <c r="C597" s="13" t="s">
        <v>3428</v>
      </c>
      <c r="D597" s="6">
        <v>5011</v>
      </c>
      <c r="E597" s="13" t="s">
        <v>2931</v>
      </c>
      <c r="F597" s="13"/>
      <c r="G597" s="17">
        <v>13</v>
      </c>
      <c r="H597" s="16">
        <v>107</v>
      </c>
      <c r="I597" s="18">
        <v>11.69</v>
      </c>
      <c r="J597" s="13">
        <v>0.3</v>
      </c>
      <c r="K597" s="13"/>
      <c r="L597" s="17">
        <f>G597-J597</f>
        <v>12.7</v>
      </c>
      <c r="M597" s="18">
        <f>L597*(H597*H597)*0.7854/10000</f>
        <v>11.419896641999998</v>
      </c>
      <c r="N597" s="9"/>
      <c r="O597" s="8" t="s">
        <v>19</v>
      </c>
    </row>
    <row r="598" spans="1:15" s="14" customFormat="1" x14ac:dyDescent="0.25">
      <c r="A598" s="13">
        <v>613</v>
      </c>
      <c r="B598" s="16">
        <v>613</v>
      </c>
      <c r="C598" s="13" t="s">
        <v>3429</v>
      </c>
      <c r="D598" s="6" t="s">
        <v>989</v>
      </c>
      <c r="E598" s="13" t="s">
        <v>2931</v>
      </c>
      <c r="F598" s="13"/>
      <c r="G598" s="17">
        <v>11.8</v>
      </c>
      <c r="H598" s="16">
        <v>86</v>
      </c>
      <c r="I598" s="18">
        <v>6.8540000000000001</v>
      </c>
      <c r="J598" s="13"/>
      <c r="K598" s="13"/>
      <c r="L598" s="17">
        <f>G598-J598</f>
        <v>11.8</v>
      </c>
      <c r="M598" s="18">
        <f>L598*(H598*H598)*0.7854/10000</f>
        <v>6.8544057120000002</v>
      </c>
      <c r="N598" s="9"/>
      <c r="O598" s="8" t="s">
        <v>19</v>
      </c>
    </row>
    <row r="599" spans="1:15" s="14" customFormat="1" x14ac:dyDescent="0.25">
      <c r="A599" s="13">
        <v>614</v>
      </c>
      <c r="B599" s="16">
        <v>614</v>
      </c>
      <c r="C599" s="13" t="s">
        <v>3430</v>
      </c>
      <c r="D599" s="6" t="s">
        <v>991</v>
      </c>
      <c r="E599" s="13" t="s">
        <v>2931</v>
      </c>
      <c r="F599" s="13"/>
      <c r="G599" s="17">
        <v>5.8</v>
      </c>
      <c r="H599" s="16">
        <v>78</v>
      </c>
      <c r="I599" s="18">
        <v>2.7709999999999999</v>
      </c>
      <c r="J599" s="13"/>
      <c r="K599" s="13"/>
      <c r="L599" s="17">
        <f>G599-J599</f>
        <v>5.8</v>
      </c>
      <c r="M599" s="18">
        <f>L599*(H599*H599)*0.7854/10000</f>
        <v>2.7714566879999998</v>
      </c>
      <c r="N599" s="9"/>
      <c r="O599" s="8" t="s">
        <v>30</v>
      </c>
    </row>
    <row r="600" spans="1:15" s="14" customFormat="1" x14ac:dyDescent="0.25">
      <c r="A600" s="13">
        <v>615</v>
      </c>
      <c r="B600" s="16">
        <v>615</v>
      </c>
      <c r="C600" s="13" t="s">
        <v>3431</v>
      </c>
      <c r="D600" s="6" t="s">
        <v>993</v>
      </c>
      <c r="E600" s="13" t="s">
        <v>2931</v>
      </c>
      <c r="F600" s="13"/>
      <c r="G600" s="17">
        <v>5.5</v>
      </c>
      <c r="H600" s="16">
        <v>74</v>
      </c>
      <c r="I600" s="18">
        <v>2.3650000000000002</v>
      </c>
      <c r="J600" s="13"/>
      <c r="K600" s="13"/>
      <c r="L600" s="17">
        <f>G600-J600</f>
        <v>5.5</v>
      </c>
      <c r="M600" s="18">
        <f>L600*(H600*H600)*0.7854/10000</f>
        <v>2.3654677199999998</v>
      </c>
      <c r="N600" s="9"/>
      <c r="O600" s="8" t="s">
        <v>19</v>
      </c>
    </row>
    <row r="601" spans="1:15" s="14" customFormat="1" x14ac:dyDescent="0.25">
      <c r="A601" s="13">
        <v>616</v>
      </c>
      <c r="B601" s="16">
        <v>616</v>
      </c>
      <c r="C601" s="13" t="s">
        <v>3432</v>
      </c>
      <c r="D601" s="6">
        <v>5013</v>
      </c>
      <c r="E601" s="13" t="s">
        <v>2931</v>
      </c>
      <c r="F601" s="13"/>
      <c r="G601" s="17">
        <v>12.5</v>
      </c>
      <c r="H601" s="16">
        <v>93</v>
      </c>
      <c r="I601" s="18">
        <v>8.4909999999999997</v>
      </c>
      <c r="J601" s="13"/>
      <c r="K601" s="13"/>
      <c r="L601" s="17">
        <f>G601-J601</f>
        <v>12.5</v>
      </c>
      <c r="M601" s="18">
        <f>L601*(H601*H601)*0.7854/10000</f>
        <v>8.491155749999999</v>
      </c>
      <c r="N601" s="9"/>
      <c r="O601" s="8" t="s">
        <v>19</v>
      </c>
    </row>
    <row r="602" spans="1:15" s="14" customFormat="1" x14ac:dyDescent="0.25">
      <c r="A602" s="13">
        <v>617</v>
      </c>
      <c r="B602" s="16">
        <v>617</v>
      </c>
      <c r="C602" s="13" t="s">
        <v>3433</v>
      </c>
      <c r="D602" s="6" t="s">
        <v>996</v>
      </c>
      <c r="E602" s="13" t="s">
        <v>2931</v>
      </c>
      <c r="F602" s="13"/>
      <c r="G602" s="17">
        <v>10.8</v>
      </c>
      <c r="H602" s="16">
        <v>88</v>
      </c>
      <c r="I602" s="18">
        <v>6.569</v>
      </c>
      <c r="J602" s="13"/>
      <c r="K602" s="13"/>
      <c r="L602" s="17">
        <f>G602-J602</f>
        <v>10.8</v>
      </c>
      <c r="M602" s="18">
        <f>L602*(H602*H602)*0.7854/10000</f>
        <v>6.5687086080000006</v>
      </c>
      <c r="N602" s="9"/>
      <c r="O602" s="8" t="s">
        <v>19</v>
      </c>
    </row>
    <row r="603" spans="1:15" s="14" customFormat="1" x14ac:dyDescent="0.25">
      <c r="A603" s="13">
        <v>618</v>
      </c>
      <c r="B603" s="16">
        <v>618</v>
      </c>
      <c r="C603" s="13" t="s">
        <v>3434</v>
      </c>
      <c r="D603" s="6" t="s">
        <v>998</v>
      </c>
      <c r="E603" s="13" t="s">
        <v>2931</v>
      </c>
      <c r="F603" s="13"/>
      <c r="G603" s="17">
        <v>5.5</v>
      </c>
      <c r="H603" s="16">
        <v>88</v>
      </c>
      <c r="I603" s="18">
        <v>3.3450000000000002</v>
      </c>
      <c r="J603" s="13">
        <v>0.3</v>
      </c>
      <c r="K603" s="13"/>
      <c r="L603" s="17">
        <f>G603-J603</f>
        <v>5.2</v>
      </c>
      <c r="M603" s="18">
        <f>L603*(H603*H603)*0.7854/10000</f>
        <v>3.1627115520000002</v>
      </c>
      <c r="N603" s="9"/>
      <c r="O603" s="8" t="s">
        <v>19</v>
      </c>
    </row>
    <row r="604" spans="1:15" s="14" customFormat="1" x14ac:dyDescent="0.25">
      <c r="A604" s="13">
        <v>619</v>
      </c>
      <c r="B604" s="16">
        <v>619</v>
      </c>
      <c r="C604" s="13" t="s">
        <v>3435</v>
      </c>
      <c r="D604" s="6">
        <v>5015</v>
      </c>
      <c r="E604" s="13" t="s">
        <v>2931</v>
      </c>
      <c r="F604" s="13"/>
      <c r="G604" s="17">
        <v>12.6</v>
      </c>
      <c r="H604" s="16">
        <v>94</v>
      </c>
      <c r="I604" s="18">
        <v>8.7439999999999998</v>
      </c>
      <c r="J604" s="13">
        <v>0.4</v>
      </c>
      <c r="K604" s="13"/>
      <c r="L604" s="17">
        <f>G604-J604</f>
        <v>12.2</v>
      </c>
      <c r="M604" s="18">
        <f>L604*(H604*H604)*0.7854/10000</f>
        <v>8.4665491679999985</v>
      </c>
      <c r="N604" s="9"/>
      <c r="O604" s="8" t="s">
        <v>19</v>
      </c>
    </row>
    <row r="605" spans="1:15" s="14" customFormat="1" x14ac:dyDescent="0.25">
      <c r="A605" s="13">
        <v>620</v>
      </c>
      <c r="B605" s="16">
        <v>620</v>
      </c>
      <c r="C605" s="13" t="s">
        <v>3436</v>
      </c>
      <c r="D605" s="6" t="s">
        <v>1001</v>
      </c>
      <c r="E605" s="13" t="s">
        <v>2931</v>
      </c>
      <c r="F605" s="13"/>
      <c r="G605" s="17">
        <v>5.5</v>
      </c>
      <c r="H605" s="16">
        <v>86</v>
      </c>
      <c r="I605" s="18">
        <v>3.1949999999999998</v>
      </c>
      <c r="J605" s="13"/>
      <c r="K605" s="13"/>
      <c r="L605" s="17">
        <f>G605-J605</f>
        <v>5.5</v>
      </c>
      <c r="M605" s="18">
        <f>L605*(H605*H605)*0.7854/10000</f>
        <v>3.1948501199999999</v>
      </c>
      <c r="N605" s="9"/>
      <c r="O605" s="8" t="s">
        <v>19</v>
      </c>
    </row>
    <row r="606" spans="1:15" s="14" customFormat="1" x14ac:dyDescent="0.25">
      <c r="A606" s="13">
        <v>621</v>
      </c>
      <c r="B606" s="16">
        <v>621</v>
      </c>
      <c r="C606" s="13" t="s">
        <v>3437</v>
      </c>
      <c r="D606" s="6" t="s">
        <v>1003</v>
      </c>
      <c r="E606" s="13" t="s">
        <v>2931</v>
      </c>
      <c r="F606" s="13"/>
      <c r="G606" s="17">
        <v>9.3000000000000007</v>
      </c>
      <c r="H606" s="16">
        <v>93</v>
      </c>
      <c r="I606" s="18">
        <v>6.3170000000000002</v>
      </c>
      <c r="J606" s="13"/>
      <c r="K606" s="13"/>
      <c r="L606" s="17">
        <f>G606-J606</f>
        <v>9.3000000000000007</v>
      </c>
      <c r="M606" s="18">
        <f>L606*(H606*H606)*0.7854/10000</f>
        <v>6.3174198780000008</v>
      </c>
      <c r="N606" s="9"/>
      <c r="O606" s="8" t="s">
        <v>19</v>
      </c>
    </row>
    <row r="607" spans="1:15" s="14" customFormat="1" x14ac:dyDescent="0.25">
      <c r="A607" s="13">
        <v>622</v>
      </c>
      <c r="B607" s="16">
        <v>622</v>
      </c>
      <c r="C607" s="13" t="s">
        <v>3438</v>
      </c>
      <c r="D607" s="6" t="s">
        <v>1006</v>
      </c>
      <c r="E607" s="13" t="s">
        <v>2931</v>
      </c>
      <c r="F607" s="13"/>
      <c r="G607" s="17">
        <v>5.6</v>
      </c>
      <c r="H607" s="16">
        <v>89</v>
      </c>
      <c r="I607" s="18">
        <v>3.484</v>
      </c>
      <c r="J607" s="13"/>
      <c r="K607" s="13"/>
      <c r="L607" s="17">
        <f>G607-J607</f>
        <v>5.6</v>
      </c>
      <c r="M607" s="18">
        <f>L607*(H607*H607)*0.7854/10000</f>
        <v>3.4838459040000003</v>
      </c>
      <c r="N607" s="5" t="s">
        <v>1007</v>
      </c>
      <c r="O607" s="8" t="s">
        <v>19</v>
      </c>
    </row>
    <row r="608" spans="1:15" s="14" customFormat="1" x14ac:dyDescent="0.25">
      <c r="A608" s="13">
        <v>623</v>
      </c>
      <c r="B608" s="16">
        <v>623</v>
      </c>
      <c r="C608" s="13" t="s">
        <v>3439</v>
      </c>
      <c r="D608" s="6">
        <v>5235</v>
      </c>
      <c r="E608" s="13" t="s">
        <v>2931</v>
      </c>
      <c r="F608" s="13"/>
      <c r="G608" s="17">
        <v>8.8000000000000007</v>
      </c>
      <c r="H608" s="16">
        <v>108</v>
      </c>
      <c r="I608" s="18">
        <v>8.0619999999999994</v>
      </c>
      <c r="J608" s="13">
        <v>0.4</v>
      </c>
      <c r="K608" s="13"/>
      <c r="L608" s="17">
        <f>G608-J608</f>
        <v>8.4</v>
      </c>
      <c r="M608" s="18">
        <f>L608*(H608*H608)*0.7854/10000</f>
        <v>7.6951607040000001</v>
      </c>
      <c r="N608" s="5"/>
      <c r="O608" s="8" t="s">
        <v>30</v>
      </c>
    </row>
    <row r="609" spans="1:15" s="14" customFormat="1" x14ac:dyDescent="0.25">
      <c r="A609" s="13">
        <v>624</v>
      </c>
      <c r="B609" s="16">
        <v>624</v>
      </c>
      <c r="C609" s="13" t="s">
        <v>3440</v>
      </c>
      <c r="D609" s="6" t="s">
        <v>1012</v>
      </c>
      <c r="E609" s="13" t="s">
        <v>2931</v>
      </c>
      <c r="F609" s="13"/>
      <c r="G609" s="17">
        <v>7.7</v>
      </c>
      <c r="H609" s="16">
        <v>104</v>
      </c>
      <c r="I609" s="18">
        <v>6.5410000000000004</v>
      </c>
      <c r="J609" s="13"/>
      <c r="K609" s="13"/>
      <c r="L609" s="17">
        <f>G609-J609</f>
        <v>7.7</v>
      </c>
      <c r="M609" s="18">
        <f>L609*(H609*H609)*0.7854/10000</f>
        <v>6.5410625280000003</v>
      </c>
      <c r="N609" s="5" t="s">
        <v>1007</v>
      </c>
      <c r="O609" s="8" t="s">
        <v>19</v>
      </c>
    </row>
    <row r="610" spans="1:15" s="14" customFormat="1" x14ac:dyDescent="0.25">
      <c r="A610" s="13">
        <v>625</v>
      </c>
      <c r="B610" s="16">
        <v>625</v>
      </c>
      <c r="C610" s="13" t="s">
        <v>3441</v>
      </c>
      <c r="D610" s="6">
        <v>5236</v>
      </c>
      <c r="E610" s="13" t="s">
        <v>2931</v>
      </c>
      <c r="F610" s="13"/>
      <c r="G610" s="17">
        <v>10.5</v>
      </c>
      <c r="H610" s="16">
        <v>79</v>
      </c>
      <c r="I610" s="18">
        <v>5.1470000000000002</v>
      </c>
      <c r="J610" s="13">
        <v>0.4</v>
      </c>
      <c r="K610" s="13"/>
      <c r="L610" s="17">
        <f>G610-J610</f>
        <v>10.1</v>
      </c>
      <c r="M610" s="18">
        <f>L610*(H610*H610)*0.7854/10000</f>
        <v>4.950698214</v>
      </c>
      <c r="N610" s="5" t="s">
        <v>21</v>
      </c>
      <c r="O610" s="8" t="s">
        <v>19</v>
      </c>
    </row>
    <row r="611" spans="1:15" s="14" customFormat="1" x14ac:dyDescent="0.25">
      <c r="A611" s="13">
        <v>626</v>
      </c>
      <c r="B611" s="16">
        <v>626</v>
      </c>
      <c r="C611" s="13" t="s">
        <v>3442</v>
      </c>
      <c r="D611" s="6" t="s">
        <v>1017</v>
      </c>
      <c r="E611" s="13" t="s">
        <v>2931</v>
      </c>
      <c r="F611" s="13"/>
      <c r="G611" s="17">
        <v>6.4</v>
      </c>
      <c r="H611" s="16">
        <v>100</v>
      </c>
      <c r="I611" s="18">
        <v>5.0270000000000001</v>
      </c>
      <c r="J611" s="13">
        <v>0.3</v>
      </c>
      <c r="K611" s="13"/>
      <c r="L611" s="17">
        <f>G611-J611</f>
        <v>6.1000000000000005</v>
      </c>
      <c r="M611" s="18">
        <f>L611*(H611*H611)*0.7854/10000</f>
        <v>4.79094</v>
      </c>
      <c r="N611" s="5"/>
      <c r="O611" s="8" t="s">
        <v>30</v>
      </c>
    </row>
    <row r="612" spans="1:15" s="14" customFormat="1" x14ac:dyDescent="0.25">
      <c r="A612" s="13">
        <v>627</v>
      </c>
      <c r="B612" s="16">
        <v>627</v>
      </c>
      <c r="C612" s="13" t="s">
        <v>3443</v>
      </c>
      <c r="D612" s="6">
        <v>5019</v>
      </c>
      <c r="E612" s="13" t="s">
        <v>2931</v>
      </c>
      <c r="F612" s="13"/>
      <c r="G612" s="17">
        <v>11.6</v>
      </c>
      <c r="H612" s="16">
        <v>125</v>
      </c>
      <c r="I612" s="18">
        <v>14.234999999999999</v>
      </c>
      <c r="J612" s="13">
        <v>0.5</v>
      </c>
      <c r="K612" s="13"/>
      <c r="L612" s="17">
        <f>G612-J612</f>
        <v>11.1</v>
      </c>
      <c r="M612" s="18">
        <f>L612*(H612*H612)*0.7854/10000</f>
        <v>13.62178125</v>
      </c>
      <c r="N612" s="5" t="s">
        <v>1007</v>
      </c>
      <c r="O612" s="8" t="s">
        <v>19</v>
      </c>
    </row>
    <row r="613" spans="1:15" s="14" customFormat="1" x14ac:dyDescent="0.25">
      <c r="A613" s="13">
        <v>628</v>
      </c>
      <c r="B613" s="16">
        <v>628</v>
      </c>
      <c r="C613" s="13" t="s">
        <v>3444</v>
      </c>
      <c r="D613" s="6" t="s">
        <v>1022</v>
      </c>
      <c r="E613" s="13" t="s">
        <v>2931</v>
      </c>
      <c r="F613" s="13"/>
      <c r="G613" s="17">
        <v>10.199999999999999</v>
      </c>
      <c r="H613" s="16">
        <v>88</v>
      </c>
      <c r="I613" s="18">
        <v>6.2039999999999997</v>
      </c>
      <c r="J613" s="13">
        <v>0.3</v>
      </c>
      <c r="K613" s="13"/>
      <c r="L613" s="17">
        <f>G613-J613</f>
        <v>9.8999999999999986</v>
      </c>
      <c r="M613" s="18">
        <f>L613*(H613*H613)*0.7854/10000</f>
        <v>6.0213162239999987</v>
      </c>
      <c r="N613" s="5"/>
      <c r="O613" s="8" t="s">
        <v>19</v>
      </c>
    </row>
    <row r="614" spans="1:15" s="14" customFormat="1" x14ac:dyDescent="0.25">
      <c r="A614" s="13">
        <v>629</v>
      </c>
      <c r="B614" s="16">
        <v>629</v>
      </c>
      <c r="C614" s="13" t="s">
        <v>3445</v>
      </c>
      <c r="D614" s="6">
        <v>869</v>
      </c>
      <c r="E614" s="13" t="s">
        <v>2931</v>
      </c>
      <c r="F614" s="13"/>
      <c r="G614" s="17">
        <v>13.6</v>
      </c>
      <c r="H614" s="16">
        <v>79</v>
      </c>
      <c r="I614" s="18">
        <v>6.6660000000000004</v>
      </c>
      <c r="J614" s="13"/>
      <c r="K614" s="13"/>
      <c r="L614" s="17">
        <f>G614-J614</f>
        <v>13.6</v>
      </c>
      <c r="M614" s="18">
        <f>L614*(H614*H614)*0.7854/10000</f>
        <v>6.666286704</v>
      </c>
      <c r="N614" s="5"/>
      <c r="O614" s="8" t="s">
        <v>30</v>
      </c>
    </row>
    <row r="615" spans="1:15" s="14" customFormat="1" x14ac:dyDescent="0.25">
      <c r="A615" s="13">
        <v>630</v>
      </c>
      <c r="B615" s="16">
        <v>630</v>
      </c>
      <c r="C615" s="13" t="s">
        <v>3446</v>
      </c>
      <c r="D615" s="6" t="s">
        <v>1027</v>
      </c>
      <c r="E615" s="13" t="s">
        <v>2931</v>
      </c>
      <c r="F615" s="13"/>
      <c r="G615" s="17">
        <v>7.1</v>
      </c>
      <c r="H615" s="16">
        <v>83</v>
      </c>
      <c r="I615" s="18">
        <v>3.8420000000000001</v>
      </c>
      <c r="J615" s="13"/>
      <c r="K615" s="13"/>
      <c r="L615" s="17">
        <f>G615-J615</f>
        <v>7.1</v>
      </c>
      <c r="M615" s="18">
        <f>L615*(H615*H615)*0.7854/10000</f>
        <v>3.8415406259999996</v>
      </c>
      <c r="N615" s="5" t="s">
        <v>53</v>
      </c>
      <c r="O615" s="8" t="s">
        <v>19</v>
      </c>
    </row>
    <row r="616" spans="1:15" s="14" customFormat="1" x14ac:dyDescent="0.25">
      <c r="A616" s="13">
        <v>631</v>
      </c>
      <c r="B616" s="16">
        <v>631</v>
      </c>
      <c r="C616" s="13" t="s">
        <v>3447</v>
      </c>
      <c r="D616" s="6">
        <v>870</v>
      </c>
      <c r="E616" s="13" t="s">
        <v>2931</v>
      </c>
      <c r="F616" s="13"/>
      <c r="G616" s="17">
        <v>10.6</v>
      </c>
      <c r="H616" s="16">
        <v>102</v>
      </c>
      <c r="I616" s="18">
        <v>8.6620000000000008</v>
      </c>
      <c r="J616" s="13">
        <v>0.4</v>
      </c>
      <c r="K616" s="13"/>
      <c r="L616" s="17">
        <f>G616-J616</f>
        <v>10.199999999999999</v>
      </c>
      <c r="M616" s="18">
        <f>L616*(H616*H616)*0.7854/10000</f>
        <v>8.3347276319999981</v>
      </c>
      <c r="N616" s="5"/>
      <c r="O616" s="8" t="s">
        <v>19</v>
      </c>
    </row>
    <row r="617" spans="1:15" s="14" customFormat="1" x14ac:dyDescent="0.25">
      <c r="A617" s="13">
        <v>632</v>
      </c>
      <c r="B617" s="16">
        <v>632</v>
      </c>
      <c r="C617" s="13" t="s">
        <v>3448</v>
      </c>
      <c r="D617" s="6" t="s">
        <v>1032</v>
      </c>
      <c r="E617" s="13" t="s">
        <v>2931</v>
      </c>
      <c r="F617" s="13"/>
      <c r="G617" s="17">
        <v>10.4</v>
      </c>
      <c r="H617" s="16">
        <v>78</v>
      </c>
      <c r="I617" s="18">
        <v>4.9690000000000003</v>
      </c>
      <c r="J617" s="13"/>
      <c r="K617" s="13"/>
      <c r="L617" s="17">
        <f>G617-J617</f>
        <v>10.4</v>
      </c>
      <c r="M617" s="18">
        <f>L617*(H617*H617)*0.7854/10000</f>
        <v>4.969508544</v>
      </c>
      <c r="N617" s="5" t="s">
        <v>1007</v>
      </c>
      <c r="O617" s="8" t="s">
        <v>19</v>
      </c>
    </row>
    <row r="618" spans="1:15" s="14" customFormat="1" x14ac:dyDescent="0.25">
      <c r="A618" s="13">
        <v>633</v>
      </c>
      <c r="B618" s="16">
        <v>633</v>
      </c>
      <c r="C618" s="13" t="s">
        <v>3449</v>
      </c>
      <c r="D618" s="6" t="s">
        <v>1035</v>
      </c>
      <c r="E618" s="13" t="s">
        <v>2931</v>
      </c>
      <c r="F618" s="13"/>
      <c r="G618" s="17">
        <v>7.1</v>
      </c>
      <c r="H618" s="16">
        <v>70</v>
      </c>
      <c r="I618" s="18">
        <v>2.7320000000000002</v>
      </c>
      <c r="J618" s="13"/>
      <c r="K618" s="13"/>
      <c r="L618" s="17">
        <f>G618-J618</f>
        <v>7.1</v>
      </c>
      <c r="M618" s="18">
        <f>L618*(H618*H618)*0.7854/10000</f>
        <v>2.7324066</v>
      </c>
      <c r="N618" s="5" t="s">
        <v>1007</v>
      </c>
      <c r="O618" s="8" t="s">
        <v>19</v>
      </c>
    </row>
    <row r="619" spans="1:15" s="14" customFormat="1" x14ac:dyDescent="0.25">
      <c r="A619" s="13">
        <v>634</v>
      </c>
      <c r="B619" s="16">
        <v>634</v>
      </c>
      <c r="C619" s="13" t="s">
        <v>3450</v>
      </c>
      <c r="D619" s="6" t="s">
        <v>1038</v>
      </c>
      <c r="E619" s="13" t="s">
        <v>2931</v>
      </c>
      <c r="F619" s="13"/>
      <c r="G619" s="17">
        <v>10</v>
      </c>
      <c r="H619" s="16">
        <v>98</v>
      </c>
      <c r="I619" s="18">
        <v>7.5430000000000001</v>
      </c>
      <c r="J619" s="13">
        <v>0.3</v>
      </c>
      <c r="K619" s="13"/>
      <c r="L619" s="17">
        <f>G619-J619</f>
        <v>9.6999999999999993</v>
      </c>
      <c r="M619" s="18">
        <f>L619*(H619*H619)*0.7854/10000</f>
        <v>7.316692151999999</v>
      </c>
      <c r="N619" s="5"/>
      <c r="O619" s="8" t="s">
        <v>19</v>
      </c>
    </row>
    <row r="620" spans="1:15" s="14" customFormat="1" x14ac:dyDescent="0.25">
      <c r="A620" s="13">
        <v>636</v>
      </c>
      <c r="B620" s="16">
        <v>636</v>
      </c>
      <c r="C620" s="13" t="s">
        <v>3451</v>
      </c>
      <c r="D620" s="6" t="s">
        <v>1041</v>
      </c>
      <c r="E620" s="13" t="s">
        <v>2931</v>
      </c>
      <c r="F620" s="13"/>
      <c r="G620" s="17">
        <v>4.4000000000000004</v>
      </c>
      <c r="H620" s="16">
        <v>92</v>
      </c>
      <c r="I620" s="18">
        <v>2.9249999999999998</v>
      </c>
      <c r="J620" s="13"/>
      <c r="K620" s="13"/>
      <c r="L620" s="17">
        <f>G620-J620</f>
        <v>4.4000000000000004</v>
      </c>
      <c r="M620" s="18">
        <f>L620*(H620*H620)*0.7854/10000</f>
        <v>2.9249552640000007</v>
      </c>
      <c r="N620" s="5"/>
      <c r="O620" s="8" t="s">
        <v>19</v>
      </c>
    </row>
    <row r="621" spans="1:15" s="14" customFormat="1" x14ac:dyDescent="0.25">
      <c r="A621" s="13">
        <v>637</v>
      </c>
      <c r="B621" s="16">
        <v>637</v>
      </c>
      <c r="C621" s="13" t="s">
        <v>3452</v>
      </c>
      <c r="D621" s="6">
        <v>873</v>
      </c>
      <c r="E621" s="13" t="s">
        <v>2931</v>
      </c>
      <c r="F621" s="13"/>
      <c r="G621" s="17">
        <v>11</v>
      </c>
      <c r="H621" s="16">
        <v>93</v>
      </c>
      <c r="I621" s="18">
        <v>7.4720000000000004</v>
      </c>
      <c r="J621" s="13"/>
      <c r="K621" s="13"/>
      <c r="L621" s="17">
        <f>G621-J621</f>
        <v>11</v>
      </c>
      <c r="M621" s="18">
        <f>L621*(H621*H621)*0.7854/10000</f>
        <v>7.4722170600000002</v>
      </c>
      <c r="N621" s="5"/>
      <c r="O621" s="8" t="s">
        <v>19</v>
      </c>
    </row>
    <row r="622" spans="1:15" s="14" customFormat="1" x14ac:dyDescent="0.25">
      <c r="A622" s="13">
        <v>638</v>
      </c>
      <c r="B622" s="16">
        <v>638</v>
      </c>
      <c r="C622" s="13" t="s">
        <v>3453</v>
      </c>
      <c r="D622" s="6">
        <v>760</v>
      </c>
      <c r="E622" s="13" t="s">
        <v>2931</v>
      </c>
      <c r="F622" s="13"/>
      <c r="G622" s="17">
        <v>9.9</v>
      </c>
      <c r="H622" s="16">
        <v>76</v>
      </c>
      <c r="I622" s="18">
        <v>4.4909999999999997</v>
      </c>
      <c r="J622" s="13"/>
      <c r="K622" s="13"/>
      <c r="L622" s="17">
        <f>G622-J622</f>
        <v>9.9</v>
      </c>
      <c r="M622" s="18">
        <f>L622*(H622*H622)*0.7854/10000</f>
        <v>4.491105696</v>
      </c>
      <c r="N622" s="5" t="s">
        <v>1007</v>
      </c>
      <c r="O622" s="8" t="s">
        <v>19</v>
      </c>
    </row>
    <row r="623" spans="1:15" s="14" customFormat="1" x14ac:dyDescent="0.25">
      <c r="A623" s="13">
        <v>639</v>
      </c>
      <c r="B623" s="16">
        <v>639</v>
      </c>
      <c r="C623" s="13" t="s">
        <v>3454</v>
      </c>
      <c r="D623" s="6">
        <v>761</v>
      </c>
      <c r="E623" s="13" t="s">
        <v>2931</v>
      </c>
      <c r="F623" s="13"/>
      <c r="G623" s="17">
        <v>11.4</v>
      </c>
      <c r="H623" s="16">
        <v>81</v>
      </c>
      <c r="I623" s="18">
        <v>5.8739999999999997</v>
      </c>
      <c r="J623" s="13"/>
      <c r="K623" s="13"/>
      <c r="L623" s="17">
        <f>G623-J623</f>
        <v>11.4</v>
      </c>
      <c r="M623" s="18">
        <f>L623*(H623*H623)*0.7854/10000</f>
        <v>5.874430716</v>
      </c>
      <c r="N623" s="5"/>
      <c r="O623" s="8" t="s">
        <v>30</v>
      </c>
    </row>
    <row r="624" spans="1:15" s="14" customFormat="1" x14ac:dyDescent="0.25">
      <c r="A624" s="13">
        <v>640</v>
      </c>
      <c r="B624" s="16">
        <v>640</v>
      </c>
      <c r="C624" s="13" t="s">
        <v>3455</v>
      </c>
      <c r="D624" s="6" t="s">
        <v>1050</v>
      </c>
      <c r="E624" s="13" t="s">
        <v>2931</v>
      </c>
      <c r="F624" s="13"/>
      <c r="G624" s="17">
        <v>11.2</v>
      </c>
      <c r="H624" s="16">
        <v>83</v>
      </c>
      <c r="I624" s="18">
        <v>6.06</v>
      </c>
      <c r="J624" s="13"/>
      <c r="K624" s="13"/>
      <c r="L624" s="17">
        <f>G624-J624</f>
        <v>11.2</v>
      </c>
      <c r="M624" s="18">
        <f>L624*(H624*H624)*0.7854/10000</f>
        <v>6.0598950719999998</v>
      </c>
      <c r="N624" s="5" t="s">
        <v>1007</v>
      </c>
      <c r="O624" s="8" t="s">
        <v>19</v>
      </c>
    </row>
    <row r="625" spans="1:15" s="14" customFormat="1" x14ac:dyDescent="0.25">
      <c r="A625" s="13">
        <v>641</v>
      </c>
      <c r="B625" s="16">
        <v>641</v>
      </c>
      <c r="C625" s="13" t="s">
        <v>3456</v>
      </c>
      <c r="D625" s="6" t="s">
        <v>1053</v>
      </c>
      <c r="E625" s="13" t="s">
        <v>2931</v>
      </c>
      <c r="F625" s="13"/>
      <c r="G625" s="17">
        <v>13.4</v>
      </c>
      <c r="H625" s="16">
        <v>113</v>
      </c>
      <c r="I625" s="18">
        <v>13.439</v>
      </c>
      <c r="J625" s="13">
        <v>0.3</v>
      </c>
      <c r="K625" s="13"/>
      <c r="L625" s="17">
        <f>G625-J625</f>
        <v>13.1</v>
      </c>
      <c r="M625" s="18">
        <f>L625*(H625*H625)*0.7854/10000</f>
        <v>13.137692105999999</v>
      </c>
      <c r="N625" s="5"/>
      <c r="O625" s="8" t="s">
        <v>19</v>
      </c>
    </row>
    <row r="626" spans="1:15" s="14" customFormat="1" x14ac:dyDescent="0.25">
      <c r="A626" s="13">
        <v>642</v>
      </c>
      <c r="B626" s="16">
        <v>642</v>
      </c>
      <c r="C626" s="13" t="s">
        <v>3457</v>
      </c>
      <c r="D626" s="6" t="s">
        <v>1056</v>
      </c>
      <c r="E626" s="13" t="s">
        <v>2931</v>
      </c>
      <c r="F626" s="13"/>
      <c r="G626" s="17">
        <v>6.8</v>
      </c>
      <c r="H626" s="16">
        <v>70</v>
      </c>
      <c r="I626" s="18">
        <v>2.617</v>
      </c>
      <c r="J626" s="13">
        <v>0.3</v>
      </c>
      <c r="K626" s="13"/>
      <c r="L626" s="17">
        <f>G626-J626</f>
        <v>6.5</v>
      </c>
      <c r="M626" s="18">
        <f>L626*(H626*H626)*0.7854/10000</f>
        <v>2.5014989999999999</v>
      </c>
      <c r="N626" s="5"/>
      <c r="O626" s="8" t="s">
        <v>30</v>
      </c>
    </row>
    <row r="627" spans="1:15" s="14" customFormat="1" x14ac:dyDescent="0.25">
      <c r="A627" s="13">
        <v>643</v>
      </c>
      <c r="B627" s="16">
        <v>643</v>
      </c>
      <c r="C627" s="13" t="s">
        <v>3458</v>
      </c>
      <c r="D627" s="6" t="s">
        <v>1059</v>
      </c>
      <c r="E627" s="13" t="s">
        <v>2931</v>
      </c>
      <c r="F627" s="13"/>
      <c r="G627" s="17">
        <v>4.7</v>
      </c>
      <c r="H627" s="16">
        <v>81</v>
      </c>
      <c r="I627" s="18">
        <v>2.4220000000000002</v>
      </c>
      <c r="J627" s="13"/>
      <c r="K627" s="13"/>
      <c r="L627" s="17">
        <f>G627-J627</f>
        <v>4.7</v>
      </c>
      <c r="M627" s="18">
        <f>L627*(H627*H627)*0.7854/10000</f>
        <v>2.4219144180000001</v>
      </c>
      <c r="N627" s="5"/>
      <c r="O627" s="8" t="s">
        <v>19</v>
      </c>
    </row>
    <row r="628" spans="1:15" s="14" customFormat="1" x14ac:dyDescent="0.25">
      <c r="A628" s="13">
        <v>644</v>
      </c>
      <c r="B628" s="16">
        <v>644</v>
      </c>
      <c r="C628" s="13" t="s">
        <v>3459</v>
      </c>
      <c r="D628" s="6" t="s">
        <v>1056</v>
      </c>
      <c r="E628" s="13" t="s">
        <v>2931</v>
      </c>
      <c r="F628" s="13"/>
      <c r="G628" s="17">
        <v>5.7</v>
      </c>
      <c r="H628" s="16">
        <v>63</v>
      </c>
      <c r="I628" s="18">
        <v>1.7769999999999999</v>
      </c>
      <c r="J628" s="13"/>
      <c r="K628" s="13"/>
      <c r="L628" s="17">
        <f>G628-J628</f>
        <v>5.7</v>
      </c>
      <c r="M628" s="18">
        <f>L628*(H628*H628)*0.7854/10000</f>
        <v>1.7768339819999996</v>
      </c>
      <c r="N628" s="5" t="s">
        <v>1007</v>
      </c>
      <c r="O628" s="8" t="s">
        <v>19</v>
      </c>
    </row>
    <row r="629" spans="1:15" s="14" customFormat="1" x14ac:dyDescent="0.25">
      <c r="A629" s="13">
        <v>645</v>
      </c>
      <c r="B629" s="16">
        <v>645</v>
      </c>
      <c r="C629" s="13" t="s">
        <v>3460</v>
      </c>
      <c r="D629" s="6">
        <v>763</v>
      </c>
      <c r="E629" s="13" t="s">
        <v>2931</v>
      </c>
      <c r="F629" s="13"/>
      <c r="G629" s="17">
        <v>14.4</v>
      </c>
      <c r="H629" s="16">
        <v>118</v>
      </c>
      <c r="I629" s="18">
        <v>15.747999999999999</v>
      </c>
      <c r="J629" s="13">
        <v>0.3</v>
      </c>
      <c r="K629" s="13"/>
      <c r="L629" s="17">
        <f>G629-J629</f>
        <v>14.1</v>
      </c>
      <c r="M629" s="18">
        <f>L629*(H629*H629)*0.7854/10000</f>
        <v>15.419632535999998</v>
      </c>
      <c r="N629" s="5"/>
      <c r="O629" s="8" t="s">
        <v>30</v>
      </c>
    </row>
    <row r="630" spans="1:15" s="14" customFormat="1" x14ac:dyDescent="0.25">
      <c r="A630" s="13">
        <v>646</v>
      </c>
      <c r="B630" s="16">
        <v>646</v>
      </c>
      <c r="C630" s="13" t="s">
        <v>3461</v>
      </c>
      <c r="D630" s="6">
        <v>784</v>
      </c>
      <c r="E630" s="13" t="s">
        <v>2931</v>
      </c>
      <c r="F630" s="13"/>
      <c r="G630" s="17">
        <v>7.2</v>
      </c>
      <c r="H630" s="16">
        <v>105</v>
      </c>
      <c r="I630" s="18">
        <v>6.234</v>
      </c>
      <c r="J630" s="13">
        <v>0.3</v>
      </c>
      <c r="K630" s="13"/>
      <c r="L630" s="17">
        <f>G630-J630</f>
        <v>6.9</v>
      </c>
      <c r="M630" s="18">
        <f>L630*(H630*H630)*0.7854/10000</f>
        <v>5.9747341500000006</v>
      </c>
      <c r="N630" s="5" t="s">
        <v>1007</v>
      </c>
      <c r="O630" s="8" t="s">
        <v>19</v>
      </c>
    </row>
    <row r="631" spans="1:15" s="14" customFormat="1" x14ac:dyDescent="0.25">
      <c r="A631" s="13">
        <v>647</v>
      </c>
      <c r="B631" s="16">
        <v>647</v>
      </c>
      <c r="C631" s="13" t="s">
        <v>3462</v>
      </c>
      <c r="D631" s="6" t="s">
        <v>1068</v>
      </c>
      <c r="E631" s="13" t="s">
        <v>2931</v>
      </c>
      <c r="F631" s="13"/>
      <c r="G631" s="17">
        <v>11.7</v>
      </c>
      <c r="H631" s="16">
        <v>126</v>
      </c>
      <c r="I631" s="18">
        <v>14.589</v>
      </c>
      <c r="J631" s="13"/>
      <c r="K631" s="13"/>
      <c r="L631" s="17">
        <f>G631-J631</f>
        <v>11.7</v>
      </c>
      <c r="M631" s="18">
        <f>L631*(H631*H631)*0.7854/10000</f>
        <v>14.588742167999998</v>
      </c>
      <c r="N631" s="5" t="s">
        <v>1007</v>
      </c>
      <c r="O631" s="8" t="s">
        <v>19</v>
      </c>
    </row>
    <row r="632" spans="1:15" s="14" customFormat="1" x14ac:dyDescent="0.25">
      <c r="A632" s="13">
        <v>648</v>
      </c>
      <c r="B632" s="16">
        <v>648</v>
      </c>
      <c r="C632" s="13" t="s">
        <v>3463</v>
      </c>
      <c r="D632" s="6" t="s">
        <v>1071</v>
      </c>
      <c r="E632" s="13" t="s">
        <v>2931</v>
      </c>
      <c r="F632" s="13"/>
      <c r="G632" s="17">
        <v>7.1</v>
      </c>
      <c r="H632" s="16">
        <v>125</v>
      </c>
      <c r="I632" s="18">
        <v>8.7129999999999992</v>
      </c>
      <c r="J632" s="13"/>
      <c r="K632" s="13"/>
      <c r="L632" s="17">
        <f>G632-J632</f>
        <v>7.1</v>
      </c>
      <c r="M632" s="18">
        <f>L632*(H632*H632)*0.7854/10000</f>
        <v>8.7130312500000002</v>
      </c>
      <c r="N632" s="5"/>
      <c r="O632" s="8" t="s">
        <v>19</v>
      </c>
    </row>
    <row r="633" spans="1:15" s="14" customFormat="1" x14ac:dyDescent="0.25">
      <c r="A633" s="13">
        <v>649</v>
      </c>
      <c r="B633" s="16">
        <v>649</v>
      </c>
      <c r="C633" s="13" t="s">
        <v>3464</v>
      </c>
      <c r="D633" s="6">
        <v>5029</v>
      </c>
      <c r="E633" s="13" t="s">
        <v>2931</v>
      </c>
      <c r="F633" s="13"/>
      <c r="G633" s="17">
        <v>13.2</v>
      </c>
      <c r="H633" s="16">
        <v>73</v>
      </c>
      <c r="I633" s="18">
        <v>5.5250000000000004</v>
      </c>
      <c r="J633" s="13"/>
      <c r="K633" s="13"/>
      <c r="L633" s="17">
        <f>G633-J633</f>
        <v>13.2</v>
      </c>
      <c r="M633" s="18">
        <f>L633*(H633*H633)*0.7854/10000</f>
        <v>5.5247235120000004</v>
      </c>
      <c r="N633" s="5"/>
      <c r="O633" s="8" t="s">
        <v>19</v>
      </c>
    </row>
    <row r="634" spans="1:15" s="14" customFormat="1" x14ac:dyDescent="0.25">
      <c r="A634" s="13">
        <v>650</v>
      </c>
      <c r="B634" s="16">
        <v>650</v>
      </c>
      <c r="C634" s="13" t="s">
        <v>3465</v>
      </c>
      <c r="D634" s="6" t="s">
        <v>1076</v>
      </c>
      <c r="E634" s="13" t="s">
        <v>2931</v>
      </c>
      <c r="F634" s="13"/>
      <c r="G634" s="17">
        <v>11.4</v>
      </c>
      <c r="H634" s="16">
        <v>119</v>
      </c>
      <c r="I634" s="18">
        <v>12.679</v>
      </c>
      <c r="J634" s="13">
        <v>0.3</v>
      </c>
      <c r="K634" s="13"/>
      <c r="L634" s="17">
        <f>G634-J634</f>
        <v>11.1</v>
      </c>
      <c r="M634" s="18">
        <f>L634*(H634*H634)*0.7854/10000</f>
        <v>12.345474834000001</v>
      </c>
      <c r="N634" s="5"/>
      <c r="O634" s="8" t="s">
        <v>19</v>
      </c>
    </row>
    <row r="635" spans="1:15" s="14" customFormat="1" x14ac:dyDescent="0.25">
      <c r="A635" s="13">
        <v>651</v>
      </c>
      <c r="B635" s="16">
        <v>651</v>
      </c>
      <c r="C635" s="13" t="s">
        <v>3466</v>
      </c>
      <c r="D635" s="6" t="s">
        <v>1079</v>
      </c>
      <c r="E635" s="13" t="s">
        <v>2931</v>
      </c>
      <c r="F635" s="13"/>
      <c r="G635" s="17">
        <v>6.3</v>
      </c>
      <c r="H635" s="16">
        <v>105</v>
      </c>
      <c r="I635" s="18">
        <v>5.4550000000000001</v>
      </c>
      <c r="J635" s="13"/>
      <c r="K635" s="13"/>
      <c r="L635" s="17">
        <f>G635-J635</f>
        <v>6.3</v>
      </c>
      <c r="M635" s="18">
        <f>L635*(H635*H635)*0.7854/10000</f>
        <v>5.45519205</v>
      </c>
      <c r="N635" s="5" t="s">
        <v>1007</v>
      </c>
      <c r="O635" s="8" t="s">
        <v>19</v>
      </c>
    </row>
    <row r="636" spans="1:15" s="14" customFormat="1" x14ac:dyDescent="0.25">
      <c r="A636" s="13">
        <v>652</v>
      </c>
      <c r="B636" s="16">
        <v>652</v>
      </c>
      <c r="C636" s="13" t="s">
        <v>3467</v>
      </c>
      <c r="D636" s="6">
        <v>4987</v>
      </c>
      <c r="E636" s="13" t="s">
        <v>2931</v>
      </c>
      <c r="F636" s="13"/>
      <c r="G636" s="17">
        <v>9.9</v>
      </c>
      <c r="H636" s="16">
        <v>169</v>
      </c>
      <c r="I636" s="18">
        <v>22.207000000000001</v>
      </c>
      <c r="J636" s="13">
        <v>0.4</v>
      </c>
      <c r="K636" s="13"/>
      <c r="L636" s="17">
        <f>G636-J636</f>
        <v>9.5</v>
      </c>
      <c r="M636" s="18">
        <f>L636*(H636*H636)*0.7854/10000</f>
        <v>21.310218930000001</v>
      </c>
      <c r="N636" s="5" t="s">
        <v>53</v>
      </c>
      <c r="O636" s="8" t="s">
        <v>19</v>
      </c>
    </row>
    <row r="637" spans="1:15" s="14" customFormat="1" x14ac:dyDescent="0.25">
      <c r="A637" s="13">
        <v>653</v>
      </c>
      <c r="B637" s="16">
        <v>653</v>
      </c>
      <c r="C637" s="13" t="s">
        <v>3468</v>
      </c>
      <c r="D637" s="6" t="s">
        <v>1084</v>
      </c>
      <c r="E637" s="13" t="s">
        <v>2931</v>
      </c>
      <c r="F637" s="13"/>
      <c r="G637" s="17">
        <v>9.1</v>
      </c>
      <c r="H637" s="16">
        <v>144</v>
      </c>
      <c r="I637" s="18">
        <v>14.82</v>
      </c>
      <c r="J637" s="13">
        <v>0.5</v>
      </c>
      <c r="K637" s="13"/>
      <c r="L637" s="17">
        <f>G637-J637</f>
        <v>8.6</v>
      </c>
      <c r="M637" s="18">
        <f>L637*(H637*H637)*0.7854/10000</f>
        <v>14.006006784</v>
      </c>
      <c r="N637" s="5"/>
      <c r="O637" s="8" t="s">
        <v>19</v>
      </c>
    </row>
    <row r="638" spans="1:15" s="14" customFormat="1" x14ac:dyDescent="0.25">
      <c r="A638" s="13">
        <v>654</v>
      </c>
      <c r="B638" s="16">
        <v>654</v>
      </c>
      <c r="C638" s="13" t="s">
        <v>3469</v>
      </c>
      <c r="D638" s="6">
        <v>4988</v>
      </c>
      <c r="E638" s="13" t="s">
        <v>2931</v>
      </c>
      <c r="F638" s="13"/>
      <c r="G638" s="17">
        <v>13.3</v>
      </c>
      <c r="H638" s="16">
        <v>78</v>
      </c>
      <c r="I638" s="18">
        <v>6.3550000000000004</v>
      </c>
      <c r="J638" s="13"/>
      <c r="K638" s="13"/>
      <c r="L638" s="17">
        <f>G638-J638</f>
        <v>13.3</v>
      </c>
      <c r="M638" s="18">
        <f>L638*(H638*H638)*0.7854/10000</f>
        <v>6.3552368879999994</v>
      </c>
      <c r="N638" s="5"/>
      <c r="O638" s="8" t="s">
        <v>30</v>
      </c>
    </row>
    <row r="639" spans="1:15" s="14" customFormat="1" x14ac:dyDescent="0.25">
      <c r="A639" s="13">
        <v>655</v>
      </c>
      <c r="B639" s="16">
        <v>655</v>
      </c>
      <c r="C639" s="13" t="s">
        <v>3470</v>
      </c>
      <c r="D639" s="6" t="s">
        <v>1089</v>
      </c>
      <c r="E639" s="13" t="s">
        <v>2931</v>
      </c>
      <c r="F639" s="13"/>
      <c r="G639" s="17">
        <v>8.9</v>
      </c>
      <c r="H639" s="16">
        <v>142</v>
      </c>
      <c r="I639" s="18">
        <v>14.095000000000001</v>
      </c>
      <c r="J639" s="13">
        <v>0.5</v>
      </c>
      <c r="K639" s="13"/>
      <c r="L639" s="17">
        <f>G639-J639</f>
        <v>8.4</v>
      </c>
      <c r="M639" s="18">
        <f>L639*(H639*H639)*0.7854/10000</f>
        <v>13.302916703999999</v>
      </c>
      <c r="N639" s="5"/>
      <c r="O639" s="8" t="s">
        <v>19</v>
      </c>
    </row>
    <row r="640" spans="1:15" s="14" customFormat="1" x14ac:dyDescent="0.25">
      <c r="A640" s="13">
        <v>656</v>
      </c>
      <c r="B640" s="16">
        <v>656</v>
      </c>
      <c r="C640" s="13" t="s">
        <v>3471</v>
      </c>
      <c r="D640" s="6" t="s">
        <v>1092</v>
      </c>
      <c r="E640" s="13" t="s">
        <v>2931</v>
      </c>
      <c r="F640" s="13"/>
      <c r="G640" s="17">
        <v>10.5</v>
      </c>
      <c r="H640" s="16">
        <v>67</v>
      </c>
      <c r="I640" s="18">
        <v>3.702</v>
      </c>
      <c r="J640" s="13"/>
      <c r="K640" s="13"/>
      <c r="L640" s="17">
        <f>G640-J640</f>
        <v>10.5</v>
      </c>
      <c r="M640" s="18">
        <f>L640*(H640*H640)*0.7854/10000</f>
        <v>3.7019436300000002</v>
      </c>
      <c r="N640" s="5"/>
      <c r="O640" s="8" t="s">
        <v>19</v>
      </c>
    </row>
    <row r="641" spans="1:15" s="14" customFormat="1" x14ac:dyDescent="0.25">
      <c r="A641" s="13">
        <v>657</v>
      </c>
      <c r="B641" s="16">
        <v>657</v>
      </c>
      <c r="C641" s="13" t="s">
        <v>3472</v>
      </c>
      <c r="D641" s="6">
        <v>768</v>
      </c>
      <c r="E641" s="13" t="s">
        <v>2931</v>
      </c>
      <c r="F641" s="13"/>
      <c r="G641" s="17">
        <v>11.9</v>
      </c>
      <c r="H641" s="16">
        <v>108</v>
      </c>
      <c r="I641" s="18">
        <v>10.901</v>
      </c>
      <c r="J641" s="13">
        <v>0.4</v>
      </c>
      <c r="K641" s="13"/>
      <c r="L641" s="17">
        <f>G641-J641</f>
        <v>11.5</v>
      </c>
      <c r="M641" s="18">
        <f>L641*(H641*H641)*0.7854/10000</f>
        <v>10.535041439999999</v>
      </c>
      <c r="N641" s="5" t="s">
        <v>1007</v>
      </c>
      <c r="O641" s="8" t="s">
        <v>30</v>
      </c>
    </row>
    <row r="642" spans="1:15" s="14" customFormat="1" x14ac:dyDescent="0.25">
      <c r="A642" s="13">
        <v>658</v>
      </c>
      <c r="B642" s="16">
        <v>658</v>
      </c>
      <c r="C642" s="13" t="s">
        <v>3473</v>
      </c>
      <c r="D642" s="6" t="s">
        <v>1097</v>
      </c>
      <c r="E642" s="13" t="s">
        <v>2931</v>
      </c>
      <c r="F642" s="13"/>
      <c r="G642" s="17">
        <v>5.6</v>
      </c>
      <c r="H642" s="16">
        <v>63</v>
      </c>
      <c r="I642" s="18">
        <v>1.746</v>
      </c>
      <c r="J642" s="13">
        <v>0.5</v>
      </c>
      <c r="K642" s="13"/>
      <c r="L642" s="17">
        <f>G642-J642</f>
        <v>5.0999999999999996</v>
      </c>
      <c r="M642" s="18">
        <f>L642*(H642*H642)*0.7854/10000</f>
        <v>1.5897988259999998</v>
      </c>
      <c r="N642" s="5"/>
      <c r="O642" s="8" t="s">
        <v>19</v>
      </c>
    </row>
    <row r="643" spans="1:15" s="14" customFormat="1" x14ac:dyDescent="0.25">
      <c r="A643" s="13">
        <v>659</v>
      </c>
      <c r="B643" s="16">
        <v>659</v>
      </c>
      <c r="C643" s="13" t="s">
        <v>3474</v>
      </c>
      <c r="D643" s="6">
        <v>769</v>
      </c>
      <c r="E643" s="13" t="s">
        <v>2931</v>
      </c>
      <c r="F643" s="13"/>
      <c r="G643" s="17">
        <v>12.5</v>
      </c>
      <c r="H643" s="16">
        <v>93</v>
      </c>
      <c r="I643" s="18">
        <v>8.4909999999999997</v>
      </c>
      <c r="J643" s="13">
        <v>0.3</v>
      </c>
      <c r="K643" s="13"/>
      <c r="L643" s="17">
        <f>G643-J643</f>
        <v>12.2</v>
      </c>
      <c r="M643" s="18">
        <f>L643*(H643*H643)*0.7854/10000</f>
        <v>8.2873680119999982</v>
      </c>
      <c r="N643" s="5" t="s">
        <v>53</v>
      </c>
      <c r="O643" s="8" t="s">
        <v>19</v>
      </c>
    </row>
    <row r="644" spans="1:15" s="14" customFormat="1" x14ac:dyDescent="0.25">
      <c r="A644" s="13">
        <v>660</v>
      </c>
      <c r="B644" s="16">
        <v>660</v>
      </c>
      <c r="C644" s="13" t="s">
        <v>3475</v>
      </c>
      <c r="D644" s="6">
        <v>770</v>
      </c>
      <c r="E644" s="13" t="s">
        <v>2931</v>
      </c>
      <c r="F644" s="13"/>
      <c r="G644" s="17">
        <v>13.1</v>
      </c>
      <c r="H644" s="16">
        <v>89</v>
      </c>
      <c r="I644" s="18">
        <v>8.15</v>
      </c>
      <c r="J644" s="13"/>
      <c r="K644" s="13"/>
      <c r="L644" s="17">
        <f>G644-J644</f>
        <v>13.1</v>
      </c>
      <c r="M644" s="18">
        <f>L644*(H644*H644)*0.7854/10000</f>
        <v>8.1497109539999997</v>
      </c>
      <c r="N644" s="5"/>
      <c r="O644" s="8" t="s">
        <v>30</v>
      </c>
    </row>
    <row r="645" spans="1:15" s="14" customFormat="1" x14ac:dyDescent="0.25">
      <c r="A645" s="13">
        <v>661</v>
      </c>
      <c r="B645" s="16">
        <v>661</v>
      </c>
      <c r="C645" s="13" t="s">
        <v>3476</v>
      </c>
      <c r="D645" s="6" t="s">
        <v>1104</v>
      </c>
      <c r="E645" s="13" t="s">
        <v>2931</v>
      </c>
      <c r="F645" s="13"/>
      <c r="G645" s="17">
        <v>9.6</v>
      </c>
      <c r="H645" s="16">
        <v>118</v>
      </c>
      <c r="I645" s="18">
        <v>10.497999999999999</v>
      </c>
      <c r="J645" s="13">
        <v>0.5</v>
      </c>
      <c r="K645" s="13"/>
      <c r="L645" s="17">
        <f>G645-J645</f>
        <v>9.1</v>
      </c>
      <c r="M645" s="18">
        <f>L645*(H645*H645)*0.7854/10000</f>
        <v>9.9516777359999988</v>
      </c>
      <c r="N645" s="5" t="s">
        <v>1007</v>
      </c>
      <c r="O645" s="8" t="s">
        <v>19</v>
      </c>
    </row>
    <row r="646" spans="1:15" s="14" customFormat="1" x14ac:dyDescent="0.25">
      <c r="A646" s="13">
        <v>662</v>
      </c>
      <c r="B646" s="16">
        <v>662</v>
      </c>
      <c r="C646" s="13" t="s">
        <v>3477</v>
      </c>
      <c r="D646" s="6" t="s">
        <v>1107</v>
      </c>
      <c r="E646" s="13" t="s">
        <v>2931</v>
      </c>
      <c r="F646" s="13"/>
      <c r="G646" s="17">
        <v>11.6</v>
      </c>
      <c r="H646" s="16">
        <v>101</v>
      </c>
      <c r="I646" s="18">
        <v>9.2940000000000005</v>
      </c>
      <c r="J646" s="13">
        <v>0.4</v>
      </c>
      <c r="K646" s="13"/>
      <c r="L646" s="17">
        <f>G646-J646</f>
        <v>11.2</v>
      </c>
      <c r="M646" s="18">
        <f>L646*(H646*H646)*0.7854/10000</f>
        <v>8.9732892480000004</v>
      </c>
      <c r="N646" s="5"/>
      <c r="O646" s="8" t="s">
        <v>19</v>
      </c>
    </row>
    <row r="647" spans="1:15" s="14" customFormat="1" x14ac:dyDescent="0.25">
      <c r="A647" s="13">
        <v>663</v>
      </c>
      <c r="B647" s="16">
        <v>663</v>
      </c>
      <c r="C647" s="13" t="s">
        <v>3478</v>
      </c>
      <c r="D647" s="6" t="s">
        <v>1110</v>
      </c>
      <c r="E647" s="13" t="s">
        <v>2931</v>
      </c>
      <c r="F647" s="13"/>
      <c r="G647" s="17">
        <v>5.9</v>
      </c>
      <c r="H647" s="16">
        <v>116</v>
      </c>
      <c r="I647" s="18">
        <v>6.2350000000000003</v>
      </c>
      <c r="J647" s="13">
        <v>0.4</v>
      </c>
      <c r="K647" s="13"/>
      <c r="L647" s="17">
        <f>G647-J647</f>
        <v>5.5</v>
      </c>
      <c r="M647" s="18">
        <f>L647*(H647*H647)*0.7854/10000</f>
        <v>5.8125883199999997</v>
      </c>
      <c r="N647" s="5"/>
      <c r="O647" s="8" t="s">
        <v>19</v>
      </c>
    </row>
    <row r="648" spans="1:15" s="14" customFormat="1" x14ac:dyDescent="0.25">
      <c r="A648" s="13">
        <v>664</v>
      </c>
      <c r="B648" s="16">
        <v>664</v>
      </c>
      <c r="C648" s="13" t="s">
        <v>3479</v>
      </c>
      <c r="D648" s="6" t="s">
        <v>1113</v>
      </c>
      <c r="E648" s="13" t="s">
        <v>2931</v>
      </c>
      <c r="F648" s="13"/>
      <c r="G648" s="17">
        <v>4.5999999999999996</v>
      </c>
      <c r="H648" s="16">
        <v>90</v>
      </c>
      <c r="I648" s="18">
        <v>2.9260000000000002</v>
      </c>
      <c r="J648" s="13"/>
      <c r="K648" s="13"/>
      <c r="L648" s="17">
        <f>G648-J648</f>
        <v>4.5999999999999996</v>
      </c>
      <c r="M648" s="18">
        <f>L648*(H648*H648)*0.7854/10000</f>
        <v>2.9264003999999999</v>
      </c>
      <c r="N648" s="5"/>
      <c r="O648" s="8" t="s">
        <v>19</v>
      </c>
    </row>
    <row r="649" spans="1:15" s="14" customFormat="1" x14ac:dyDescent="0.25">
      <c r="A649" s="13">
        <v>665</v>
      </c>
      <c r="B649" s="16">
        <v>665</v>
      </c>
      <c r="C649" s="13" t="s">
        <v>3480</v>
      </c>
      <c r="D649" s="6" t="s">
        <v>1116</v>
      </c>
      <c r="E649" s="13" t="s">
        <v>2931</v>
      </c>
      <c r="F649" s="13"/>
      <c r="G649" s="17">
        <v>9.1999999999999993</v>
      </c>
      <c r="H649" s="16">
        <v>83</v>
      </c>
      <c r="I649" s="18">
        <v>4.9779999999999998</v>
      </c>
      <c r="J649" s="13">
        <v>0.3</v>
      </c>
      <c r="K649" s="13"/>
      <c r="L649" s="17">
        <f>G649-J649</f>
        <v>8.8999999999999986</v>
      </c>
      <c r="M649" s="18">
        <f>L649*(H649*H649)*0.7854/10000</f>
        <v>4.8154523339999988</v>
      </c>
      <c r="N649" s="5" t="s">
        <v>1007</v>
      </c>
      <c r="O649" s="8" t="s">
        <v>19</v>
      </c>
    </row>
    <row r="650" spans="1:15" s="14" customFormat="1" x14ac:dyDescent="0.25">
      <c r="A650" s="13">
        <v>666</v>
      </c>
      <c r="B650" s="16">
        <v>666</v>
      </c>
      <c r="C650" s="13" t="s">
        <v>3481</v>
      </c>
      <c r="D650" s="6" t="s">
        <v>1119</v>
      </c>
      <c r="E650" s="13" t="s">
        <v>2931</v>
      </c>
      <c r="F650" s="13"/>
      <c r="G650" s="17">
        <v>6.6</v>
      </c>
      <c r="H650" s="16">
        <v>64</v>
      </c>
      <c r="I650" s="18">
        <v>2.1230000000000002</v>
      </c>
      <c r="J650" s="13"/>
      <c r="K650" s="13"/>
      <c r="L650" s="17">
        <f>G650-J650</f>
        <v>6.6</v>
      </c>
      <c r="M650" s="18">
        <f>L650*(H650*H650)*0.7854/10000</f>
        <v>2.123218944</v>
      </c>
      <c r="N650" s="5"/>
      <c r="O650" s="8" t="s">
        <v>19</v>
      </c>
    </row>
    <row r="651" spans="1:15" s="14" customFormat="1" x14ac:dyDescent="0.25">
      <c r="A651" s="13">
        <v>667</v>
      </c>
      <c r="B651" s="16">
        <v>667</v>
      </c>
      <c r="C651" s="13" t="s">
        <v>3482</v>
      </c>
      <c r="D651" s="6" t="s">
        <v>1122</v>
      </c>
      <c r="E651" s="13" t="s">
        <v>2931</v>
      </c>
      <c r="F651" s="13"/>
      <c r="G651" s="17">
        <v>10.4</v>
      </c>
      <c r="H651" s="16">
        <v>109</v>
      </c>
      <c r="I651" s="18">
        <v>9.7050000000000001</v>
      </c>
      <c r="J651" s="13">
        <v>0.5</v>
      </c>
      <c r="K651" s="13"/>
      <c r="L651" s="17">
        <f>G651-J651</f>
        <v>9.9</v>
      </c>
      <c r="M651" s="18">
        <f>L651*(H651*H651)*0.7854/10000</f>
        <v>9.2380240259999997</v>
      </c>
      <c r="N651" s="5"/>
      <c r="O651" s="8" t="s">
        <v>19</v>
      </c>
    </row>
    <row r="652" spans="1:15" s="14" customFormat="1" x14ac:dyDescent="0.25">
      <c r="A652" s="13">
        <v>668</v>
      </c>
      <c r="B652" s="16">
        <v>668</v>
      </c>
      <c r="C652" s="13" t="s">
        <v>3483</v>
      </c>
      <c r="D652" s="6" t="s">
        <v>1125</v>
      </c>
      <c r="E652" s="13" t="s">
        <v>2931</v>
      </c>
      <c r="F652" s="13"/>
      <c r="G652" s="17">
        <v>5.8</v>
      </c>
      <c r="H652" s="16">
        <v>77</v>
      </c>
      <c r="I652" s="18">
        <v>2.7010000000000001</v>
      </c>
      <c r="J652" s="13"/>
      <c r="K652" s="13"/>
      <c r="L652" s="17">
        <f>G652-J652</f>
        <v>5.8</v>
      </c>
      <c r="M652" s="18">
        <f>L652*(H652*H652)*0.7854/10000</f>
        <v>2.700849228</v>
      </c>
      <c r="N652" s="5" t="s">
        <v>1007</v>
      </c>
      <c r="O652" s="8" t="s">
        <v>19</v>
      </c>
    </row>
    <row r="653" spans="1:15" s="14" customFormat="1" x14ac:dyDescent="0.25">
      <c r="A653" s="13">
        <v>669</v>
      </c>
      <c r="B653" s="16">
        <v>669</v>
      </c>
      <c r="C653" s="13" t="s">
        <v>3484</v>
      </c>
      <c r="D653" s="6" t="s">
        <v>1128</v>
      </c>
      <c r="E653" s="13" t="s">
        <v>2931</v>
      </c>
      <c r="F653" s="13"/>
      <c r="G653" s="17">
        <v>4.3</v>
      </c>
      <c r="H653" s="16">
        <v>110</v>
      </c>
      <c r="I653" s="18">
        <v>4.0860000000000003</v>
      </c>
      <c r="J653" s="13">
        <v>0.4</v>
      </c>
      <c r="K653" s="13"/>
      <c r="L653" s="17">
        <f>G653-J653</f>
        <v>3.9</v>
      </c>
      <c r="M653" s="18">
        <f>L653*(H653*H653)*0.7854/10000</f>
        <v>3.7063025999999999</v>
      </c>
      <c r="N653" s="5"/>
      <c r="O653" s="8" t="s">
        <v>30</v>
      </c>
    </row>
    <row r="654" spans="1:15" s="14" customFormat="1" x14ac:dyDescent="0.25">
      <c r="A654" s="13">
        <v>670</v>
      </c>
      <c r="B654" s="16">
        <v>670</v>
      </c>
      <c r="C654" s="13" t="s">
        <v>3485</v>
      </c>
      <c r="D654" s="6">
        <v>4994</v>
      </c>
      <c r="E654" s="13" t="s">
        <v>2931</v>
      </c>
      <c r="F654" s="13"/>
      <c r="G654" s="17">
        <v>12.1</v>
      </c>
      <c r="H654" s="16">
        <v>98</v>
      </c>
      <c r="I654" s="18">
        <v>9.1270000000000007</v>
      </c>
      <c r="J654" s="13"/>
      <c r="K654" s="13"/>
      <c r="L654" s="17">
        <f>G654-J654</f>
        <v>12.1</v>
      </c>
      <c r="M654" s="18">
        <f>L654*(H654*H654)*0.7854/10000</f>
        <v>9.1270077359999995</v>
      </c>
      <c r="N654" s="5"/>
      <c r="O654" s="8" t="s">
        <v>19</v>
      </c>
    </row>
    <row r="655" spans="1:15" s="14" customFormat="1" x14ac:dyDescent="0.25">
      <c r="A655" s="13">
        <v>672</v>
      </c>
      <c r="B655" s="16">
        <v>672</v>
      </c>
      <c r="C655" s="13" t="s">
        <v>3486</v>
      </c>
      <c r="D655" s="6">
        <v>904</v>
      </c>
      <c r="E655" s="13" t="s">
        <v>2931</v>
      </c>
      <c r="F655" s="13"/>
      <c r="G655" s="17">
        <v>8.1999999999999993</v>
      </c>
      <c r="H655" s="16">
        <v>119</v>
      </c>
      <c r="I655" s="18">
        <v>9.1199999999999992</v>
      </c>
      <c r="J655" s="13"/>
      <c r="K655" s="13"/>
      <c r="L655" s="17">
        <f>G655-J655</f>
        <v>8.1999999999999993</v>
      </c>
      <c r="M655" s="18">
        <f>L655*(H655*H655)*0.7854/10000</f>
        <v>9.1200805079999991</v>
      </c>
      <c r="N655" s="5" t="s">
        <v>53</v>
      </c>
      <c r="O655" s="8" t="s">
        <v>19</v>
      </c>
    </row>
    <row r="656" spans="1:15" s="14" customFormat="1" x14ac:dyDescent="0.25">
      <c r="A656" s="13">
        <v>673</v>
      </c>
      <c r="B656" s="16">
        <v>673</v>
      </c>
      <c r="C656" s="13" t="s">
        <v>3487</v>
      </c>
      <c r="D656" s="6" t="s">
        <v>1135</v>
      </c>
      <c r="E656" s="13" t="s">
        <v>2931</v>
      </c>
      <c r="F656" s="13"/>
      <c r="G656" s="17">
        <v>11.5</v>
      </c>
      <c r="H656" s="16">
        <v>99</v>
      </c>
      <c r="I656" s="18">
        <v>8.8520000000000003</v>
      </c>
      <c r="J656" s="13"/>
      <c r="K656" s="13"/>
      <c r="L656" s="17">
        <f>G656-J656</f>
        <v>11.5</v>
      </c>
      <c r="M656" s="18">
        <f>L656*(H656*H656)*0.7854/10000</f>
        <v>8.8523612099999998</v>
      </c>
      <c r="N656" s="5"/>
      <c r="O656" s="8" t="s">
        <v>30</v>
      </c>
    </row>
    <row r="657" spans="1:15" s="14" customFormat="1" x14ac:dyDescent="0.25">
      <c r="A657" s="13">
        <v>674</v>
      </c>
      <c r="B657" s="16">
        <v>674</v>
      </c>
      <c r="C657" s="13" t="s">
        <v>3488</v>
      </c>
      <c r="D657" s="6" t="s">
        <v>1138</v>
      </c>
      <c r="E657" s="13" t="s">
        <v>2931</v>
      </c>
      <c r="F657" s="13"/>
      <c r="G657" s="17">
        <v>9.9</v>
      </c>
      <c r="H657" s="16">
        <v>94</v>
      </c>
      <c r="I657" s="18">
        <v>6.87</v>
      </c>
      <c r="J657" s="13"/>
      <c r="K657" s="13"/>
      <c r="L657" s="17">
        <f>G657-J657</f>
        <v>9.9</v>
      </c>
      <c r="M657" s="18">
        <f>L657*(H657*H657)*0.7854/10000</f>
        <v>6.8703964560000008</v>
      </c>
      <c r="N657" s="5"/>
      <c r="O657" s="8" t="s">
        <v>19</v>
      </c>
    </row>
    <row r="658" spans="1:15" s="14" customFormat="1" x14ac:dyDescent="0.25">
      <c r="A658" s="13">
        <v>675</v>
      </c>
      <c r="B658" s="16">
        <v>675</v>
      </c>
      <c r="C658" s="13" t="s">
        <v>3489</v>
      </c>
      <c r="D658" s="6" t="s">
        <v>1141</v>
      </c>
      <c r="E658" s="13" t="s">
        <v>2931</v>
      </c>
      <c r="F658" s="13"/>
      <c r="G658" s="17">
        <v>9.9</v>
      </c>
      <c r="H658" s="16">
        <v>107</v>
      </c>
      <c r="I658" s="18">
        <v>8.9019999999999992</v>
      </c>
      <c r="J658" s="13"/>
      <c r="K658" s="13"/>
      <c r="L658" s="17">
        <f>G658-J658</f>
        <v>9.9</v>
      </c>
      <c r="M658" s="18">
        <f>L658*(H658*H658)*0.7854/10000</f>
        <v>8.9021241540000009</v>
      </c>
      <c r="N658" s="5"/>
      <c r="O658" s="8" t="s">
        <v>19</v>
      </c>
    </row>
    <row r="659" spans="1:15" s="14" customFormat="1" x14ac:dyDescent="0.25">
      <c r="A659" s="13">
        <v>677</v>
      </c>
      <c r="B659" s="16">
        <v>677</v>
      </c>
      <c r="C659" s="13" t="s">
        <v>3490</v>
      </c>
      <c r="D659" s="6" t="s">
        <v>1144</v>
      </c>
      <c r="E659" s="13" t="s">
        <v>2931</v>
      </c>
      <c r="F659" s="13"/>
      <c r="G659" s="17">
        <v>12.3</v>
      </c>
      <c r="H659" s="16">
        <v>116</v>
      </c>
      <c r="I659" s="18">
        <v>12.999000000000001</v>
      </c>
      <c r="J659" s="13">
        <v>0.3</v>
      </c>
      <c r="K659" s="13"/>
      <c r="L659" s="17">
        <f>G659-J659</f>
        <v>12</v>
      </c>
      <c r="M659" s="18">
        <f>L659*(H659*H659)*0.7854/10000</f>
        <v>12.68201088</v>
      </c>
      <c r="N659" s="5" t="s">
        <v>53</v>
      </c>
      <c r="O659" s="8" t="s">
        <v>30</v>
      </c>
    </row>
    <row r="660" spans="1:15" s="14" customFormat="1" x14ac:dyDescent="0.25">
      <c r="A660" s="13">
        <v>678</v>
      </c>
      <c r="B660" s="16">
        <v>678</v>
      </c>
      <c r="C660" s="13" t="s">
        <v>3491</v>
      </c>
      <c r="D660" s="6" t="s">
        <v>1147</v>
      </c>
      <c r="E660" s="13" t="s">
        <v>2931</v>
      </c>
      <c r="F660" s="13"/>
      <c r="G660" s="17">
        <v>4.8</v>
      </c>
      <c r="H660" s="16">
        <v>97</v>
      </c>
      <c r="I660" s="18">
        <v>3.5470000000000002</v>
      </c>
      <c r="J660" s="13"/>
      <c r="K660" s="13"/>
      <c r="L660" s="17">
        <f>G660-J660</f>
        <v>4.8</v>
      </c>
      <c r="M660" s="18">
        <f>L660*(H660*H660)*0.7854/10000</f>
        <v>3.5471177279999995</v>
      </c>
      <c r="N660" s="5" t="s">
        <v>21</v>
      </c>
      <c r="O660" s="8" t="s">
        <v>19</v>
      </c>
    </row>
    <row r="661" spans="1:15" s="14" customFormat="1" x14ac:dyDescent="0.25">
      <c r="A661" s="13">
        <v>679</v>
      </c>
      <c r="B661" s="16">
        <v>679</v>
      </c>
      <c r="C661" s="13" t="s">
        <v>3492</v>
      </c>
      <c r="D661" s="6" t="s">
        <v>1150</v>
      </c>
      <c r="E661" s="13" t="s">
        <v>2931</v>
      </c>
      <c r="F661" s="13"/>
      <c r="G661" s="17">
        <v>4.9000000000000004</v>
      </c>
      <c r="H661" s="16">
        <v>80</v>
      </c>
      <c r="I661" s="18">
        <v>2.4630000000000001</v>
      </c>
      <c r="J661" s="13"/>
      <c r="K661" s="13"/>
      <c r="L661" s="17">
        <f>G661-J661</f>
        <v>4.9000000000000004</v>
      </c>
      <c r="M661" s="18">
        <f>L661*(H661*H661)*0.7854/10000</f>
        <v>2.4630144000000005</v>
      </c>
      <c r="N661" s="5"/>
      <c r="O661" s="8" t="s">
        <v>19</v>
      </c>
    </row>
    <row r="662" spans="1:15" s="14" customFormat="1" x14ac:dyDescent="0.25">
      <c r="A662" s="13">
        <v>680</v>
      </c>
      <c r="B662" s="16">
        <v>680</v>
      </c>
      <c r="C662" s="13" t="s">
        <v>3493</v>
      </c>
      <c r="D662" s="6">
        <v>907</v>
      </c>
      <c r="E662" s="13" t="s">
        <v>2931</v>
      </c>
      <c r="F662" s="13"/>
      <c r="G662" s="17">
        <v>9.9</v>
      </c>
      <c r="H662" s="16">
        <v>66</v>
      </c>
      <c r="I662" s="18">
        <v>3.387</v>
      </c>
      <c r="J662" s="13">
        <v>0.4</v>
      </c>
      <c r="K662" s="13"/>
      <c r="L662" s="17">
        <f>G662-J662</f>
        <v>9.5</v>
      </c>
      <c r="M662" s="18">
        <f>L662*(H662*H662)*0.7854/10000</f>
        <v>3.2501422799999999</v>
      </c>
      <c r="N662" s="5" t="s">
        <v>1007</v>
      </c>
      <c r="O662" s="8" t="s">
        <v>19</v>
      </c>
    </row>
    <row r="663" spans="1:15" s="14" customFormat="1" x14ac:dyDescent="0.25">
      <c r="A663" s="13">
        <v>681</v>
      </c>
      <c r="B663" s="16">
        <v>681</v>
      </c>
      <c r="C663" s="13" t="s">
        <v>3494</v>
      </c>
      <c r="D663" s="6" t="s">
        <v>1155</v>
      </c>
      <c r="E663" s="13" t="s">
        <v>2931</v>
      </c>
      <c r="F663" s="13"/>
      <c r="G663" s="17">
        <v>5.4</v>
      </c>
      <c r="H663" s="16">
        <v>112</v>
      </c>
      <c r="I663" s="18">
        <v>5.32</v>
      </c>
      <c r="J663" s="13"/>
      <c r="K663" s="13"/>
      <c r="L663" s="17">
        <f>G663-J663</f>
        <v>5.4</v>
      </c>
      <c r="M663" s="18">
        <f>L663*(H663*H663)*0.7854/10000</f>
        <v>5.3201111040000004</v>
      </c>
      <c r="N663" s="5"/>
      <c r="O663" s="8" t="s">
        <v>19</v>
      </c>
    </row>
    <row r="664" spans="1:15" s="14" customFormat="1" x14ac:dyDescent="0.25">
      <c r="A664" s="13">
        <v>682</v>
      </c>
      <c r="B664" s="16">
        <v>682</v>
      </c>
      <c r="C664" s="13" t="s">
        <v>3495</v>
      </c>
      <c r="D664" s="6">
        <v>5216</v>
      </c>
      <c r="E664" s="13" t="s">
        <v>2931</v>
      </c>
      <c r="F664" s="13"/>
      <c r="G664" s="17">
        <v>12.1</v>
      </c>
      <c r="H664" s="16">
        <v>69</v>
      </c>
      <c r="I664" s="18">
        <v>4.5250000000000004</v>
      </c>
      <c r="J664" s="13">
        <v>0.4</v>
      </c>
      <c r="K664" s="13"/>
      <c r="L664" s="17">
        <f>G664-J664</f>
        <v>11.7</v>
      </c>
      <c r="M664" s="18">
        <f>L664*(H664*H664)*0.7854/10000</f>
        <v>4.3749685979999997</v>
      </c>
      <c r="N664" s="5"/>
      <c r="O664" s="8" t="s">
        <v>19</v>
      </c>
    </row>
    <row r="665" spans="1:15" s="14" customFormat="1" x14ac:dyDescent="0.25">
      <c r="A665" s="13">
        <v>683</v>
      </c>
      <c r="B665" s="16">
        <v>683</v>
      </c>
      <c r="C665" s="13" t="s">
        <v>3496</v>
      </c>
      <c r="D665" s="6" t="s">
        <v>1160</v>
      </c>
      <c r="E665" s="13" t="s">
        <v>2931</v>
      </c>
      <c r="F665" s="13"/>
      <c r="G665" s="17">
        <v>8.5</v>
      </c>
      <c r="H665" s="16">
        <v>71</v>
      </c>
      <c r="I665" s="18">
        <v>3.3650000000000002</v>
      </c>
      <c r="J665" s="13">
        <v>0.3</v>
      </c>
      <c r="K665" s="13"/>
      <c r="L665" s="17">
        <f>G665-J665</f>
        <v>8.1999999999999993</v>
      </c>
      <c r="M665" s="18">
        <f>L665*(H665*H665)*0.7854/10000</f>
        <v>3.2465451479999996</v>
      </c>
      <c r="N665" s="5" t="s">
        <v>21</v>
      </c>
      <c r="O665" s="8" t="s">
        <v>19</v>
      </c>
    </row>
    <row r="666" spans="1:15" s="14" customFormat="1" x14ac:dyDescent="0.25">
      <c r="A666" s="13">
        <v>684</v>
      </c>
      <c r="B666" s="16">
        <v>684</v>
      </c>
      <c r="C666" s="13" t="s">
        <v>3497</v>
      </c>
      <c r="D666" s="6" t="s">
        <v>730</v>
      </c>
      <c r="E666" s="13" t="s">
        <v>2931</v>
      </c>
      <c r="F666" s="13"/>
      <c r="G666" s="17">
        <v>9.6</v>
      </c>
      <c r="H666" s="16">
        <v>86</v>
      </c>
      <c r="I666" s="18">
        <v>5.5759999999999996</v>
      </c>
      <c r="J666" s="13">
        <v>0.3</v>
      </c>
      <c r="K666" s="13"/>
      <c r="L666" s="17">
        <f>G666-J666</f>
        <v>9.2999999999999989</v>
      </c>
      <c r="M666" s="18">
        <f>L666*(H666*H666)*0.7854/10000</f>
        <v>5.4022011119999984</v>
      </c>
      <c r="N666" s="5" t="s">
        <v>35</v>
      </c>
      <c r="O666" s="8" t="s">
        <v>19</v>
      </c>
    </row>
    <row r="667" spans="1:15" s="14" customFormat="1" x14ac:dyDescent="0.25">
      <c r="A667" s="13">
        <v>685</v>
      </c>
      <c r="B667" s="16">
        <v>685</v>
      </c>
      <c r="C667" s="13" t="s">
        <v>3498</v>
      </c>
      <c r="D667" s="6">
        <v>4999</v>
      </c>
      <c r="E667" s="13" t="s">
        <v>2931</v>
      </c>
      <c r="F667" s="13"/>
      <c r="G667" s="17">
        <v>7.9</v>
      </c>
      <c r="H667" s="16">
        <v>70</v>
      </c>
      <c r="I667" s="18">
        <v>3.04</v>
      </c>
      <c r="J667" s="13"/>
      <c r="K667" s="13"/>
      <c r="L667" s="17">
        <f>G667-J667</f>
        <v>7.9</v>
      </c>
      <c r="M667" s="18">
        <f>L667*(H667*H667)*0.7854/10000</f>
        <v>3.0402833999999999</v>
      </c>
      <c r="N667" s="5" t="s">
        <v>1007</v>
      </c>
      <c r="O667" s="8" t="s">
        <v>19</v>
      </c>
    </row>
    <row r="668" spans="1:15" s="14" customFormat="1" x14ac:dyDescent="0.25">
      <c r="A668" s="13">
        <v>686</v>
      </c>
      <c r="B668" s="16">
        <v>686</v>
      </c>
      <c r="C668" s="13" t="s">
        <v>3499</v>
      </c>
      <c r="D668" s="6" t="s">
        <v>1167</v>
      </c>
      <c r="E668" s="13" t="s">
        <v>2931</v>
      </c>
      <c r="F668" s="13"/>
      <c r="G668" s="17">
        <v>6.6</v>
      </c>
      <c r="H668" s="16">
        <v>69</v>
      </c>
      <c r="I668" s="18">
        <v>2.468</v>
      </c>
      <c r="J668" s="13"/>
      <c r="K668" s="13"/>
      <c r="L668" s="17">
        <f>G668-J668</f>
        <v>6.6</v>
      </c>
      <c r="M668" s="18">
        <f>L668*(H668*H668)*0.7854/10000</f>
        <v>2.4679310039999995</v>
      </c>
      <c r="N668" s="5"/>
      <c r="O668" s="8" t="s">
        <v>30</v>
      </c>
    </row>
    <row r="669" spans="1:15" s="14" customFormat="1" x14ac:dyDescent="0.25">
      <c r="A669" s="13">
        <v>687</v>
      </c>
      <c r="B669" s="16">
        <v>687</v>
      </c>
      <c r="C669" s="13" t="s">
        <v>3500</v>
      </c>
      <c r="D669" s="6" t="s">
        <v>1170</v>
      </c>
      <c r="E669" s="13" t="s">
        <v>2931</v>
      </c>
      <c r="F669" s="13"/>
      <c r="G669" s="17">
        <v>5.5</v>
      </c>
      <c r="H669" s="16">
        <v>82</v>
      </c>
      <c r="I669" s="18">
        <v>2.9049999999999998</v>
      </c>
      <c r="J669" s="13"/>
      <c r="K669" s="13"/>
      <c r="L669" s="17">
        <f>G669-J669</f>
        <v>5.5</v>
      </c>
      <c r="M669" s="18">
        <f>L669*(H669*H669)*0.7854/10000</f>
        <v>2.9045662799999996</v>
      </c>
      <c r="N669" s="5"/>
      <c r="O669" s="8" t="s">
        <v>19</v>
      </c>
    </row>
    <row r="670" spans="1:15" s="14" customFormat="1" x14ac:dyDescent="0.25">
      <c r="A670" s="13">
        <v>688</v>
      </c>
      <c r="B670" s="16">
        <v>688</v>
      </c>
      <c r="C670" s="13" t="s">
        <v>3501</v>
      </c>
      <c r="D670" s="6">
        <v>5000</v>
      </c>
      <c r="E670" s="13" t="s">
        <v>2931</v>
      </c>
      <c r="F670" s="13"/>
      <c r="G670" s="17">
        <v>13.1</v>
      </c>
      <c r="H670" s="16">
        <v>82</v>
      </c>
      <c r="I670" s="18">
        <v>6.9180000000000001</v>
      </c>
      <c r="J670" s="13"/>
      <c r="K670" s="13"/>
      <c r="L670" s="17">
        <f>G670-J670</f>
        <v>13.1</v>
      </c>
      <c r="M670" s="18">
        <f>L670*(H670*H670)*0.7854/10000</f>
        <v>6.9181487759999989</v>
      </c>
      <c r="N670" s="5"/>
      <c r="O670" s="8" t="s">
        <v>19</v>
      </c>
    </row>
    <row r="671" spans="1:15" s="14" customFormat="1" x14ac:dyDescent="0.25">
      <c r="A671" s="13">
        <v>689</v>
      </c>
      <c r="B671" s="16">
        <v>689</v>
      </c>
      <c r="C671" s="13" t="s">
        <v>3502</v>
      </c>
      <c r="D671" s="6">
        <v>1574</v>
      </c>
      <c r="E671" s="13" t="s">
        <v>2931</v>
      </c>
      <c r="F671" s="13"/>
      <c r="G671" s="17">
        <v>4.2</v>
      </c>
      <c r="H671" s="16">
        <v>66</v>
      </c>
      <c r="I671" s="18">
        <v>1.4370000000000001</v>
      </c>
      <c r="J671" s="13"/>
      <c r="K671" s="13"/>
      <c r="L671" s="17">
        <f>G671-J671</f>
        <v>4.2</v>
      </c>
      <c r="M671" s="18">
        <f>L671*(H671*H671)*0.7854/10000</f>
        <v>1.4369050080000001</v>
      </c>
      <c r="N671" s="5"/>
      <c r="O671" s="8" t="s">
        <v>30</v>
      </c>
    </row>
    <row r="672" spans="1:15" s="14" customFormat="1" x14ac:dyDescent="0.25">
      <c r="A672" s="13">
        <v>690</v>
      </c>
      <c r="B672" s="16">
        <v>690</v>
      </c>
      <c r="C672" s="13" t="s">
        <v>3503</v>
      </c>
      <c r="D672" s="6" t="s">
        <v>1177</v>
      </c>
      <c r="E672" s="13" t="s">
        <v>2931</v>
      </c>
      <c r="F672" s="13"/>
      <c r="G672" s="17">
        <v>11.1</v>
      </c>
      <c r="H672" s="16">
        <v>83</v>
      </c>
      <c r="I672" s="18">
        <v>6.0060000000000002</v>
      </c>
      <c r="J672" s="13"/>
      <c r="K672" s="13"/>
      <c r="L672" s="17">
        <f>G672-J672</f>
        <v>11.1</v>
      </c>
      <c r="M672" s="18">
        <f>L672*(H672*H672)*0.7854/10000</f>
        <v>6.0057888659999996</v>
      </c>
      <c r="N672" s="5" t="s">
        <v>1007</v>
      </c>
      <c r="O672" s="8" t="s">
        <v>19</v>
      </c>
    </row>
    <row r="673" spans="1:15" s="14" customFormat="1" x14ac:dyDescent="0.25">
      <c r="A673" s="13">
        <v>691</v>
      </c>
      <c r="B673" s="16">
        <v>691</v>
      </c>
      <c r="C673" s="13" t="s">
        <v>3504</v>
      </c>
      <c r="D673" s="6" t="s">
        <v>1180</v>
      </c>
      <c r="E673" s="13" t="s">
        <v>2931</v>
      </c>
      <c r="F673" s="13"/>
      <c r="G673" s="17">
        <v>7.3</v>
      </c>
      <c r="H673" s="16">
        <v>74</v>
      </c>
      <c r="I673" s="18">
        <v>3.14</v>
      </c>
      <c r="J673" s="13"/>
      <c r="K673" s="13"/>
      <c r="L673" s="17">
        <f>G673-J673</f>
        <v>7.3</v>
      </c>
      <c r="M673" s="18">
        <f>L673*(H673*H673)*0.7854/10000</f>
        <v>3.1396207919999997</v>
      </c>
      <c r="N673" s="5" t="s">
        <v>21</v>
      </c>
      <c r="O673" s="8" t="s">
        <v>19</v>
      </c>
    </row>
    <row r="674" spans="1:15" s="14" customFormat="1" x14ac:dyDescent="0.25">
      <c r="A674" s="13">
        <v>692</v>
      </c>
      <c r="B674" s="16">
        <v>692</v>
      </c>
      <c r="C674" s="13" t="s">
        <v>3505</v>
      </c>
      <c r="D674" s="6">
        <v>950</v>
      </c>
      <c r="E674" s="13" t="s">
        <v>2931</v>
      </c>
      <c r="F674" s="13"/>
      <c r="G674" s="17">
        <v>14</v>
      </c>
      <c r="H674" s="16">
        <v>89</v>
      </c>
      <c r="I674" s="18">
        <v>8.7100000000000009</v>
      </c>
      <c r="J674" s="13">
        <v>0.4</v>
      </c>
      <c r="K674" s="13"/>
      <c r="L674" s="17">
        <f>G674-J674</f>
        <v>13.6</v>
      </c>
      <c r="M674" s="18">
        <f>L674*(H674*H674)*0.7854/10000</f>
        <v>8.460768624</v>
      </c>
      <c r="N674" s="5"/>
      <c r="O674" s="8" t="s">
        <v>30</v>
      </c>
    </row>
    <row r="675" spans="1:15" s="14" customFormat="1" x14ac:dyDescent="0.25">
      <c r="A675" s="13">
        <v>693</v>
      </c>
      <c r="B675" s="16">
        <v>693</v>
      </c>
      <c r="C675" s="13" t="s">
        <v>3506</v>
      </c>
      <c r="D675" s="6" t="s">
        <v>1185</v>
      </c>
      <c r="E675" s="13" t="s">
        <v>2931</v>
      </c>
      <c r="F675" s="13"/>
      <c r="G675" s="17">
        <v>11.2</v>
      </c>
      <c r="H675" s="16">
        <v>120</v>
      </c>
      <c r="I675" s="18">
        <v>12.667</v>
      </c>
      <c r="J675" s="13"/>
      <c r="K675" s="13"/>
      <c r="L675" s="17">
        <f>G675-J675</f>
        <v>11.2</v>
      </c>
      <c r="M675" s="18">
        <f>L675*(H675*H675)*0.7854/10000</f>
        <v>12.666931199999999</v>
      </c>
      <c r="N675" s="5"/>
      <c r="O675" s="8" t="s">
        <v>19</v>
      </c>
    </row>
    <row r="676" spans="1:15" s="14" customFormat="1" x14ac:dyDescent="0.25">
      <c r="A676" s="13">
        <v>694</v>
      </c>
      <c r="B676" s="16">
        <v>694</v>
      </c>
      <c r="C676" s="13" t="s">
        <v>3507</v>
      </c>
      <c r="D676" s="6">
        <v>5191</v>
      </c>
      <c r="E676" s="13" t="s">
        <v>2931</v>
      </c>
      <c r="F676" s="13"/>
      <c r="G676" s="17">
        <v>9.5</v>
      </c>
      <c r="H676" s="16">
        <v>98</v>
      </c>
      <c r="I676" s="18">
        <v>7.1660000000000004</v>
      </c>
      <c r="J676" s="13">
        <v>0.3</v>
      </c>
      <c r="K676" s="13"/>
      <c r="L676" s="17">
        <f>G676-J676</f>
        <v>9.1999999999999993</v>
      </c>
      <c r="M676" s="18">
        <f>L676*(H676*H676)*0.7854/10000</f>
        <v>6.9395430719999993</v>
      </c>
      <c r="N676" s="5"/>
      <c r="O676" s="8" t="s">
        <v>19</v>
      </c>
    </row>
    <row r="677" spans="1:15" s="14" customFormat="1" x14ac:dyDescent="0.25">
      <c r="A677" s="13">
        <v>695</v>
      </c>
      <c r="B677" s="16">
        <v>695</v>
      </c>
      <c r="C677" s="13" t="s">
        <v>3508</v>
      </c>
      <c r="D677" s="6" t="s">
        <v>1190</v>
      </c>
      <c r="E677" s="13" t="s">
        <v>2931</v>
      </c>
      <c r="F677" s="13"/>
      <c r="G677" s="17">
        <v>11.6</v>
      </c>
      <c r="H677" s="16">
        <v>94</v>
      </c>
      <c r="I677" s="18">
        <v>8.0500000000000007</v>
      </c>
      <c r="J677" s="13"/>
      <c r="K677" s="13"/>
      <c r="L677" s="17">
        <f>G677-J677</f>
        <v>11.6</v>
      </c>
      <c r="M677" s="18">
        <f>L677*(H677*H677)*0.7854/10000</f>
        <v>8.0501615039999983</v>
      </c>
      <c r="N677" s="5"/>
      <c r="O677" s="8" t="s">
        <v>19</v>
      </c>
    </row>
    <row r="678" spans="1:15" s="14" customFormat="1" x14ac:dyDescent="0.25">
      <c r="A678" s="13">
        <v>696</v>
      </c>
      <c r="B678" s="16">
        <v>696</v>
      </c>
      <c r="C678" s="13" t="s">
        <v>3509</v>
      </c>
      <c r="D678" s="6">
        <v>5006</v>
      </c>
      <c r="E678" s="13" t="s">
        <v>2931</v>
      </c>
      <c r="F678" s="13"/>
      <c r="G678" s="17">
        <v>10.6</v>
      </c>
      <c r="H678" s="16">
        <v>60</v>
      </c>
      <c r="I678" s="18">
        <v>2.9969999999999999</v>
      </c>
      <c r="J678" s="13"/>
      <c r="K678" s="13"/>
      <c r="L678" s="17">
        <f>G678-J678</f>
        <v>10.6</v>
      </c>
      <c r="M678" s="18">
        <f>L678*(H678*H678)*0.7854/10000</f>
        <v>2.9970863999999997</v>
      </c>
      <c r="N678" s="5" t="s">
        <v>21</v>
      </c>
      <c r="O678" s="8" t="s">
        <v>19</v>
      </c>
    </row>
    <row r="679" spans="1:15" s="14" customFormat="1" x14ac:dyDescent="0.25">
      <c r="A679" s="13">
        <v>697</v>
      </c>
      <c r="B679" s="16">
        <v>697</v>
      </c>
      <c r="C679" s="13" t="s">
        <v>3510</v>
      </c>
      <c r="D679" s="6">
        <v>5192</v>
      </c>
      <c r="E679" s="13" t="s">
        <v>2931</v>
      </c>
      <c r="F679" s="13"/>
      <c r="G679" s="17">
        <v>13.5</v>
      </c>
      <c r="H679" s="16">
        <v>128</v>
      </c>
      <c r="I679" s="18">
        <v>17.372</v>
      </c>
      <c r="J679" s="13"/>
      <c r="K679" s="13"/>
      <c r="L679" s="17">
        <f>G679-J679</f>
        <v>13.5</v>
      </c>
      <c r="M679" s="18">
        <f>L679*(H679*H679)*0.7854/10000</f>
        <v>17.37179136</v>
      </c>
      <c r="N679" s="5" t="s">
        <v>21</v>
      </c>
      <c r="O679" s="8" t="s">
        <v>19</v>
      </c>
    </row>
    <row r="680" spans="1:15" s="14" customFormat="1" x14ac:dyDescent="0.25">
      <c r="A680" s="13">
        <v>698</v>
      </c>
      <c r="B680" s="16">
        <v>698</v>
      </c>
      <c r="C680" s="13" t="s">
        <v>3511</v>
      </c>
      <c r="D680" s="6">
        <v>865</v>
      </c>
      <c r="E680" s="13" t="s">
        <v>2931</v>
      </c>
      <c r="F680" s="13"/>
      <c r="G680" s="17">
        <v>11.8</v>
      </c>
      <c r="H680" s="16">
        <v>106</v>
      </c>
      <c r="I680" s="18">
        <v>10.413</v>
      </c>
      <c r="J680" s="13"/>
      <c r="K680" s="13"/>
      <c r="L680" s="17">
        <f>G680-J680</f>
        <v>11.8</v>
      </c>
      <c r="M680" s="18">
        <f>L680*(H680*H680)*0.7854/10000</f>
        <v>10.413210192000001</v>
      </c>
      <c r="N680" s="5"/>
      <c r="O680" s="8" t="s">
        <v>19</v>
      </c>
    </row>
    <row r="681" spans="1:15" s="14" customFormat="1" x14ac:dyDescent="0.25">
      <c r="A681" s="13">
        <v>699</v>
      </c>
      <c r="B681" s="16">
        <v>699</v>
      </c>
      <c r="C681" s="13" t="s">
        <v>3512</v>
      </c>
      <c r="D681" s="6">
        <v>5007</v>
      </c>
      <c r="E681" s="13" t="s">
        <v>2931</v>
      </c>
      <c r="F681" s="13"/>
      <c r="G681" s="17">
        <v>6.6</v>
      </c>
      <c r="H681" s="16">
        <v>136</v>
      </c>
      <c r="I681" s="18">
        <v>9.5879999999999992</v>
      </c>
      <c r="J681" s="13"/>
      <c r="K681" s="13"/>
      <c r="L681" s="17">
        <f>G681-J681</f>
        <v>6.6</v>
      </c>
      <c r="M681" s="18">
        <f>L681*(H681*H681)*0.7854/10000</f>
        <v>9.5876605439999985</v>
      </c>
      <c r="N681" s="5"/>
      <c r="O681" s="8" t="s">
        <v>19</v>
      </c>
    </row>
    <row r="682" spans="1:15" s="14" customFormat="1" x14ac:dyDescent="0.25">
      <c r="A682" s="13">
        <v>700</v>
      </c>
      <c r="B682" s="16">
        <v>700</v>
      </c>
      <c r="C682" s="13" t="s">
        <v>3513</v>
      </c>
      <c r="D682" s="6">
        <v>5193</v>
      </c>
      <c r="E682" s="13" t="s">
        <v>2931</v>
      </c>
      <c r="F682" s="13"/>
      <c r="G682" s="17">
        <v>13</v>
      </c>
      <c r="H682" s="16">
        <v>140</v>
      </c>
      <c r="I682" s="18">
        <v>20.012</v>
      </c>
      <c r="J682" s="13">
        <v>0.5</v>
      </c>
      <c r="K682" s="13"/>
      <c r="L682" s="17">
        <f>G682-J682</f>
        <v>12.5</v>
      </c>
      <c r="M682" s="18">
        <f>L682*(H682*H682)*0.7854/10000</f>
        <v>19.2423</v>
      </c>
      <c r="N682" s="5" t="s">
        <v>21</v>
      </c>
      <c r="O682" s="8" t="s">
        <v>19</v>
      </c>
    </row>
    <row r="683" spans="1:15" s="14" customFormat="1" x14ac:dyDescent="0.25">
      <c r="A683" s="13">
        <v>701</v>
      </c>
      <c r="B683" s="16">
        <v>701</v>
      </c>
      <c r="C683" s="13" t="s">
        <v>3514</v>
      </c>
      <c r="D683" s="6" t="s">
        <v>1203</v>
      </c>
      <c r="E683" s="13" t="s">
        <v>2931</v>
      </c>
      <c r="F683" s="13"/>
      <c r="G683" s="17">
        <v>9</v>
      </c>
      <c r="H683" s="16">
        <v>120</v>
      </c>
      <c r="I683" s="18">
        <v>10.179</v>
      </c>
      <c r="J683" s="13"/>
      <c r="K683" s="13"/>
      <c r="L683" s="17">
        <f>G683-J683</f>
        <v>9</v>
      </c>
      <c r="M683" s="18">
        <f>L683*(H683*H683)*0.7854/10000</f>
        <v>10.178784</v>
      </c>
      <c r="N683" s="5"/>
      <c r="O683" s="8" t="s">
        <v>30</v>
      </c>
    </row>
    <row r="684" spans="1:15" s="14" customFormat="1" x14ac:dyDescent="0.25">
      <c r="A684" s="13">
        <v>702</v>
      </c>
      <c r="B684" s="16">
        <v>702</v>
      </c>
      <c r="C684" s="13" t="s">
        <v>3515</v>
      </c>
      <c r="D684" s="6" t="s">
        <v>1206</v>
      </c>
      <c r="E684" s="13" t="s">
        <v>2931</v>
      </c>
      <c r="F684" s="13"/>
      <c r="G684" s="17">
        <v>11.3</v>
      </c>
      <c r="H684" s="16">
        <v>112</v>
      </c>
      <c r="I684" s="18">
        <v>11.132999999999999</v>
      </c>
      <c r="J684" s="13">
        <v>0.3</v>
      </c>
      <c r="K684" s="13"/>
      <c r="L684" s="17">
        <f>G684-J684</f>
        <v>11</v>
      </c>
      <c r="M684" s="18">
        <f>L684*(H684*H684)*0.7854/10000</f>
        <v>10.83726336</v>
      </c>
      <c r="N684" s="5" t="s">
        <v>1007</v>
      </c>
      <c r="O684" s="8" t="s">
        <v>19</v>
      </c>
    </row>
    <row r="685" spans="1:15" s="14" customFormat="1" x14ac:dyDescent="0.25">
      <c r="A685" s="13">
        <v>703</v>
      </c>
      <c r="B685" s="16">
        <v>703</v>
      </c>
      <c r="C685" s="13" t="s">
        <v>3516</v>
      </c>
      <c r="D685" s="6" t="s">
        <v>1209</v>
      </c>
      <c r="E685" s="13" t="s">
        <v>2931</v>
      </c>
      <c r="F685" s="13"/>
      <c r="G685" s="17">
        <v>7</v>
      </c>
      <c r="H685" s="16">
        <v>102</v>
      </c>
      <c r="I685" s="18">
        <v>5.72</v>
      </c>
      <c r="J685" s="13"/>
      <c r="K685" s="13"/>
      <c r="L685" s="17">
        <f>G685-J685</f>
        <v>7</v>
      </c>
      <c r="M685" s="18">
        <f>L685*(H685*H685)*0.7854/10000</f>
        <v>5.7199111199999999</v>
      </c>
      <c r="N685" s="5" t="s">
        <v>53</v>
      </c>
      <c r="O685" s="8" t="s">
        <v>19</v>
      </c>
    </row>
    <row r="686" spans="1:15" s="14" customFormat="1" x14ac:dyDescent="0.25">
      <c r="A686" s="13">
        <v>704</v>
      </c>
      <c r="B686" s="16">
        <v>704</v>
      </c>
      <c r="C686" s="13" t="s">
        <v>3517</v>
      </c>
      <c r="D686" s="6" t="s">
        <v>1212</v>
      </c>
      <c r="E686" s="13" t="s">
        <v>2931</v>
      </c>
      <c r="F686" s="13"/>
      <c r="G686" s="17">
        <v>13.3</v>
      </c>
      <c r="H686" s="16">
        <v>70</v>
      </c>
      <c r="I686" s="18">
        <v>5.1180000000000003</v>
      </c>
      <c r="J686" s="13"/>
      <c r="K686" s="13"/>
      <c r="L686" s="17">
        <f>G686-J686</f>
        <v>13.3</v>
      </c>
      <c r="M686" s="18">
        <f>L686*(H686*H686)*0.7854/10000</f>
        <v>5.1184517999999999</v>
      </c>
      <c r="N686" s="5"/>
      <c r="O686" s="8" t="s">
        <v>30</v>
      </c>
    </row>
    <row r="687" spans="1:15" s="14" customFormat="1" x14ac:dyDescent="0.25">
      <c r="A687" s="13">
        <v>705</v>
      </c>
      <c r="B687" s="16">
        <v>705</v>
      </c>
      <c r="C687" s="13" t="s">
        <v>3518</v>
      </c>
      <c r="D687" s="6" t="s">
        <v>1215</v>
      </c>
      <c r="E687" s="13" t="s">
        <v>2931</v>
      </c>
      <c r="F687" s="13"/>
      <c r="G687" s="17">
        <v>9.3000000000000007</v>
      </c>
      <c r="H687" s="16">
        <v>95</v>
      </c>
      <c r="I687" s="18">
        <v>6.5919999999999996</v>
      </c>
      <c r="J687" s="13"/>
      <c r="K687" s="13"/>
      <c r="L687" s="17">
        <f>G687-J687</f>
        <v>9.3000000000000007</v>
      </c>
      <c r="M687" s="18">
        <f>L687*(H687*H687)*0.7854/10000</f>
        <v>6.59205855</v>
      </c>
      <c r="N687" s="5" t="s">
        <v>1007</v>
      </c>
      <c r="O687" s="8" t="s">
        <v>19</v>
      </c>
    </row>
    <row r="688" spans="1:15" s="14" customFormat="1" x14ac:dyDescent="0.25">
      <c r="A688" s="13">
        <v>706</v>
      </c>
      <c r="B688" s="16">
        <v>706</v>
      </c>
      <c r="C688" s="13" t="s">
        <v>3519</v>
      </c>
      <c r="D688" s="6">
        <v>5009</v>
      </c>
      <c r="E688" s="13" t="s">
        <v>2931</v>
      </c>
      <c r="F688" s="13"/>
      <c r="G688" s="17">
        <v>8.4</v>
      </c>
      <c r="H688" s="16">
        <v>103</v>
      </c>
      <c r="I688" s="18">
        <v>6.9989999999999997</v>
      </c>
      <c r="J688" s="13">
        <v>0.4</v>
      </c>
      <c r="K688" s="13"/>
      <c r="L688" s="17">
        <f>G688-J688</f>
        <v>8</v>
      </c>
      <c r="M688" s="18">
        <f>L688*(H688*H688)*0.7854/10000</f>
        <v>6.6658468800000001</v>
      </c>
      <c r="N688" s="5"/>
      <c r="O688" s="8" t="s">
        <v>19</v>
      </c>
    </row>
    <row r="689" spans="1:15" s="14" customFormat="1" x14ac:dyDescent="0.25">
      <c r="A689" s="13">
        <v>707</v>
      </c>
      <c r="B689" s="16">
        <v>707</v>
      </c>
      <c r="C689" s="13" t="s">
        <v>3520</v>
      </c>
      <c r="D689" s="6" t="s">
        <v>1220</v>
      </c>
      <c r="E689" s="13" t="s">
        <v>2931</v>
      </c>
      <c r="F689" s="13"/>
      <c r="G689" s="17">
        <v>4.7</v>
      </c>
      <c r="H689" s="16">
        <v>66</v>
      </c>
      <c r="I689" s="18">
        <v>1.6080000000000001</v>
      </c>
      <c r="J689" s="13"/>
      <c r="K689" s="13"/>
      <c r="L689" s="17">
        <f>G689-J689</f>
        <v>4.7</v>
      </c>
      <c r="M689" s="18">
        <f>L689*(H689*H689)*0.7854/10000</f>
        <v>1.607965128</v>
      </c>
      <c r="N689" s="5" t="s">
        <v>53</v>
      </c>
      <c r="O689" s="8" t="s">
        <v>30</v>
      </c>
    </row>
    <row r="690" spans="1:15" s="14" customFormat="1" x14ac:dyDescent="0.25">
      <c r="A690" s="13">
        <v>708</v>
      </c>
      <c r="B690" s="16">
        <v>708</v>
      </c>
      <c r="C690" s="13" t="s">
        <v>3521</v>
      </c>
      <c r="D690" s="6" t="s">
        <v>1223</v>
      </c>
      <c r="E690" s="13" t="s">
        <v>2931</v>
      </c>
      <c r="F690" s="13"/>
      <c r="G690" s="17">
        <v>5.8</v>
      </c>
      <c r="H690" s="16">
        <v>93</v>
      </c>
      <c r="I690" s="18">
        <v>3.94</v>
      </c>
      <c r="J690" s="13"/>
      <c r="K690" s="13"/>
      <c r="L690" s="17">
        <f>G690-J690</f>
        <v>5.8</v>
      </c>
      <c r="M690" s="18">
        <f>L690*(H690*H690)*0.7854/10000</f>
        <v>3.9398962679999996</v>
      </c>
      <c r="N690" s="5" t="s">
        <v>1007</v>
      </c>
      <c r="O690" s="8" t="s">
        <v>19</v>
      </c>
    </row>
    <row r="691" spans="1:15" s="14" customFormat="1" x14ac:dyDescent="0.25">
      <c r="A691" s="13">
        <v>709</v>
      </c>
      <c r="B691" s="16">
        <v>709</v>
      </c>
      <c r="C691" s="13" t="s">
        <v>3522</v>
      </c>
      <c r="D691" s="6" t="s">
        <v>1226</v>
      </c>
      <c r="E691" s="13" t="s">
        <v>2931</v>
      </c>
      <c r="F691" s="13"/>
      <c r="G691" s="17">
        <v>10.5</v>
      </c>
      <c r="H691" s="16">
        <v>97</v>
      </c>
      <c r="I691" s="18">
        <v>7.7590000000000003</v>
      </c>
      <c r="J691" s="13"/>
      <c r="K691" s="13"/>
      <c r="L691" s="17">
        <f>G691-J691</f>
        <v>10.5</v>
      </c>
      <c r="M691" s="18">
        <f>L691*(H691*H691)*0.7854/10000</f>
        <v>7.7593200299999996</v>
      </c>
      <c r="N691" s="5"/>
      <c r="O691" s="8" t="s">
        <v>19</v>
      </c>
    </row>
    <row r="692" spans="1:15" s="14" customFormat="1" x14ac:dyDescent="0.25">
      <c r="A692" s="13">
        <v>710</v>
      </c>
      <c r="B692" s="16">
        <v>710</v>
      </c>
      <c r="C692" s="13" t="s">
        <v>3523</v>
      </c>
      <c r="D692" s="6">
        <v>4984</v>
      </c>
      <c r="E692" s="13" t="s">
        <v>2931</v>
      </c>
      <c r="F692" s="13"/>
      <c r="G692" s="17">
        <v>8.4</v>
      </c>
      <c r="H692" s="16">
        <v>86</v>
      </c>
      <c r="I692" s="18">
        <v>4.8789999999999996</v>
      </c>
      <c r="J692" s="13"/>
      <c r="K692" s="13"/>
      <c r="L692" s="17">
        <f>G692-J692</f>
        <v>8.4</v>
      </c>
      <c r="M692" s="18">
        <f>L692*(H692*H692)*0.7854/10000</f>
        <v>4.879407456</v>
      </c>
      <c r="N692" s="5"/>
      <c r="O692" s="8" t="s">
        <v>19</v>
      </c>
    </row>
    <row r="693" spans="1:15" s="14" customFormat="1" x14ac:dyDescent="0.25">
      <c r="A693" s="13">
        <v>711</v>
      </c>
      <c r="B693" s="16">
        <v>711</v>
      </c>
      <c r="C693" s="13" t="s">
        <v>3524</v>
      </c>
      <c r="D693" s="6" t="s">
        <v>1231</v>
      </c>
      <c r="E693" s="13" t="s">
        <v>2931</v>
      </c>
      <c r="F693" s="13"/>
      <c r="G693" s="17">
        <v>11</v>
      </c>
      <c r="H693" s="16">
        <v>91</v>
      </c>
      <c r="I693" s="18">
        <v>7.1539999999999999</v>
      </c>
      <c r="J693" s="13"/>
      <c r="K693" s="13"/>
      <c r="L693" s="17">
        <f>G693-J693</f>
        <v>11</v>
      </c>
      <c r="M693" s="18">
        <f>L693*(H693*H693)*0.7854/10000</f>
        <v>7.1542871400000001</v>
      </c>
      <c r="N693" s="5" t="s">
        <v>53</v>
      </c>
      <c r="O693" s="8" t="s">
        <v>19</v>
      </c>
    </row>
    <row r="694" spans="1:15" s="14" customFormat="1" x14ac:dyDescent="0.25">
      <c r="A694" s="13">
        <v>712</v>
      </c>
      <c r="B694" s="16">
        <v>712</v>
      </c>
      <c r="C694" s="13" t="s">
        <v>3525</v>
      </c>
      <c r="D694" s="6" t="s">
        <v>1234</v>
      </c>
      <c r="E694" s="13" t="s">
        <v>2931</v>
      </c>
      <c r="F694" s="13"/>
      <c r="G694" s="17">
        <v>7.5</v>
      </c>
      <c r="H694" s="16">
        <v>86</v>
      </c>
      <c r="I694" s="18">
        <v>4.3570000000000002</v>
      </c>
      <c r="J694" s="13"/>
      <c r="K694" s="13"/>
      <c r="L694" s="17">
        <f>G694-J694</f>
        <v>7.5</v>
      </c>
      <c r="M694" s="18">
        <f>L694*(H694*H694)*0.7854/10000</f>
        <v>4.3566137999999999</v>
      </c>
      <c r="N694" s="5"/>
      <c r="O694" s="8" t="s">
        <v>19</v>
      </c>
    </row>
    <row r="695" spans="1:15" s="14" customFormat="1" x14ac:dyDescent="0.25">
      <c r="A695" s="13">
        <v>713</v>
      </c>
      <c r="B695" s="16">
        <v>713</v>
      </c>
      <c r="C695" s="13" t="s">
        <v>3526</v>
      </c>
      <c r="D695" s="6" t="s">
        <v>1237</v>
      </c>
      <c r="E695" s="13" t="s">
        <v>2931</v>
      </c>
      <c r="F695" s="13"/>
      <c r="G695" s="17">
        <v>4.9000000000000004</v>
      </c>
      <c r="H695" s="16">
        <v>93</v>
      </c>
      <c r="I695" s="18">
        <v>3.3290000000000002</v>
      </c>
      <c r="J695" s="13"/>
      <c r="K695" s="13"/>
      <c r="L695" s="17">
        <f>G695-J695</f>
        <v>4.9000000000000004</v>
      </c>
      <c r="M695" s="18">
        <f>L695*(H695*H695)*0.7854/10000</f>
        <v>3.3285330540000002</v>
      </c>
      <c r="N695" s="5"/>
      <c r="O695" s="8" t="s">
        <v>19</v>
      </c>
    </row>
    <row r="696" spans="1:15" s="14" customFormat="1" x14ac:dyDescent="0.25">
      <c r="A696" s="13">
        <v>714</v>
      </c>
      <c r="B696" s="16">
        <v>714</v>
      </c>
      <c r="C696" s="13" t="s">
        <v>3527</v>
      </c>
      <c r="D696" s="6" t="s">
        <v>1240</v>
      </c>
      <c r="E696" s="13" t="s">
        <v>2931</v>
      </c>
      <c r="F696" s="13"/>
      <c r="G696" s="17">
        <v>12.1</v>
      </c>
      <c r="H696" s="16">
        <v>93</v>
      </c>
      <c r="I696" s="18">
        <v>8.2189999999999994</v>
      </c>
      <c r="J696" s="13"/>
      <c r="K696" s="13"/>
      <c r="L696" s="17">
        <f>G696-J696</f>
        <v>12.1</v>
      </c>
      <c r="M696" s="18">
        <f>L696*(H696*H696)*0.7854/10000</f>
        <v>8.2194387659999997</v>
      </c>
      <c r="N696" s="5" t="s">
        <v>53</v>
      </c>
      <c r="O696" s="8" t="s">
        <v>19</v>
      </c>
    </row>
    <row r="697" spans="1:15" s="14" customFormat="1" x14ac:dyDescent="0.25">
      <c r="A697" s="13">
        <v>715</v>
      </c>
      <c r="B697" s="16">
        <v>715</v>
      </c>
      <c r="C697" s="13" t="s">
        <v>3528</v>
      </c>
      <c r="D697" s="6" t="s">
        <v>1243</v>
      </c>
      <c r="E697" s="13" t="s">
        <v>2931</v>
      </c>
      <c r="F697" s="13"/>
      <c r="G697" s="17">
        <v>6.7</v>
      </c>
      <c r="H697" s="16">
        <v>88</v>
      </c>
      <c r="I697" s="18">
        <v>4.0750000000000002</v>
      </c>
      <c r="J697" s="13"/>
      <c r="K697" s="13"/>
      <c r="L697" s="17">
        <f>G697-J697</f>
        <v>6.7</v>
      </c>
      <c r="M697" s="18">
        <f>L697*(H697*H697)*0.7854/10000</f>
        <v>4.0750321920000001</v>
      </c>
      <c r="N697" s="5"/>
      <c r="O697" s="8" t="s">
        <v>19</v>
      </c>
    </row>
    <row r="698" spans="1:15" s="14" customFormat="1" x14ac:dyDescent="0.25">
      <c r="A698" s="13">
        <v>716</v>
      </c>
      <c r="B698" s="16">
        <v>716</v>
      </c>
      <c r="C698" s="13" t="s">
        <v>3529</v>
      </c>
      <c r="D698" s="6" t="s">
        <v>1246</v>
      </c>
      <c r="E698" s="13" t="s">
        <v>2931</v>
      </c>
      <c r="F698" s="13"/>
      <c r="G698" s="17">
        <v>6.1</v>
      </c>
      <c r="H698" s="16">
        <v>84</v>
      </c>
      <c r="I698" s="18">
        <v>3.38</v>
      </c>
      <c r="J698" s="13">
        <v>0.5</v>
      </c>
      <c r="K698" s="13"/>
      <c r="L698" s="17">
        <f>G698-J698</f>
        <v>5.6</v>
      </c>
      <c r="M698" s="18">
        <f>L698*(H698*H698)*0.7854/10000</f>
        <v>3.1033981439999998</v>
      </c>
      <c r="N698" s="5"/>
      <c r="O698" s="8" t="s">
        <v>30</v>
      </c>
    </row>
    <row r="699" spans="1:15" s="14" customFormat="1" x14ac:dyDescent="0.25">
      <c r="A699" s="13">
        <v>717</v>
      </c>
      <c r="B699" s="16">
        <v>717</v>
      </c>
      <c r="C699" s="13" t="s">
        <v>3530</v>
      </c>
      <c r="D699" s="6">
        <v>1583</v>
      </c>
      <c r="E699" s="13" t="s">
        <v>2931</v>
      </c>
      <c r="F699" s="13"/>
      <c r="G699" s="17">
        <v>8.4</v>
      </c>
      <c r="H699" s="16">
        <v>109</v>
      </c>
      <c r="I699" s="18">
        <v>7.8380000000000001</v>
      </c>
      <c r="J699" s="13"/>
      <c r="K699" s="13"/>
      <c r="L699" s="17">
        <f>G699-J699</f>
        <v>8.4</v>
      </c>
      <c r="M699" s="18">
        <f>L699*(H699*H699)*0.7854/10000</f>
        <v>7.8383234160000006</v>
      </c>
      <c r="N699" s="5"/>
      <c r="O699" s="8" t="s">
        <v>19</v>
      </c>
    </row>
    <row r="700" spans="1:15" s="14" customFormat="1" x14ac:dyDescent="0.25">
      <c r="A700" s="13">
        <v>718</v>
      </c>
      <c r="B700" s="16">
        <v>718</v>
      </c>
      <c r="C700" s="13" t="s">
        <v>3531</v>
      </c>
      <c r="D700" s="6" t="s">
        <v>1251</v>
      </c>
      <c r="E700" s="13" t="s">
        <v>2931</v>
      </c>
      <c r="F700" s="13"/>
      <c r="G700" s="17">
        <v>5.7</v>
      </c>
      <c r="H700" s="16">
        <v>98</v>
      </c>
      <c r="I700" s="18">
        <v>4.2990000000000004</v>
      </c>
      <c r="J700" s="13"/>
      <c r="K700" s="13"/>
      <c r="L700" s="17">
        <f>G700-J700</f>
        <v>5.7</v>
      </c>
      <c r="M700" s="18">
        <f>L700*(H700*H700)*0.7854/10000</f>
        <v>4.2994995119999997</v>
      </c>
      <c r="N700" s="5"/>
      <c r="O700" s="8" t="s">
        <v>19</v>
      </c>
    </row>
    <row r="701" spans="1:15" s="14" customFormat="1" x14ac:dyDescent="0.25">
      <c r="A701" s="13">
        <v>719</v>
      </c>
      <c r="B701" s="16">
        <v>719</v>
      </c>
      <c r="C701" s="13" t="s">
        <v>3532</v>
      </c>
      <c r="D701" s="6" t="s">
        <v>1254</v>
      </c>
      <c r="E701" s="13" t="s">
        <v>2931</v>
      </c>
      <c r="F701" s="13"/>
      <c r="G701" s="17">
        <v>11.1</v>
      </c>
      <c r="H701" s="16">
        <v>84</v>
      </c>
      <c r="I701" s="18">
        <v>6.1509999999999998</v>
      </c>
      <c r="J701" s="13"/>
      <c r="K701" s="13"/>
      <c r="L701" s="17">
        <f>G701-J701</f>
        <v>11.1</v>
      </c>
      <c r="M701" s="18">
        <f>L701*(H701*H701)*0.7854/10000</f>
        <v>6.1513784639999987</v>
      </c>
      <c r="N701" s="5"/>
      <c r="O701" s="8" t="s">
        <v>30</v>
      </c>
    </row>
    <row r="702" spans="1:15" s="14" customFormat="1" x14ac:dyDescent="0.25">
      <c r="A702" s="13">
        <v>720</v>
      </c>
      <c r="B702" s="16">
        <v>720</v>
      </c>
      <c r="C702" s="13" t="s">
        <v>3533</v>
      </c>
      <c r="D702" s="6" t="s">
        <v>1257</v>
      </c>
      <c r="E702" s="13" t="s">
        <v>2931</v>
      </c>
      <c r="F702" s="13"/>
      <c r="G702" s="17">
        <v>5.8</v>
      </c>
      <c r="H702" s="16">
        <v>94</v>
      </c>
      <c r="I702" s="18">
        <v>4.0250000000000004</v>
      </c>
      <c r="J702" s="13"/>
      <c r="K702" s="13"/>
      <c r="L702" s="17">
        <f>G702-J702</f>
        <v>5.8</v>
      </c>
      <c r="M702" s="18">
        <f>L702*(H702*H702)*0.7854/10000</f>
        <v>4.0250807519999992</v>
      </c>
      <c r="N702" s="5"/>
      <c r="O702" s="8" t="s">
        <v>19</v>
      </c>
    </row>
    <row r="703" spans="1:15" s="14" customFormat="1" x14ac:dyDescent="0.25">
      <c r="A703" s="13">
        <v>721</v>
      </c>
      <c r="B703" s="16">
        <v>721</v>
      </c>
      <c r="C703" s="13" t="s">
        <v>3534</v>
      </c>
      <c r="D703" s="6" t="s">
        <v>1260</v>
      </c>
      <c r="E703" s="13" t="s">
        <v>2931</v>
      </c>
      <c r="F703" s="13"/>
      <c r="G703" s="17">
        <v>11.3</v>
      </c>
      <c r="H703" s="16">
        <v>85</v>
      </c>
      <c r="I703" s="18">
        <v>6.4119999999999999</v>
      </c>
      <c r="J703" s="13"/>
      <c r="K703" s="13"/>
      <c r="L703" s="17">
        <f>G703-J703</f>
        <v>11.3</v>
      </c>
      <c r="M703" s="18">
        <f>L703*(H703*H703)*0.7854/10000</f>
        <v>6.41220195</v>
      </c>
      <c r="N703" s="5"/>
      <c r="O703" s="8" t="s">
        <v>19</v>
      </c>
    </row>
    <row r="704" spans="1:15" s="14" customFormat="1" x14ac:dyDescent="0.25">
      <c r="A704" s="13">
        <v>722</v>
      </c>
      <c r="B704" s="16">
        <v>722</v>
      </c>
      <c r="C704" s="13" t="s">
        <v>3535</v>
      </c>
      <c r="D704" s="6" t="s">
        <v>1263</v>
      </c>
      <c r="E704" s="13" t="s">
        <v>2931</v>
      </c>
      <c r="F704" s="13"/>
      <c r="G704" s="17">
        <v>10.199999999999999</v>
      </c>
      <c r="H704" s="16">
        <v>99</v>
      </c>
      <c r="I704" s="18">
        <v>7.8520000000000003</v>
      </c>
      <c r="J704" s="13"/>
      <c r="K704" s="13"/>
      <c r="L704" s="17">
        <f>G704-J704</f>
        <v>10.199999999999999</v>
      </c>
      <c r="M704" s="18">
        <f>L704*(H704*H704)*0.7854/10000</f>
        <v>7.851659508</v>
      </c>
      <c r="N704" s="5" t="s">
        <v>35</v>
      </c>
      <c r="O704" s="8" t="s">
        <v>30</v>
      </c>
    </row>
    <row r="705" spans="1:15" s="14" customFormat="1" x14ac:dyDescent="0.25">
      <c r="A705" s="13">
        <v>723</v>
      </c>
      <c r="B705" s="16">
        <v>723</v>
      </c>
      <c r="C705" s="13" t="s">
        <v>3536</v>
      </c>
      <c r="D705" s="6" t="s">
        <v>1266</v>
      </c>
      <c r="E705" s="13" t="s">
        <v>2931</v>
      </c>
      <c r="F705" s="13"/>
      <c r="G705" s="17">
        <v>6.9</v>
      </c>
      <c r="H705" s="16">
        <v>78</v>
      </c>
      <c r="I705" s="18">
        <v>3.2970000000000002</v>
      </c>
      <c r="J705" s="13"/>
      <c r="K705" s="13"/>
      <c r="L705" s="17">
        <f>G705-J705</f>
        <v>6.9</v>
      </c>
      <c r="M705" s="18">
        <f>L705*(H705*H705)*0.7854/10000</f>
        <v>3.2970777839999994</v>
      </c>
      <c r="N705" s="5" t="s">
        <v>35</v>
      </c>
      <c r="O705" s="8" t="s">
        <v>19</v>
      </c>
    </row>
    <row r="706" spans="1:15" s="14" customFormat="1" x14ac:dyDescent="0.25">
      <c r="A706" s="13">
        <v>724</v>
      </c>
      <c r="B706" s="16">
        <v>724</v>
      </c>
      <c r="C706" s="13" t="s">
        <v>3537</v>
      </c>
      <c r="D706" s="6">
        <v>882</v>
      </c>
      <c r="E706" s="13" t="s">
        <v>2931</v>
      </c>
      <c r="F706" s="13"/>
      <c r="G706" s="17">
        <v>11.2</v>
      </c>
      <c r="H706" s="16">
        <v>96</v>
      </c>
      <c r="I706" s="18">
        <v>8.1069999999999993</v>
      </c>
      <c r="J706" s="13">
        <v>0.4</v>
      </c>
      <c r="K706" s="13"/>
      <c r="L706" s="17">
        <f>G706-J706</f>
        <v>10.799999999999999</v>
      </c>
      <c r="M706" s="18">
        <f>L706*(H706*H706)*0.7854/10000</f>
        <v>7.817306111999998</v>
      </c>
      <c r="N706" s="5"/>
      <c r="O706" s="8" t="s">
        <v>19</v>
      </c>
    </row>
    <row r="707" spans="1:15" s="14" customFormat="1" x14ac:dyDescent="0.25">
      <c r="A707" s="13">
        <v>725</v>
      </c>
      <c r="B707" s="16">
        <v>725</v>
      </c>
      <c r="C707" s="13" t="s">
        <v>3538</v>
      </c>
      <c r="D707" s="6" t="s">
        <v>1271</v>
      </c>
      <c r="E707" s="13" t="s">
        <v>2931</v>
      </c>
      <c r="F707" s="13"/>
      <c r="G707" s="17">
        <v>8.1</v>
      </c>
      <c r="H707" s="16">
        <v>78</v>
      </c>
      <c r="I707" s="18">
        <v>3.87</v>
      </c>
      <c r="J707" s="13"/>
      <c r="K707" s="13"/>
      <c r="L707" s="17">
        <f>G707-J707</f>
        <v>8.1</v>
      </c>
      <c r="M707" s="18">
        <f>L707*(H707*H707)*0.7854/10000</f>
        <v>3.8704826159999999</v>
      </c>
      <c r="N707" s="5" t="s">
        <v>1007</v>
      </c>
      <c r="O707" s="8" t="s">
        <v>19</v>
      </c>
    </row>
    <row r="708" spans="1:15" s="14" customFormat="1" x14ac:dyDescent="0.25">
      <c r="A708" s="13">
        <v>726</v>
      </c>
      <c r="B708" s="16">
        <v>726</v>
      </c>
      <c r="C708" s="13" t="s">
        <v>3539</v>
      </c>
      <c r="D708" s="6" t="s">
        <v>1274</v>
      </c>
      <c r="E708" s="13" t="s">
        <v>2931</v>
      </c>
      <c r="F708" s="13"/>
      <c r="G708" s="17">
        <v>5.5</v>
      </c>
      <c r="H708" s="16">
        <v>90</v>
      </c>
      <c r="I708" s="18">
        <v>3.4990000000000001</v>
      </c>
      <c r="J708" s="13"/>
      <c r="K708" s="13"/>
      <c r="L708" s="17">
        <f>G708-J708</f>
        <v>5.5</v>
      </c>
      <c r="M708" s="18">
        <f>L708*(H708*H708)*0.7854/10000</f>
        <v>3.4989569999999999</v>
      </c>
      <c r="N708" s="5" t="s">
        <v>1007</v>
      </c>
      <c r="O708" s="8" t="s">
        <v>19</v>
      </c>
    </row>
    <row r="709" spans="1:15" s="14" customFormat="1" x14ac:dyDescent="0.25">
      <c r="A709" s="13">
        <v>727</v>
      </c>
      <c r="B709" s="16">
        <v>727</v>
      </c>
      <c r="C709" s="13" t="s">
        <v>3540</v>
      </c>
      <c r="D709" s="6" t="s">
        <v>1277</v>
      </c>
      <c r="E709" s="13" t="s">
        <v>2931</v>
      </c>
      <c r="F709" s="13"/>
      <c r="G709" s="17">
        <v>9.9</v>
      </c>
      <c r="H709" s="16">
        <v>93</v>
      </c>
      <c r="I709" s="18">
        <v>6.7249999999999996</v>
      </c>
      <c r="J709" s="13">
        <v>0.3</v>
      </c>
      <c r="K709" s="13"/>
      <c r="L709" s="17">
        <f>G709-J709</f>
        <v>9.6</v>
      </c>
      <c r="M709" s="18">
        <f>L709*(H709*H709)*0.7854/10000</f>
        <v>6.5212076159999999</v>
      </c>
      <c r="N709" s="5"/>
      <c r="O709" s="8" t="s">
        <v>19</v>
      </c>
    </row>
    <row r="710" spans="1:15" s="14" customFormat="1" x14ac:dyDescent="0.25">
      <c r="A710" s="13">
        <v>728</v>
      </c>
      <c r="B710" s="16">
        <v>728</v>
      </c>
      <c r="C710" s="13" t="s">
        <v>3541</v>
      </c>
      <c r="D710" s="6" t="s">
        <v>1280</v>
      </c>
      <c r="E710" s="13" t="s">
        <v>2931</v>
      </c>
      <c r="F710" s="13"/>
      <c r="G710" s="17">
        <v>11.5</v>
      </c>
      <c r="H710" s="16">
        <v>72</v>
      </c>
      <c r="I710" s="18">
        <v>4.6820000000000004</v>
      </c>
      <c r="J710" s="13"/>
      <c r="K710" s="13"/>
      <c r="L710" s="17">
        <f>G710-J710</f>
        <v>11.5</v>
      </c>
      <c r="M710" s="18">
        <f>L710*(H710*H710)*0.7854/10000</f>
        <v>4.6822406399999998</v>
      </c>
      <c r="N710" s="5"/>
      <c r="O710" s="8" t="s">
        <v>19</v>
      </c>
    </row>
    <row r="711" spans="1:15" s="14" customFormat="1" x14ac:dyDescent="0.25">
      <c r="A711" s="13">
        <v>729</v>
      </c>
      <c r="B711" s="16">
        <v>729</v>
      </c>
      <c r="C711" s="13" t="s">
        <v>3542</v>
      </c>
      <c r="D711" s="6" t="s">
        <v>1283</v>
      </c>
      <c r="E711" s="13" t="s">
        <v>2931</v>
      </c>
      <c r="F711" s="13"/>
      <c r="G711" s="17">
        <v>7.2</v>
      </c>
      <c r="H711" s="16">
        <v>96</v>
      </c>
      <c r="I711" s="18">
        <v>5.2119999999999997</v>
      </c>
      <c r="J711" s="13"/>
      <c r="K711" s="13"/>
      <c r="L711" s="17">
        <f>G711-J711</f>
        <v>7.2</v>
      </c>
      <c r="M711" s="18">
        <f>L711*(H711*H711)*0.7854/10000</f>
        <v>5.211537407999999</v>
      </c>
      <c r="N711" s="5"/>
      <c r="O711" s="8" t="s">
        <v>19</v>
      </c>
    </row>
    <row r="712" spans="1:15" s="14" customFormat="1" x14ac:dyDescent="0.25">
      <c r="A712" s="13">
        <v>730</v>
      </c>
      <c r="B712" s="16">
        <v>730</v>
      </c>
      <c r="C712" s="13" t="s">
        <v>3543</v>
      </c>
      <c r="D712" s="6">
        <v>5095</v>
      </c>
      <c r="E712" s="13" t="s">
        <v>2931</v>
      </c>
      <c r="F712" s="13"/>
      <c r="G712" s="17">
        <v>12.9</v>
      </c>
      <c r="H712" s="16">
        <v>61</v>
      </c>
      <c r="I712" s="18">
        <v>3.77</v>
      </c>
      <c r="J712" s="13"/>
      <c r="K712" s="13"/>
      <c r="L712" s="17">
        <f>G712-J712</f>
        <v>12.9</v>
      </c>
      <c r="M712" s="18">
        <f>L712*(H712*H712)*0.7854/10000</f>
        <v>3.7699906860000003</v>
      </c>
      <c r="N712" s="5"/>
      <c r="O712" s="8" t="s">
        <v>19</v>
      </c>
    </row>
    <row r="713" spans="1:15" s="14" customFormat="1" x14ac:dyDescent="0.25">
      <c r="A713" s="13">
        <v>731</v>
      </c>
      <c r="B713" s="16">
        <v>731</v>
      </c>
      <c r="C713" s="13" t="s">
        <v>3544</v>
      </c>
      <c r="D713" s="6">
        <v>5223</v>
      </c>
      <c r="E713" s="13" t="s">
        <v>2931</v>
      </c>
      <c r="F713" s="13"/>
      <c r="G713" s="17">
        <v>12.8</v>
      </c>
      <c r="H713" s="16">
        <v>110</v>
      </c>
      <c r="I713" s="18">
        <v>12.164</v>
      </c>
      <c r="J713" s="13"/>
      <c r="K713" s="13"/>
      <c r="L713" s="17">
        <f>G713-J713</f>
        <v>12.8</v>
      </c>
      <c r="M713" s="18">
        <f>L713*(H713*H713)*0.7854/10000</f>
        <v>12.164275199999999</v>
      </c>
      <c r="N713" s="5" t="s">
        <v>1007</v>
      </c>
      <c r="O713" s="8" t="s">
        <v>30</v>
      </c>
    </row>
    <row r="714" spans="1:15" s="14" customFormat="1" x14ac:dyDescent="0.25">
      <c r="A714" s="13">
        <v>732</v>
      </c>
      <c r="B714" s="16">
        <v>732</v>
      </c>
      <c r="C714" s="13" t="s">
        <v>3545</v>
      </c>
      <c r="D714" s="6" t="s">
        <v>1290</v>
      </c>
      <c r="E714" s="13" t="s">
        <v>2931</v>
      </c>
      <c r="F714" s="13"/>
      <c r="G714" s="17">
        <v>11.9</v>
      </c>
      <c r="H714" s="16">
        <v>96</v>
      </c>
      <c r="I714" s="18">
        <v>8.6129999999999995</v>
      </c>
      <c r="J714" s="13"/>
      <c r="K714" s="13"/>
      <c r="L714" s="17">
        <f>G714-J714</f>
        <v>11.9</v>
      </c>
      <c r="M714" s="18">
        <f>L714*(H714*H714)*0.7854/10000</f>
        <v>8.6135132160000012</v>
      </c>
      <c r="N714" s="5" t="s">
        <v>53</v>
      </c>
      <c r="O714" s="8" t="s">
        <v>19</v>
      </c>
    </row>
    <row r="715" spans="1:15" s="14" customFormat="1" x14ac:dyDescent="0.25">
      <c r="A715" s="13">
        <v>733</v>
      </c>
      <c r="B715" s="16">
        <v>733</v>
      </c>
      <c r="C715" s="13" t="s">
        <v>3546</v>
      </c>
      <c r="D715" s="6" t="s">
        <v>1293</v>
      </c>
      <c r="E715" s="13" t="s">
        <v>2931</v>
      </c>
      <c r="F715" s="13"/>
      <c r="G715" s="17">
        <v>10.3</v>
      </c>
      <c r="H715" s="16">
        <v>106</v>
      </c>
      <c r="I715" s="18">
        <v>9.0890000000000004</v>
      </c>
      <c r="J715" s="13"/>
      <c r="K715" s="13"/>
      <c r="L715" s="17">
        <f>G715-J715</f>
        <v>10.3</v>
      </c>
      <c r="M715" s="18">
        <f>L715*(H715*H715)*0.7854/10000</f>
        <v>9.0894970320000006</v>
      </c>
      <c r="N715" s="5" t="s">
        <v>35</v>
      </c>
      <c r="O715" s="8" t="s">
        <v>19</v>
      </c>
    </row>
    <row r="716" spans="1:15" s="14" customFormat="1" x14ac:dyDescent="0.25">
      <c r="A716" s="13">
        <v>734</v>
      </c>
      <c r="B716" s="16">
        <v>734</v>
      </c>
      <c r="C716" s="13" t="s">
        <v>3547</v>
      </c>
      <c r="D716" s="6" t="s">
        <v>1296</v>
      </c>
      <c r="E716" s="13" t="s">
        <v>2931</v>
      </c>
      <c r="F716" s="13"/>
      <c r="G716" s="17">
        <v>11.2</v>
      </c>
      <c r="H716" s="16">
        <v>98</v>
      </c>
      <c r="I716" s="18">
        <v>8.4480000000000004</v>
      </c>
      <c r="J716" s="13">
        <v>0.3</v>
      </c>
      <c r="K716" s="13"/>
      <c r="L716" s="17">
        <f>G716-J716</f>
        <v>10.899999999999999</v>
      </c>
      <c r="M716" s="18">
        <f>L716*(H716*H716)*0.7854/10000</f>
        <v>8.2218499439999988</v>
      </c>
      <c r="N716" s="5"/>
      <c r="O716" s="8" t="s">
        <v>30</v>
      </c>
    </row>
    <row r="717" spans="1:15" s="14" customFormat="1" x14ac:dyDescent="0.25">
      <c r="A717" s="13">
        <v>735</v>
      </c>
      <c r="B717" s="16">
        <v>735</v>
      </c>
      <c r="C717" s="13" t="s">
        <v>3548</v>
      </c>
      <c r="D717" s="6" t="s">
        <v>1299</v>
      </c>
      <c r="E717" s="13" t="s">
        <v>2931</v>
      </c>
      <c r="F717" s="13"/>
      <c r="G717" s="17">
        <v>4.8</v>
      </c>
      <c r="H717" s="16">
        <v>101</v>
      </c>
      <c r="I717" s="18">
        <v>3.8460000000000001</v>
      </c>
      <c r="J717" s="13"/>
      <c r="K717" s="13"/>
      <c r="L717" s="17">
        <f>G717-J717</f>
        <v>4.8</v>
      </c>
      <c r="M717" s="18">
        <f>L717*(H717*H717)*0.7854/10000</f>
        <v>3.8456953919999992</v>
      </c>
      <c r="N717" s="5"/>
      <c r="O717" s="8" t="s">
        <v>19</v>
      </c>
    </row>
    <row r="718" spans="1:15" s="14" customFormat="1" x14ac:dyDescent="0.25">
      <c r="A718" s="13">
        <v>737</v>
      </c>
      <c r="B718" s="16">
        <v>737</v>
      </c>
      <c r="C718" s="13" t="s">
        <v>3549</v>
      </c>
      <c r="D718" s="6" t="s">
        <v>1302</v>
      </c>
      <c r="E718" s="13" t="s">
        <v>2931</v>
      </c>
      <c r="F718" s="13"/>
      <c r="G718" s="17">
        <v>11.1</v>
      </c>
      <c r="H718" s="16">
        <v>83</v>
      </c>
      <c r="I718" s="18">
        <v>6.0060000000000002</v>
      </c>
      <c r="J718" s="13"/>
      <c r="K718" s="13"/>
      <c r="L718" s="17">
        <f>G718-J718</f>
        <v>11.1</v>
      </c>
      <c r="M718" s="18">
        <f>L718*(H718*H718)*0.7854/10000</f>
        <v>6.0057888659999996</v>
      </c>
      <c r="N718" s="5" t="s">
        <v>53</v>
      </c>
      <c r="O718" s="8" t="s">
        <v>19</v>
      </c>
    </row>
    <row r="719" spans="1:15" s="14" customFormat="1" x14ac:dyDescent="0.25">
      <c r="A719" s="13">
        <v>738</v>
      </c>
      <c r="B719" s="16">
        <v>738</v>
      </c>
      <c r="C719" s="13" t="s">
        <v>3550</v>
      </c>
      <c r="D719" s="6" t="s">
        <v>1305</v>
      </c>
      <c r="E719" s="13" t="s">
        <v>2931</v>
      </c>
      <c r="F719" s="13"/>
      <c r="G719" s="17">
        <v>10.8</v>
      </c>
      <c r="H719" s="16">
        <v>82</v>
      </c>
      <c r="I719" s="18">
        <v>5.7030000000000003</v>
      </c>
      <c r="J719" s="13"/>
      <c r="K719" s="13"/>
      <c r="L719" s="17">
        <f>G719-J719</f>
        <v>10.8</v>
      </c>
      <c r="M719" s="18">
        <f>L719*(H719*H719)*0.7854/10000</f>
        <v>5.7035119680000008</v>
      </c>
      <c r="N719" s="5" t="s">
        <v>1007</v>
      </c>
      <c r="O719" s="8" t="s">
        <v>30</v>
      </c>
    </row>
    <row r="720" spans="1:15" s="14" customFormat="1" x14ac:dyDescent="0.25">
      <c r="A720" s="13">
        <v>739</v>
      </c>
      <c r="B720" s="16">
        <v>739</v>
      </c>
      <c r="C720" s="13" t="s">
        <v>3551</v>
      </c>
      <c r="D720" s="6" t="s">
        <v>1308</v>
      </c>
      <c r="E720" s="13" t="s">
        <v>2931</v>
      </c>
      <c r="F720" s="13"/>
      <c r="G720" s="17">
        <v>11.2</v>
      </c>
      <c r="H720" s="16">
        <v>81</v>
      </c>
      <c r="I720" s="18">
        <v>5.7709999999999999</v>
      </c>
      <c r="J720" s="13"/>
      <c r="K720" s="13"/>
      <c r="L720" s="17">
        <f>G720-J720</f>
        <v>11.2</v>
      </c>
      <c r="M720" s="18">
        <f>L720*(H720*H720)*0.7854/10000</f>
        <v>5.7713705279999994</v>
      </c>
      <c r="N720" s="5"/>
      <c r="O720" s="8" t="s">
        <v>19</v>
      </c>
    </row>
    <row r="721" spans="1:15" s="14" customFormat="1" x14ac:dyDescent="0.25">
      <c r="A721" s="13">
        <v>740</v>
      </c>
      <c r="B721" s="16">
        <v>740</v>
      </c>
      <c r="C721" s="13" t="s">
        <v>3552</v>
      </c>
      <c r="D721" s="6" t="s">
        <v>1311</v>
      </c>
      <c r="E721" s="13" t="s">
        <v>2931</v>
      </c>
      <c r="F721" s="13"/>
      <c r="G721" s="17">
        <v>6.7</v>
      </c>
      <c r="H721" s="16">
        <v>76</v>
      </c>
      <c r="I721" s="18">
        <v>3.0390000000000001</v>
      </c>
      <c r="J721" s="13"/>
      <c r="K721" s="13"/>
      <c r="L721" s="17">
        <f>G721-J721</f>
        <v>6.7</v>
      </c>
      <c r="M721" s="18">
        <f>L721*(H721*H721)*0.7854/10000</f>
        <v>3.0394351680000002</v>
      </c>
      <c r="N721" s="5"/>
      <c r="O721" s="8" t="s">
        <v>19</v>
      </c>
    </row>
    <row r="722" spans="1:15" s="14" customFormat="1" x14ac:dyDescent="0.25">
      <c r="A722" s="13">
        <v>741</v>
      </c>
      <c r="B722" s="16">
        <v>741</v>
      </c>
      <c r="C722" s="13" t="s">
        <v>3553</v>
      </c>
      <c r="D722" s="6" t="s">
        <v>1314</v>
      </c>
      <c r="E722" s="13" t="s">
        <v>2931</v>
      </c>
      <c r="F722" s="13"/>
      <c r="G722" s="17">
        <v>11.4</v>
      </c>
      <c r="H722" s="16">
        <v>91</v>
      </c>
      <c r="I722" s="18">
        <v>7.4139999999999997</v>
      </c>
      <c r="J722" s="13"/>
      <c r="K722" s="13"/>
      <c r="L722" s="17">
        <f>G722-J722</f>
        <v>11.4</v>
      </c>
      <c r="M722" s="18">
        <f>L722*(H722*H722)*0.7854/10000</f>
        <v>7.4144430359999998</v>
      </c>
      <c r="N722" s="5" t="s">
        <v>53</v>
      </c>
      <c r="O722" s="8" t="s">
        <v>19</v>
      </c>
    </row>
    <row r="723" spans="1:15" s="14" customFormat="1" x14ac:dyDescent="0.25">
      <c r="A723" s="13">
        <v>742</v>
      </c>
      <c r="B723" s="16">
        <v>742</v>
      </c>
      <c r="C723" s="13" t="s">
        <v>3554</v>
      </c>
      <c r="D723" s="6" t="s">
        <v>1317</v>
      </c>
      <c r="E723" s="13" t="s">
        <v>2931</v>
      </c>
      <c r="F723" s="13"/>
      <c r="G723" s="17">
        <v>12.4</v>
      </c>
      <c r="H723" s="16">
        <v>78</v>
      </c>
      <c r="I723" s="18">
        <v>5.9249999999999998</v>
      </c>
      <c r="J723" s="13"/>
      <c r="K723" s="13"/>
      <c r="L723" s="17">
        <f>G723-J723</f>
        <v>12.4</v>
      </c>
      <c r="M723" s="18">
        <f>L723*(H723*H723)*0.7854/10000</f>
        <v>5.9251832640000002</v>
      </c>
      <c r="N723" s="5" t="s">
        <v>53</v>
      </c>
      <c r="O723" s="8" t="s">
        <v>19</v>
      </c>
    </row>
    <row r="724" spans="1:15" s="14" customFormat="1" x14ac:dyDescent="0.25">
      <c r="A724" s="13">
        <v>743</v>
      </c>
      <c r="B724" s="16">
        <v>743</v>
      </c>
      <c r="C724" s="13" t="s">
        <v>3555</v>
      </c>
      <c r="D724" s="6" t="s">
        <v>1320</v>
      </c>
      <c r="E724" s="13" t="s">
        <v>2931</v>
      </c>
      <c r="F724" s="13"/>
      <c r="G724" s="17">
        <v>4.8</v>
      </c>
      <c r="H724" s="16">
        <v>75</v>
      </c>
      <c r="I724" s="18">
        <v>2.121</v>
      </c>
      <c r="J724" s="13"/>
      <c r="K724" s="13"/>
      <c r="L724" s="17">
        <f>G724-J724</f>
        <v>4.8</v>
      </c>
      <c r="M724" s="18">
        <f>L724*(H724*H724)*0.7854/10000</f>
        <v>2.1205799999999999</v>
      </c>
      <c r="N724" s="5"/>
      <c r="O724" s="8" t="s">
        <v>19</v>
      </c>
    </row>
    <row r="725" spans="1:15" s="14" customFormat="1" x14ac:dyDescent="0.25">
      <c r="A725" s="13">
        <v>744</v>
      </c>
      <c r="B725" s="16">
        <v>744</v>
      </c>
      <c r="C725" s="13" t="s">
        <v>3556</v>
      </c>
      <c r="D725" s="6" t="s">
        <v>1323</v>
      </c>
      <c r="E725" s="13" t="s">
        <v>2931</v>
      </c>
      <c r="F725" s="13"/>
      <c r="G725" s="17">
        <v>8</v>
      </c>
      <c r="H725" s="16">
        <v>81</v>
      </c>
      <c r="I725" s="18">
        <v>4.1219999999999999</v>
      </c>
      <c r="J725" s="13"/>
      <c r="K725" s="13"/>
      <c r="L725" s="17">
        <f>G725-J725</f>
        <v>8</v>
      </c>
      <c r="M725" s="18">
        <f>L725*(H725*H725)*0.7854/10000</f>
        <v>4.1224075200000003</v>
      </c>
      <c r="N725" s="5"/>
      <c r="O725" s="8" t="s">
        <v>19</v>
      </c>
    </row>
    <row r="726" spans="1:15" s="14" customFormat="1" x14ac:dyDescent="0.25">
      <c r="A726" s="13">
        <v>745</v>
      </c>
      <c r="B726" s="16">
        <v>745</v>
      </c>
      <c r="C726" s="13" t="s">
        <v>3557</v>
      </c>
      <c r="D726" s="6" t="s">
        <v>1326</v>
      </c>
      <c r="E726" s="13" t="s">
        <v>2931</v>
      </c>
      <c r="F726" s="13"/>
      <c r="G726" s="17">
        <v>13.8</v>
      </c>
      <c r="H726" s="16">
        <v>131</v>
      </c>
      <c r="I726" s="18">
        <v>18.600000000000001</v>
      </c>
      <c r="J726" s="13"/>
      <c r="K726" s="13"/>
      <c r="L726" s="17">
        <f>G726-J726</f>
        <v>13.8</v>
      </c>
      <c r="M726" s="18">
        <f>L726*(H726*H726)*0.7854/10000</f>
        <v>18.599984171999999</v>
      </c>
      <c r="N726" s="5"/>
      <c r="O726" s="8" t="s">
        <v>19</v>
      </c>
    </row>
    <row r="727" spans="1:15" s="14" customFormat="1" x14ac:dyDescent="0.25">
      <c r="A727" s="13">
        <v>746</v>
      </c>
      <c r="B727" s="16">
        <v>746</v>
      </c>
      <c r="C727" s="13" t="s">
        <v>3558</v>
      </c>
      <c r="D727" s="6" t="s">
        <v>1329</v>
      </c>
      <c r="E727" s="13" t="s">
        <v>2931</v>
      </c>
      <c r="F727" s="13"/>
      <c r="G727" s="17">
        <v>6.8</v>
      </c>
      <c r="H727" s="16">
        <v>90</v>
      </c>
      <c r="I727" s="18">
        <v>4.3259999999999996</v>
      </c>
      <c r="J727" s="13"/>
      <c r="K727" s="13"/>
      <c r="L727" s="17">
        <f>G727-J727</f>
        <v>6.8</v>
      </c>
      <c r="M727" s="18">
        <f>L727*(H727*H727)*0.7854/10000</f>
        <v>4.3259832000000005</v>
      </c>
      <c r="N727" s="5"/>
      <c r="O727" s="8" t="s">
        <v>19</v>
      </c>
    </row>
    <row r="728" spans="1:15" s="14" customFormat="1" x14ac:dyDescent="0.25">
      <c r="A728" s="13">
        <v>747</v>
      </c>
      <c r="B728" s="16">
        <v>747</v>
      </c>
      <c r="C728" s="13" t="s">
        <v>3559</v>
      </c>
      <c r="D728" s="6" t="s">
        <v>1332</v>
      </c>
      <c r="E728" s="13" t="s">
        <v>2931</v>
      </c>
      <c r="F728" s="13"/>
      <c r="G728" s="17">
        <v>4.3</v>
      </c>
      <c r="H728" s="16">
        <v>64</v>
      </c>
      <c r="I728" s="18">
        <v>1.383</v>
      </c>
      <c r="J728" s="13"/>
      <c r="K728" s="13"/>
      <c r="L728" s="17">
        <f>G728-J728</f>
        <v>4.3</v>
      </c>
      <c r="M728" s="18">
        <f>L728*(H728*H728)*0.7854/10000</f>
        <v>1.383309312</v>
      </c>
      <c r="N728" s="5"/>
      <c r="O728" s="8" t="s">
        <v>30</v>
      </c>
    </row>
    <row r="729" spans="1:15" s="14" customFormat="1" x14ac:dyDescent="0.25">
      <c r="A729" s="13">
        <v>748</v>
      </c>
      <c r="B729" s="16">
        <v>748</v>
      </c>
      <c r="C729" s="13" t="s">
        <v>3560</v>
      </c>
      <c r="D729" s="6" t="s">
        <v>1335</v>
      </c>
      <c r="E729" s="13" t="s">
        <v>2931</v>
      </c>
      <c r="F729" s="13"/>
      <c r="G729" s="17">
        <v>11</v>
      </c>
      <c r="H729" s="16">
        <v>94</v>
      </c>
      <c r="I729" s="18">
        <v>7.6340000000000003</v>
      </c>
      <c r="J729" s="13"/>
      <c r="K729" s="13"/>
      <c r="L729" s="17">
        <f>G729-J729</f>
        <v>11</v>
      </c>
      <c r="M729" s="18">
        <f>L729*(H729*H729)*0.7854/10000</f>
        <v>7.6337738399999999</v>
      </c>
      <c r="N729" s="5"/>
      <c r="O729" s="8" t="s">
        <v>19</v>
      </c>
    </row>
    <row r="730" spans="1:15" s="14" customFormat="1" x14ac:dyDescent="0.25">
      <c r="A730" s="13">
        <v>749</v>
      </c>
      <c r="B730" s="16">
        <v>749</v>
      </c>
      <c r="C730" s="13" t="s">
        <v>3561</v>
      </c>
      <c r="D730" s="6">
        <v>1590</v>
      </c>
      <c r="E730" s="13" t="s">
        <v>2931</v>
      </c>
      <c r="F730" s="13"/>
      <c r="G730" s="17">
        <v>9.3000000000000007</v>
      </c>
      <c r="H730" s="16">
        <v>105</v>
      </c>
      <c r="I730" s="18">
        <v>8.0530000000000008</v>
      </c>
      <c r="J730" s="13"/>
      <c r="K730" s="13"/>
      <c r="L730" s="17">
        <f>G730-J730</f>
        <v>9.3000000000000007</v>
      </c>
      <c r="M730" s="18">
        <f>L730*(H730*H730)*0.7854/10000</f>
        <v>8.0529025500000007</v>
      </c>
      <c r="N730" s="5"/>
      <c r="O730" s="8" t="s">
        <v>19</v>
      </c>
    </row>
    <row r="731" spans="1:15" s="14" customFormat="1" x14ac:dyDescent="0.25">
      <c r="A731" s="13">
        <v>750</v>
      </c>
      <c r="B731" s="16">
        <v>750</v>
      </c>
      <c r="C731" s="13" t="s">
        <v>3562</v>
      </c>
      <c r="D731" s="6" t="s">
        <v>1340</v>
      </c>
      <c r="E731" s="13" t="s">
        <v>2931</v>
      </c>
      <c r="F731" s="13"/>
      <c r="G731" s="17">
        <v>6.8</v>
      </c>
      <c r="H731" s="16">
        <v>91</v>
      </c>
      <c r="I731" s="18">
        <v>4.423</v>
      </c>
      <c r="J731" s="13"/>
      <c r="K731" s="13"/>
      <c r="L731" s="17">
        <f>G731-J731</f>
        <v>6.8</v>
      </c>
      <c r="M731" s="18">
        <f>L731*(H731*H731)*0.7854/10000</f>
        <v>4.4226502319999996</v>
      </c>
      <c r="N731" s="5"/>
      <c r="O731" s="8" t="s">
        <v>30</v>
      </c>
    </row>
    <row r="732" spans="1:15" s="14" customFormat="1" x14ac:dyDescent="0.25">
      <c r="A732" s="13">
        <v>751</v>
      </c>
      <c r="B732" s="16">
        <v>751</v>
      </c>
      <c r="C732" s="13" t="s">
        <v>3563</v>
      </c>
      <c r="D732" s="6" t="s">
        <v>1343</v>
      </c>
      <c r="E732" s="13" t="s">
        <v>2931</v>
      </c>
      <c r="F732" s="13"/>
      <c r="G732" s="17">
        <v>11.5</v>
      </c>
      <c r="H732" s="16">
        <v>127</v>
      </c>
      <c r="I732" s="18">
        <v>14.568</v>
      </c>
      <c r="J732" s="13"/>
      <c r="K732" s="13"/>
      <c r="L732" s="17">
        <f>G732-J732</f>
        <v>11.5</v>
      </c>
      <c r="M732" s="18">
        <f>L732*(H732*H732)*0.7854/10000</f>
        <v>14.56787409</v>
      </c>
      <c r="N732" s="5"/>
      <c r="O732" s="8" t="s">
        <v>19</v>
      </c>
    </row>
    <row r="733" spans="1:15" s="14" customFormat="1" x14ac:dyDescent="0.25">
      <c r="A733" s="13">
        <v>752</v>
      </c>
      <c r="B733" s="16">
        <v>752</v>
      </c>
      <c r="C733" s="13" t="s">
        <v>3564</v>
      </c>
      <c r="D733" s="6" t="s">
        <v>1346</v>
      </c>
      <c r="E733" s="13" t="s">
        <v>2931</v>
      </c>
      <c r="F733" s="13"/>
      <c r="G733" s="17">
        <v>7.1</v>
      </c>
      <c r="H733" s="16">
        <v>77</v>
      </c>
      <c r="I733" s="18">
        <v>3.306</v>
      </c>
      <c r="J733" s="13"/>
      <c r="K733" s="13"/>
      <c r="L733" s="17">
        <f>G733-J733</f>
        <v>7.1</v>
      </c>
      <c r="M733" s="18">
        <f>L733*(H733*H733)*0.7854/10000</f>
        <v>3.3062119860000001</v>
      </c>
      <c r="N733" s="5" t="s">
        <v>21</v>
      </c>
      <c r="O733" s="8" t="s">
        <v>19</v>
      </c>
    </row>
    <row r="734" spans="1:15" s="14" customFormat="1" x14ac:dyDescent="0.25">
      <c r="A734" s="13">
        <v>753</v>
      </c>
      <c r="B734" s="16">
        <v>753</v>
      </c>
      <c r="C734" s="13" t="s">
        <v>3565</v>
      </c>
      <c r="D734" s="6">
        <v>5194</v>
      </c>
      <c r="E734" s="13" t="s">
        <v>2931</v>
      </c>
      <c r="F734" s="13"/>
      <c r="G734" s="17">
        <v>9</v>
      </c>
      <c r="H734" s="16">
        <v>57</v>
      </c>
      <c r="I734" s="18">
        <v>2.2970000000000002</v>
      </c>
      <c r="J734" s="13">
        <v>0.3</v>
      </c>
      <c r="K734" s="13"/>
      <c r="L734" s="17">
        <f>G734-J734</f>
        <v>8.6999999999999993</v>
      </c>
      <c r="M734" s="18">
        <f>L734*(H734*H734)*0.7854/10000</f>
        <v>2.220035202</v>
      </c>
      <c r="N734" s="5"/>
      <c r="O734" s="8" t="s">
        <v>30</v>
      </c>
    </row>
    <row r="735" spans="1:15" s="14" customFormat="1" x14ac:dyDescent="0.25">
      <c r="A735" s="13">
        <v>754</v>
      </c>
      <c r="B735" s="16">
        <v>754</v>
      </c>
      <c r="C735" s="13" t="s">
        <v>3566</v>
      </c>
      <c r="D735" s="6" t="s">
        <v>1351</v>
      </c>
      <c r="E735" s="13" t="s">
        <v>2931</v>
      </c>
      <c r="F735" s="13"/>
      <c r="G735" s="17">
        <v>6.8</v>
      </c>
      <c r="H735" s="16">
        <v>120</v>
      </c>
      <c r="I735" s="18">
        <v>7.6909999999999998</v>
      </c>
      <c r="J735" s="13"/>
      <c r="K735" s="13"/>
      <c r="L735" s="17">
        <f>G735-J735</f>
        <v>6.8</v>
      </c>
      <c r="M735" s="18">
        <f>L735*(H735*H735)*0.7854/10000</f>
        <v>7.6906368000000001</v>
      </c>
      <c r="N735" s="5"/>
      <c r="O735" s="8" t="s">
        <v>19</v>
      </c>
    </row>
    <row r="736" spans="1:15" s="14" customFormat="1" x14ac:dyDescent="0.25">
      <c r="A736" s="13">
        <v>755</v>
      </c>
      <c r="B736" s="16">
        <v>755</v>
      </c>
      <c r="C736" s="13" t="s">
        <v>3567</v>
      </c>
      <c r="D736" s="6" t="s">
        <v>1354</v>
      </c>
      <c r="E736" s="13" t="s">
        <v>2931</v>
      </c>
      <c r="F736" s="13"/>
      <c r="G736" s="17">
        <v>12.9</v>
      </c>
      <c r="H736" s="16">
        <v>62</v>
      </c>
      <c r="I736" s="18">
        <v>3.895</v>
      </c>
      <c r="J736" s="13"/>
      <c r="K736" s="13"/>
      <c r="L736" s="17">
        <f>G736-J736</f>
        <v>12.9</v>
      </c>
      <c r="M736" s="18">
        <f>L736*(H736*H736)*0.7854/10000</f>
        <v>3.8946101040000003</v>
      </c>
      <c r="N736" s="5"/>
      <c r="O736" s="8" t="s">
        <v>19</v>
      </c>
    </row>
    <row r="737" spans="1:15" s="14" customFormat="1" x14ac:dyDescent="0.25">
      <c r="A737" s="13">
        <v>756</v>
      </c>
      <c r="B737" s="16">
        <v>756</v>
      </c>
      <c r="C737" s="13" t="s">
        <v>3568</v>
      </c>
      <c r="D737" s="6">
        <v>4965</v>
      </c>
      <c r="E737" s="13" t="s">
        <v>2931</v>
      </c>
      <c r="F737" s="13"/>
      <c r="G737" s="17">
        <v>12.5</v>
      </c>
      <c r="H737" s="16">
        <v>83</v>
      </c>
      <c r="I737" s="18">
        <v>6.7629999999999999</v>
      </c>
      <c r="J737" s="13">
        <v>0.3</v>
      </c>
      <c r="K737" s="13"/>
      <c r="L737" s="17">
        <f>G737-J737</f>
        <v>12.2</v>
      </c>
      <c r="M737" s="18">
        <f>L737*(H737*H737)*0.7854/10000</f>
        <v>6.6009571319999987</v>
      </c>
      <c r="N737" s="5"/>
      <c r="O737" s="8" t="s">
        <v>19</v>
      </c>
    </row>
    <row r="738" spans="1:15" s="14" customFormat="1" x14ac:dyDescent="0.25">
      <c r="A738" s="13">
        <v>757</v>
      </c>
      <c r="B738" s="16">
        <v>757</v>
      </c>
      <c r="C738" s="13" t="s">
        <v>3569</v>
      </c>
      <c r="D738" s="6" t="s">
        <v>1359</v>
      </c>
      <c r="E738" s="13" t="s">
        <v>2931</v>
      </c>
      <c r="F738" s="13"/>
      <c r="G738" s="17">
        <v>10.3</v>
      </c>
      <c r="H738" s="16">
        <v>105</v>
      </c>
      <c r="I738" s="18">
        <v>8.9190000000000005</v>
      </c>
      <c r="J738" s="13">
        <v>0.5</v>
      </c>
      <c r="K738" s="13"/>
      <c r="L738" s="17">
        <f>G738-J738</f>
        <v>9.8000000000000007</v>
      </c>
      <c r="M738" s="18">
        <f>L738*(H738*H738)*0.7854/10000</f>
        <v>8.4858542999999997</v>
      </c>
      <c r="N738" s="5" t="s">
        <v>53</v>
      </c>
      <c r="O738" s="8" t="s">
        <v>19</v>
      </c>
    </row>
    <row r="739" spans="1:15" s="14" customFormat="1" x14ac:dyDescent="0.25">
      <c r="A739" s="13">
        <v>758</v>
      </c>
      <c r="B739" s="16">
        <v>758</v>
      </c>
      <c r="C739" s="13" t="s">
        <v>3570</v>
      </c>
      <c r="D739" s="6">
        <v>4966</v>
      </c>
      <c r="E739" s="13" t="s">
        <v>2931</v>
      </c>
      <c r="F739" s="13"/>
      <c r="G739" s="17">
        <v>12.8</v>
      </c>
      <c r="H739" s="16">
        <v>139</v>
      </c>
      <c r="I739" s="18">
        <v>19.423999999999999</v>
      </c>
      <c r="J739" s="13"/>
      <c r="K739" s="13"/>
      <c r="L739" s="17">
        <f>G739-J739</f>
        <v>12.8</v>
      </c>
      <c r="M739" s="18">
        <f>L739*(H739*H739)*0.7854/10000</f>
        <v>19.423633152000001</v>
      </c>
      <c r="N739" s="5"/>
      <c r="O739" s="8" t="s">
        <v>19</v>
      </c>
    </row>
    <row r="740" spans="1:15" s="14" customFormat="1" x14ac:dyDescent="0.25">
      <c r="A740" s="13">
        <v>759</v>
      </c>
      <c r="B740" s="16">
        <v>759</v>
      </c>
      <c r="C740" s="13" t="s">
        <v>3571</v>
      </c>
      <c r="D740" s="6" t="s">
        <v>1364</v>
      </c>
      <c r="E740" s="13" t="s">
        <v>2931</v>
      </c>
      <c r="F740" s="13"/>
      <c r="G740" s="17">
        <v>4.7</v>
      </c>
      <c r="H740" s="16">
        <v>101</v>
      </c>
      <c r="I740" s="18">
        <v>3.766</v>
      </c>
      <c r="J740" s="13">
        <v>0.5</v>
      </c>
      <c r="K740" s="13"/>
      <c r="L740" s="17">
        <f>G740-J740</f>
        <v>4.2</v>
      </c>
      <c r="M740" s="18">
        <f>L740*(H740*H740)*0.7854/10000</f>
        <v>3.3649834680000001</v>
      </c>
      <c r="N740" s="5"/>
      <c r="O740" s="8" t="s">
        <v>19</v>
      </c>
    </row>
    <row r="741" spans="1:15" s="14" customFormat="1" x14ac:dyDescent="0.25">
      <c r="A741" s="13">
        <v>760</v>
      </c>
      <c r="B741" s="16">
        <v>760</v>
      </c>
      <c r="C741" s="13" t="s">
        <v>3572</v>
      </c>
      <c r="D741" s="6" t="s">
        <v>1367</v>
      </c>
      <c r="E741" s="13" t="s">
        <v>2931</v>
      </c>
      <c r="F741" s="13"/>
      <c r="G741" s="17">
        <v>12.8</v>
      </c>
      <c r="H741" s="16">
        <v>128</v>
      </c>
      <c r="I741" s="18">
        <v>16.471</v>
      </c>
      <c r="J741" s="13"/>
      <c r="K741" s="13"/>
      <c r="L741" s="17">
        <f>G741-J741</f>
        <v>12.8</v>
      </c>
      <c r="M741" s="18">
        <f>L741*(H741*H741)*0.7854/10000</f>
        <v>16.471031807999999</v>
      </c>
      <c r="N741" s="5"/>
      <c r="O741" s="8" t="s">
        <v>19</v>
      </c>
    </row>
    <row r="742" spans="1:15" s="14" customFormat="1" x14ac:dyDescent="0.25">
      <c r="A742" s="13">
        <v>761</v>
      </c>
      <c r="B742" s="16">
        <v>761</v>
      </c>
      <c r="C742" s="13" t="s">
        <v>3573</v>
      </c>
      <c r="D742" s="6">
        <v>4968</v>
      </c>
      <c r="E742" s="13" t="s">
        <v>2931</v>
      </c>
      <c r="F742" s="13"/>
      <c r="G742" s="17">
        <v>8.4</v>
      </c>
      <c r="H742" s="16">
        <v>75</v>
      </c>
      <c r="I742" s="18">
        <v>3.7109999999999999</v>
      </c>
      <c r="J742" s="13"/>
      <c r="K742" s="13"/>
      <c r="L742" s="17">
        <f>G742-J742</f>
        <v>8.4</v>
      </c>
      <c r="M742" s="18">
        <f>L742*(H742*H742)*0.7854/10000</f>
        <v>3.7110150000000002</v>
      </c>
      <c r="N742" s="5"/>
      <c r="O742" s="8" t="s">
        <v>19</v>
      </c>
    </row>
    <row r="743" spans="1:15" s="14" customFormat="1" x14ac:dyDescent="0.25">
      <c r="A743" s="13">
        <v>762</v>
      </c>
      <c r="B743" s="16">
        <v>762</v>
      </c>
      <c r="C743" s="13" t="s">
        <v>3574</v>
      </c>
      <c r="D743" s="6" t="s">
        <v>1372</v>
      </c>
      <c r="E743" s="13" t="s">
        <v>2931</v>
      </c>
      <c r="F743" s="13"/>
      <c r="G743" s="17">
        <v>5.5</v>
      </c>
      <c r="H743" s="16">
        <v>119</v>
      </c>
      <c r="I743" s="18">
        <v>6.117</v>
      </c>
      <c r="J743" s="13"/>
      <c r="K743" s="13"/>
      <c r="L743" s="17">
        <f>G743-J743</f>
        <v>5.5</v>
      </c>
      <c r="M743" s="18">
        <f>L743*(H743*H743)*0.7854/10000</f>
        <v>6.1171271699999998</v>
      </c>
      <c r="N743" s="5"/>
      <c r="O743" s="8" t="s">
        <v>30</v>
      </c>
    </row>
    <row r="744" spans="1:15" s="14" customFormat="1" x14ac:dyDescent="0.25">
      <c r="A744" s="13">
        <v>763</v>
      </c>
      <c r="B744" s="16">
        <v>763</v>
      </c>
      <c r="C744" s="13" t="s">
        <v>3575</v>
      </c>
      <c r="D744" s="6" t="s">
        <v>1375</v>
      </c>
      <c r="E744" s="13" t="s">
        <v>2931</v>
      </c>
      <c r="F744" s="13"/>
      <c r="G744" s="17">
        <v>12.6</v>
      </c>
      <c r="H744" s="16">
        <v>95</v>
      </c>
      <c r="I744" s="18">
        <v>8.9309999999999992</v>
      </c>
      <c r="J744" s="13"/>
      <c r="K744" s="13"/>
      <c r="L744" s="17">
        <f>G744-J744</f>
        <v>12.6</v>
      </c>
      <c r="M744" s="18">
        <f>L744*(H744*H744)*0.7854/10000</f>
        <v>8.9311761000000001</v>
      </c>
      <c r="N744" s="5" t="s">
        <v>1007</v>
      </c>
      <c r="O744" s="8" t="s">
        <v>19</v>
      </c>
    </row>
    <row r="745" spans="1:15" s="14" customFormat="1" x14ac:dyDescent="0.25">
      <c r="A745" s="13">
        <v>764</v>
      </c>
      <c r="B745" s="13">
        <v>764</v>
      </c>
      <c r="C745" s="13" t="s">
        <v>3576</v>
      </c>
      <c r="D745" s="6" t="s">
        <v>1378</v>
      </c>
      <c r="E745" s="13" t="s">
        <v>2931</v>
      </c>
      <c r="F745" s="13"/>
      <c r="G745" s="17">
        <v>7.6</v>
      </c>
      <c r="H745" s="16">
        <v>69</v>
      </c>
      <c r="I745" s="18">
        <v>2.8420000000000001</v>
      </c>
      <c r="J745" s="13"/>
      <c r="K745" s="13"/>
      <c r="L745" s="17">
        <f>G745-J745</f>
        <v>7.6</v>
      </c>
      <c r="M745" s="18">
        <f>L745*(H745*H745)*0.7854/10000</f>
        <v>2.8418599439999999</v>
      </c>
      <c r="N745" s="5" t="s">
        <v>21</v>
      </c>
      <c r="O745" s="8" t="s">
        <v>19</v>
      </c>
    </row>
    <row r="746" spans="1:15" s="14" customFormat="1" x14ac:dyDescent="0.25">
      <c r="A746" s="13">
        <v>765</v>
      </c>
      <c r="B746" s="16">
        <v>765</v>
      </c>
      <c r="C746" s="13" t="s">
        <v>3577</v>
      </c>
      <c r="D746" s="6" t="s">
        <v>1381</v>
      </c>
      <c r="E746" s="13" t="s">
        <v>2931</v>
      </c>
      <c r="F746" s="13"/>
      <c r="G746" s="17">
        <v>7.3</v>
      </c>
      <c r="H746" s="16">
        <v>100</v>
      </c>
      <c r="I746" s="18">
        <v>5.7329999999999997</v>
      </c>
      <c r="J746" s="13"/>
      <c r="K746" s="13"/>
      <c r="L746" s="17">
        <f>G746-J746</f>
        <v>7.3</v>
      </c>
      <c r="M746" s="18">
        <f>L746*(H746*H746)*0.7854/10000</f>
        <v>5.7334199999999997</v>
      </c>
      <c r="N746" s="5"/>
      <c r="O746" s="8" t="s">
        <v>30</v>
      </c>
    </row>
    <row r="747" spans="1:15" s="14" customFormat="1" x14ac:dyDescent="0.25">
      <c r="A747" s="13">
        <v>766</v>
      </c>
      <c r="B747" s="16">
        <v>766</v>
      </c>
      <c r="C747" s="13" t="s">
        <v>3578</v>
      </c>
      <c r="D747" s="6">
        <v>5199</v>
      </c>
      <c r="E747" s="13" t="s">
        <v>2931</v>
      </c>
      <c r="F747" s="13"/>
      <c r="G747" s="17">
        <v>7.9</v>
      </c>
      <c r="H747" s="16">
        <v>81</v>
      </c>
      <c r="I747" s="18">
        <v>4.0709999999999997</v>
      </c>
      <c r="J747" s="13">
        <v>0.3</v>
      </c>
      <c r="K747" s="13"/>
      <c r="L747" s="17">
        <f>G747-J747</f>
        <v>7.6000000000000005</v>
      </c>
      <c r="M747" s="18">
        <f>L747*(H747*H747)*0.7854/10000</f>
        <v>3.9162871440000004</v>
      </c>
      <c r="N747" s="5" t="s">
        <v>53</v>
      </c>
      <c r="O747" s="8" t="s">
        <v>19</v>
      </c>
    </row>
    <row r="748" spans="1:15" s="14" customFormat="1" x14ac:dyDescent="0.25">
      <c r="A748" s="13">
        <v>767</v>
      </c>
      <c r="B748" s="16">
        <v>767</v>
      </c>
      <c r="C748" s="13" t="s">
        <v>3579</v>
      </c>
      <c r="D748" s="6" t="s">
        <v>1386</v>
      </c>
      <c r="E748" s="13" t="s">
        <v>2931</v>
      </c>
      <c r="F748" s="13"/>
      <c r="G748" s="17">
        <v>11.6</v>
      </c>
      <c r="H748" s="16">
        <v>92</v>
      </c>
      <c r="I748" s="18">
        <v>7.7110000000000003</v>
      </c>
      <c r="J748" s="13"/>
      <c r="K748" s="13"/>
      <c r="L748" s="17">
        <f>G748-J748</f>
        <v>11.6</v>
      </c>
      <c r="M748" s="18">
        <f>L748*(H748*H748)*0.7854/10000</f>
        <v>7.7112456959999998</v>
      </c>
      <c r="N748" s="5" t="s">
        <v>21</v>
      </c>
      <c r="O748" s="8" t="s">
        <v>19</v>
      </c>
    </row>
    <row r="749" spans="1:15" s="14" customFormat="1" x14ac:dyDescent="0.25">
      <c r="A749" s="13">
        <v>768</v>
      </c>
      <c r="B749" s="16">
        <v>768</v>
      </c>
      <c r="C749" s="13" t="s">
        <v>3580</v>
      </c>
      <c r="D749" s="6">
        <v>5200</v>
      </c>
      <c r="E749" s="13" t="s">
        <v>2931</v>
      </c>
      <c r="F749" s="13"/>
      <c r="G749" s="17">
        <v>11</v>
      </c>
      <c r="H749" s="16">
        <v>81</v>
      </c>
      <c r="I749" s="18">
        <v>5.6680000000000001</v>
      </c>
      <c r="J749" s="13"/>
      <c r="K749" s="13"/>
      <c r="L749" s="17">
        <f>G749-J749</f>
        <v>11</v>
      </c>
      <c r="M749" s="18">
        <f>L749*(H749*H749)*0.7854/10000</f>
        <v>5.6683103399999997</v>
      </c>
      <c r="N749" s="5" t="s">
        <v>157</v>
      </c>
      <c r="O749" s="8" t="s">
        <v>30</v>
      </c>
    </row>
    <row r="750" spans="1:15" s="14" customFormat="1" x14ac:dyDescent="0.25">
      <c r="A750" s="13">
        <v>769</v>
      </c>
      <c r="B750" s="16">
        <v>769</v>
      </c>
      <c r="C750" s="13" t="s">
        <v>3581</v>
      </c>
      <c r="D750" s="6" t="s">
        <v>1391</v>
      </c>
      <c r="E750" s="13" t="s">
        <v>2931</v>
      </c>
      <c r="F750" s="13"/>
      <c r="G750" s="17">
        <v>6.1</v>
      </c>
      <c r="H750" s="16">
        <v>87</v>
      </c>
      <c r="I750" s="18">
        <v>3.6259999999999999</v>
      </c>
      <c r="J750" s="13"/>
      <c r="K750" s="13"/>
      <c r="L750" s="17">
        <f>G750-J750</f>
        <v>6.1</v>
      </c>
      <c r="M750" s="18">
        <f>L750*(H750*H750)*0.7854/10000</f>
        <v>3.6262624859999995</v>
      </c>
      <c r="N750" s="5" t="s">
        <v>1007</v>
      </c>
      <c r="O750" s="8" t="s">
        <v>19</v>
      </c>
    </row>
    <row r="751" spans="1:15" s="14" customFormat="1" x14ac:dyDescent="0.25">
      <c r="A751" s="13">
        <v>772</v>
      </c>
      <c r="B751" s="16">
        <v>772</v>
      </c>
      <c r="C751" s="13" t="s">
        <v>3582</v>
      </c>
      <c r="D751" s="6">
        <v>4973</v>
      </c>
      <c r="E751" s="13" t="s">
        <v>2931</v>
      </c>
      <c r="F751" s="13"/>
      <c r="G751" s="17">
        <v>10.8</v>
      </c>
      <c r="H751" s="16">
        <v>65</v>
      </c>
      <c r="I751" s="18">
        <v>3.5840000000000001</v>
      </c>
      <c r="J751" s="13">
        <v>0.3</v>
      </c>
      <c r="K751" s="13"/>
      <c r="L751" s="17">
        <f>G751-J751</f>
        <v>10.5</v>
      </c>
      <c r="M751" s="18">
        <f>L751*(H751*H751)*0.7854/10000</f>
        <v>3.48423075</v>
      </c>
      <c r="N751" s="5" t="s">
        <v>21</v>
      </c>
      <c r="O751" s="8" t="s">
        <v>19</v>
      </c>
    </row>
    <row r="752" spans="1:15" s="14" customFormat="1" x14ac:dyDescent="0.25">
      <c r="A752" s="13">
        <v>773</v>
      </c>
      <c r="B752" s="16">
        <v>773</v>
      </c>
      <c r="C752" s="13" t="s">
        <v>3583</v>
      </c>
      <c r="D752" s="6" t="s">
        <v>1396</v>
      </c>
      <c r="E752" s="13" t="s">
        <v>2931</v>
      </c>
      <c r="F752" s="13"/>
      <c r="G752" s="17">
        <v>11</v>
      </c>
      <c r="H752" s="16">
        <v>68</v>
      </c>
      <c r="I752" s="18">
        <v>3.9950000000000001</v>
      </c>
      <c r="J752" s="13"/>
      <c r="K752" s="13"/>
      <c r="L752" s="17">
        <f>G752-J752</f>
        <v>11</v>
      </c>
      <c r="M752" s="18">
        <f>L752*(H752*H752)*0.7854/10000</f>
        <v>3.9948585599999999</v>
      </c>
      <c r="N752" s="5"/>
      <c r="O752" s="8" t="s">
        <v>19</v>
      </c>
    </row>
    <row r="753" spans="1:15" s="14" customFormat="1" x14ac:dyDescent="0.25">
      <c r="A753" s="13">
        <v>774</v>
      </c>
      <c r="B753" s="16">
        <v>774</v>
      </c>
      <c r="C753" s="13" t="s">
        <v>3584</v>
      </c>
      <c r="D753" s="6">
        <v>5203</v>
      </c>
      <c r="E753" s="13" t="s">
        <v>2931</v>
      </c>
      <c r="F753" s="13"/>
      <c r="G753" s="17">
        <v>12.9</v>
      </c>
      <c r="H753" s="16">
        <v>78</v>
      </c>
      <c r="I753" s="18">
        <v>6.1639999999999997</v>
      </c>
      <c r="J753" s="13"/>
      <c r="K753" s="13"/>
      <c r="L753" s="17">
        <f>G753-J753</f>
        <v>12.9</v>
      </c>
      <c r="M753" s="18">
        <f>L753*(H753*H753)*0.7854/10000</f>
        <v>6.1641019440000004</v>
      </c>
      <c r="N753" s="5"/>
      <c r="O753" s="8" t="s">
        <v>19</v>
      </c>
    </row>
    <row r="754" spans="1:15" s="14" customFormat="1" x14ac:dyDescent="0.25">
      <c r="A754" s="13">
        <v>775</v>
      </c>
      <c r="B754" s="16">
        <v>775</v>
      </c>
      <c r="C754" s="13" t="s">
        <v>3585</v>
      </c>
      <c r="D754" s="6" t="s">
        <v>1401</v>
      </c>
      <c r="E754" s="13" t="s">
        <v>2931</v>
      </c>
      <c r="F754" s="13"/>
      <c r="G754" s="17">
        <v>6.4</v>
      </c>
      <c r="H754" s="16">
        <v>65</v>
      </c>
      <c r="I754" s="18">
        <v>2.1240000000000001</v>
      </c>
      <c r="J754" s="13"/>
      <c r="K754" s="13"/>
      <c r="L754" s="17">
        <f>G754-J754</f>
        <v>6.4</v>
      </c>
      <c r="M754" s="18">
        <f>L754*(H754*H754)*0.7854/10000</f>
        <v>2.1237216000000001</v>
      </c>
      <c r="N754" s="5"/>
      <c r="O754" s="8" t="s">
        <v>19</v>
      </c>
    </row>
    <row r="755" spans="1:15" s="14" customFormat="1" x14ac:dyDescent="0.25">
      <c r="A755" s="13">
        <v>776</v>
      </c>
      <c r="B755" s="16">
        <v>776</v>
      </c>
      <c r="C755" s="13" t="s">
        <v>3586</v>
      </c>
      <c r="D755" s="6" t="s">
        <v>1404</v>
      </c>
      <c r="E755" s="13" t="s">
        <v>2931</v>
      </c>
      <c r="F755" s="13"/>
      <c r="G755" s="17">
        <v>10.8</v>
      </c>
      <c r="H755" s="16">
        <v>120</v>
      </c>
      <c r="I755" s="18">
        <v>12.215</v>
      </c>
      <c r="J755" s="13"/>
      <c r="K755" s="13"/>
      <c r="L755" s="17">
        <f>G755-J755</f>
        <v>10.8</v>
      </c>
      <c r="M755" s="18">
        <f>L755*(H755*H755)*0.7854/10000</f>
        <v>12.2145408</v>
      </c>
      <c r="N755" s="5"/>
      <c r="O755" s="8" t="s">
        <v>19</v>
      </c>
    </row>
    <row r="756" spans="1:15" s="14" customFormat="1" x14ac:dyDescent="0.25">
      <c r="A756" s="13">
        <v>777</v>
      </c>
      <c r="B756" s="16">
        <v>777</v>
      </c>
      <c r="C756" s="13" t="s">
        <v>3587</v>
      </c>
      <c r="D756" s="6" t="s">
        <v>1407</v>
      </c>
      <c r="E756" s="13" t="s">
        <v>2931</v>
      </c>
      <c r="F756" s="13"/>
      <c r="G756" s="17">
        <v>6.6</v>
      </c>
      <c r="H756" s="16">
        <v>111</v>
      </c>
      <c r="I756" s="18">
        <v>6.3869999999999996</v>
      </c>
      <c r="J756" s="13"/>
      <c r="K756" s="13"/>
      <c r="L756" s="17">
        <f>G756-J756</f>
        <v>6.6</v>
      </c>
      <c r="M756" s="18">
        <f>L756*(H756*H756)*0.7854/10000</f>
        <v>6.3867628439999997</v>
      </c>
      <c r="N756" s="5" t="s">
        <v>1007</v>
      </c>
      <c r="O756" s="8" t="s">
        <v>19</v>
      </c>
    </row>
    <row r="757" spans="1:15" s="14" customFormat="1" x14ac:dyDescent="0.25">
      <c r="A757" s="13">
        <v>778</v>
      </c>
      <c r="B757" s="16">
        <v>778</v>
      </c>
      <c r="C757" s="13" t="s">
        <v>3588</v>
      </c>
      <c r="D757" s="6" t="s">
        <v>1410</v>
      </c>
      <c r="E757" s="13" t="s">
        <v>2931</v>
      </c>
      <c r="F757" s="13"/>
      <c r="G757" s="17">
        <v>10.8</v>
      </c>
      <c r="H757" s="16">
        <v>72</v>
      </c>
      <c r="I757" s="18">
        <v>4.3970000000000002</v>
      </c>
      <c r="J757" s="13"/>
      <c r="K757" s="13"/>
      <c r="L757" s="17">
        <f>G757-J757</f>
        <v>10.8</v>
      </c>
      <c r="M757" s="18">
        <f>L757*(H757*H757)*0.7854/10000</f>
        <v>4.3972346880000002</v>
      </c>
      <c r="N757" s="5" t="s">
        <v>21</v>
      </c>
      <c r="O757" s="8" t="s">
        <v>19</v>
      </c>
    </row>
    <row r="758" spans="1:15" s="14" customFormat="1" x14ac:dyDescent="0.25">
      <c r="A758" s="13">
        <v>779</v>
      </c>
      <c r="B758" s="13">
        <v>779</v>
      </c>
      <c r="C758" s="13" t="s">
        <v>3589</v>
      </c>
      <c r="D758" s="6" t="s">
        <v>1413</v>
      </c>
      <c r="E758" s="13" t="s">
        <v>2931</v>
      </c>
      <c r="F758" s="13"/>
      <c r="G758" s="17">
        <v>10.199999999999999</v>
      </c>
      <c r="H758" s="16">
        <v>110</v>
      </c>
      <c r="I758" s="18">
        <v>9.6929999999999996</v>
      </c>
      <c r="J758" s="13"/>
      <c r="K758" s="13"/>
      <c r="L758" s="17">
        <f>G758-J758</f>
        <v>10.199999999999999</v>
      </c>
      <c r="M758" s="18">
        <f>L758*(H758*H758)*0.7854/10000</f>
        <v>9.6934067999999982</v>
      </c>
      <c r="N758" s="5" t="s">
        <v>53</v>
      </c>
      <c r="O758" s="8" t="s">
        <v>30</v>
      </c>
    </row>
    <row r="759" spans="1:15" s="14" customFormat="1" x14ac:dyDescent="0.25">
      <c r="A759" s="13">
        <v>780</v>
      </c>
      <c r="B759" s="16">
        <v>780</v>
      </c>
      <c r="C759" s="13" t="s">
        <v>3590</v>
      </c>
      <c r="D759" s="6" t="s">
        <v>1416</v>
      </c>
      <c r="E759" s="13" t="s">
        <v>2931</v>
      </c>
      <c r="F759" s="13"/>
      <c r="G759" s="17">
        <v>5.9</v>
      </c>
      <c r="H759" s="16">
        <v>69</v>
      </c>
      <c r="I759" s="18">
        <v>2.206</v>
      </c>
      <c r="J759" s="13"/>
      <c r="K759" s="13"/>
      <c r="L759" s="17">
        <f>G759-J759</f>
        <v>5.9</v>
      </c>
      <c r="M759" s="18">
        <f>L759*(H759*H759)*0.7854/10000</f>
        <v>2.2061807459999998</v>
      </c>
      <c r="N759" s="5"/>
      <c r="O759" s="8" t="s">
        <v>19</v>
      </c>
    </row>
    <row r="760" spans="1:15" s="14" customFormat="1" x14ac:dyDescent="0.25">
      <c r="A760" s="13">
        <v>781</v>
      </c>
      <c r="B760" s="16">
        <v>781</v>
      </c>
      <c r="C760" s="13" t="s">
        <v>3591</v>
      </c>
      <c r="D760" s="6" t="s">
        <v>1419</v>
      </c>
      <c r="E760" s="13" t="s">
        <v>2931</v>
      </c>
      <c r="F760" s="13"/>
      <c r="G760" s="17">
        <v>5.5</v>
      </c>
      <c r="H760" s="16">
        <v>94</v>
      </c>
      <c r="I760" s="18">
        <v>3.8170000000000002</v>
      </c>
      <c r="J760" s="13"/>
      <c r="K760" s="13"/>
      <c r="L760" s="17">
        <f>G760-J760</f>
        <v>5.5</v>
      </c>
      <c r="M760" s="18">
        <f>L760*(H760*H760)*0.7854/10000</f>
        <v>3.81688692</v>
      </c>
      <c r="N760" s="5"/>
      <c r="O760" s="8" t="s">
        <v>19</v>
      </c>
    </row>
    <row r="761" spans="1:15" s="14" customFormat="1" x14ac:dyDescent="0.25">
      <c r="A761" s="13">
        <v>782</v>
      </c>
      <c r="B761" s="16">
        <v>782</v>
      </c>
      <c r="C761" s="13" t="s">
        <v>3592</v>
      </c>
      <c r="D761" s="6" t="s">
        <v>1422</v>
      </c>
      <c r="E761" s="13" t="s">
        <v>2931</v>
      </c>
      <c r="F761" s="13"/>
      <c r="G761" s="17">
        <v>9.6999999999999993</v>
      </c>
      <c r="H761" s="16">
        <v>84</v>
      </c>
      <c r="I761" s="18">
        <v>5.3760000000000003</v>
      </c>
      <c r="J761" s="13"/>
      <c r="K761" s="13"/>
      <c r="L761" s="17">
        <f>G761-J761</f>
        <v>9.6999999999999993</v>
      </c>
      <c r="M761" s="18">
        <f>L761*(H761*H761)*0.7854/10000</f>
        <v>5.3755289279999996</v>
      </c>
      <c r="N761" s="5"/>
      <c r="O761" s="8" t="s">
        <v>30</v>
      </c>
    </row>
    <row r="762" spans="1:15" s="14" customFormat="1" x14ac:dyDescent="0.25">
      <c r="A762" s="13">
        <v>783</v>
      </c>
      <c r="B762" s="16">
        <v>783</v>
      </c>
      <c r="C762" s="13" t="s">
        <v>3593</v>
      </c>
      <c r="D762" s="6" t="s">
        <v>1425</v>
      </c>
      <c r="E762" s="13" t="s">
        <v>2931</v>
      </c>
      <c r="F762" s="13"/>
      <c r="G762" s="17">
        <v>10.8</v>
      </c>
      <c r="H762" s="16">
        <v>80</v>
      </c>
      <c r="I762" s="18">
        <v>5.4290000000000003</v>
      </c>
      <c r="J762" s="13">
        <v>0.4</v>
      </c>
      <c r="K762" s="13"/>
      <c r="L762" s="17">
        <f>G762-J762</f>
        <v>10.4</v>
      </c>
      <c r="M762" s="18">
        <f>L762*(H762*H762)*0.7854/10000</f>
        <v>5.2276224000000004</v>
      </c>
      <c r="N762" s="5"/>
      <c r="O762" s="8" t="s">
        <v>19</v>
      </c>
    </row>
    <row r="763" spans="1:15" s="14" customFormat="1" x14ac:dyDescent="0.25">
      <c r="A763" s="13">
        <v>784</v>
      </c>
      <c r="B763" s="16">
        <v>784</v>
      </c>
      <c r="C763" s="13" t="s">
        <v>3594</v>
      </c>
      <c r="D763" s="6">
        <v>4978</v>
      </c>
      <c r="E763" s="13" t="s">
        <v>2931</v>
      </c>
      <c r="F763" s="13"/>
      <c r="G763" s="17">
        <v>8.9</v>
      </c>
      <c r="H763" s="16">
        <v>88</v>
      </c>
      <c r="I763" s="18">
        <v>5.4130000000000003</v>
      </c>
      <c r="J763" s="13"/>
      <c r="K763" s="13"/>
      <c r="L763" s="17">
        <f>G763-J763</f>
        <v>8.9</v>
      </c>
      <c r="M763" s="18">
        <f>L763*(H763*H763)*0.7854/10000</f>
        <v>5.4131024640000005</v>
      </c>
      <c r="N763" s="5"/>
      <c r="O763" s="8" t="s">
        <v>19</v>
      </c>
    </row>
    <row r="764" spans="1:15" s="14" customFormat="1" x14ac:dyDescent="0.25">
      <c r="A764" s="13">
        <v>785</v>
      </c>
      <c r="B764" s="16">
        <v>785</v>
      </c>
      <c r="C764" s="13" t="s">
        <v>3595</v>
      </c>
      <c r="D764" s="6" t="s">
        <v>1430</v>
      </c>
      <c r="E764" s="13" t="s">
        <v>2931</v>
      </c>
      <c r="F764" s="13"/>
      <c r="G764" s="17">
        <v>5.0999999999999996</v>
      </c>
      <c r="H764" s="16">
        <v>75</v>
      </c>
      <c r="I764" s="18">
        <v>2.2530000000000001</v>
      </c>
      <c r="J764" s="13"/>
      <c r="K764" s="13"/>
      <c r="L764" s="17">
        <f>G764-J764</f>
        <v>5.0999999999999996</v>
      </c>
      <c r="M764" s="18">
        <f>L764*(H764*H764)*0.7854/10000</f>
        <v>2.2531162499999997</v>
      </c>
      <c r="N764" s="5"/>
      <c r="O764" s="8" t="s">
        <v>30</v>
      </c>
    </row>
    <row r="765" spans="1:15" s="14" customFormat="1" x14ac:dyDescent="0.25">
      <c r="A765" s="13">
        <v>786</v>
      </c>
      <c r="B765" s="16">
        <v>786</v>
      </c>
      <c r="C765" s="13" t="s">
        <v>3596</v>
      </c>
      <c r="D765" s="6" t="s">
        <v>1433</v>
      </c>
      <c r="E765" s="13" t="s">
        <v>2931</v>
      </c>
      <c r="F765" s="13"/>
      <c r="G765" s="17">
        <v>6.1</v>
      </c>
      <c r="H765" s="16">
        <v>77</v>
      </c>
      <c r="I765" s="18">
        <v>2.8410000000000002</v>
      </c>
      <c r="J765" s="13">
        <v>0.3</v>
      </c>
      <c r="K765" s="13"/>
      <c r="L765" s="17">
        <f>G765-J765</f>
        <v>5.8</v>
      </c>
      <c r="M765" s="18">
        <f>L765*(H765*H765)*0.7854/10000</f>
        <v>2.700849228</v>
      </c>
      <c r="N765" s="5"/>
      <c r="O765" s="8" t="s">
        <v>19</v>
      </c>
    </row>
    <row r="766" spans="1:15" s="14" customFormat="1" x14ac:dyDescent="0.25">
      <c r="A766" s="13">
        <v>787</v>
      </c>
      <c r="B766" s="16">
        <v>787</v>
      </c>
      <c r="C766" s="13" t="s">
        <v>3597</v>
      </c>
      <c r="D766" s="6" t="s">
        <v>1436</v>
      </c>
      <c r="E766" s="13" t="s">
        <v>2931</v>
      </c>
      <c r="F766" s="13"/>
      <c r="G766" s="17">
        <v>6.3</v>
      </c>
      <c r="H766" s="16">
        <v>81</v>
      </c>
      <c r="I766" s="18">
        <v>3.246</v>
      </c>
      <c r="J766" s="13">
        <v>0.3</v>
      </c>
      <c r="K766" s="13"/>
      <c r="L766" s="17">
        <f>G766-J766</f>
        <v>6</v>
      </c>
      <c r="M766" s="18">
        <f>L766*(H766*H766)*0.7854/10000</f>
        <v>3.09180564</v>
      </c>
      <c r="N766" s="5"/>
      <c r="O766" s="8" t="s">
        <v>19</v>
      </c>
    </row>
    <row r="767" spans="1:15" s="14" customFormat="1" x14ac:dyDescent="0.25">
      <c r="A767" s="13">
        <v>788</v>
      </c>
      <c r="B767" s="16">
        <v>788</v>
      </c>
      <c r="C767" s="13" t="s">
        <v>3598</v>
      </c>
      <c r="D767" s="6" t="s">
        <v>1439</v>
      </c>
      <c r="E767" s="13" t="s">
        <v>2931</v>
      </c>
      <c r="F767" s="13"/>
      <c r="G767" s="17">
        <v>6.7</v>
      </c>
      <c r="H767" s="16">
        <v>72</v>
      </c>
      <c r="I767" s="18">
        <v>2.7280000000000002</v>
      </c>
      <c r="J767" s="13"/>
      <c r="K767" s="13"/>
      <c r="L767" s="17">
        <f>G767-J767</f>
        <v>6.7</v>
      </c>
      <c r="M767" s="18">
        <f>L767*(H767*H767)*0.7854/10000</f>
        <v>2.7279141120000001</v>
      </c>
      <c r="N767" s="5"/>
      <c r="O767" s="8" t="s">
        <v>19</v>
      </c>
    </row>
    <row r="768" spans="1:15" s="14" customFormat="1" x14ac:dyDescent="0.25">
      <c r="A768" s="13">
        <v>789</v>
      </c>
      <c r="B768" s="16">
        <v>789</v>
      </c>
      <c r="C768" s="13" t="s">
        <v>3599</v>
      </c>
      <c r="D768" s="6" t="s">
        <v>1442</v>
      </c>
      <c r="E768" s="13" t="s">
        <v>2931</v>
      </c>
      <c r="F768" s="13"/>
      <c r="G768" s="17">
        <v>10.4</v>
      </c>
      <c r="H768" s="16">
        <v>102</v>
      </c>
      <c r="I768" s="18">
        <v>8.4979999999999993</v>
      </c>
      <c r="J768" s="13"/>
      <c r="K768" s="13"/>
      <c r="L768" s="17">
        <f>G768-J768</f>
        <v>10.4</v>
      </c>
      <c r="M768" s="18">
        <f>L768*(H768*H768)*0.7854/10000</f>
        <v>8.4981536640000002</v>
      </c>
      <c r="N768" s="5"/>
      <c r="O768" s="8" t="s">
        <v>19</v>
      </c>
    </row>
    <row r="769" spans="1:15" s="14" customFormat="1" x14ac:dyDescent="0.25">
      <c r="A769" s="13">
        <v>790</v>
      </c>
      <c r="B769" s="16">
        <v>790</v>
      </c>
      <c r="C769" s="13" t="s">
        <v>3600</v>
      </c>
      <c r="D769" s="6" t="s">
        <v>1445</v>
      </c>
      <c r="E769" s="13" t="s">
        <v>2931</v>
      </c>
      <c r="F769" s="13"/>
      <c r="G769" s="17">
        <v>10</v>
      </c>
      <c r="H769" s="16">
        <v>102</v>
      </c>
      <c r="I769" s="18">
        <v>8.1709999999999994</v>
      </c>
      <c r="J769" s="13"/>
      <c r="K769" s="13"/>
      <c r="L769" s="17">
        <f>G769-J769</f>
        <v>10</v>
      </c>
      <c r="M769" s="18">
        <f>L769*(H769*H769)*0.7854/10000</f>
        <v>8.1713015999999996</v>
      </c>
      <c r="N769" s="5"/>
      <c r="O769" s="8" t="s">
        <v>19</v>
      </c>
    </row>
    <row r="770" spans="1:15" s="14" customFormat="1" x14ac:dyDescent="0.25">
      <c r="A770" s="13">
        <v>791</v>
      </c>
      <c r="B770" s="16">
        <v>791</v>
      </c>
      <c r="C770" s="13" t="s">
        <v>3601</v>
      </c>
      <c r="D770" s="6" t="s">
        <v>1448</v>
      </c>
      <c r="E770" s="13" t="s">
        <v>2931</v>
      </c>
      <c r="F770" s="13"/>
      <c r="G770" s="17">
        <v>6.7</v>
      </c>
      <c r="H770" s="16">
        <v>91</v>
      </c>
      <c r="I770" s="18">
        <v>4.3579999999999997</v>
      </c>
      <c r="J770" s="13">
        <v>0.3</v>
      </c>
      <c r="K770" s="13"/>
      <c r="L770" s="17">
        <f>G770-J770</f>
        <v>6.4</v>
      </c>
      <c r="M770" s="18">
        <f>L770*(H770*H770)*0.7854/10000</f>
        <v>4.162494336</v>
      </c>
      <c r="N770" s="5" t="s">
        <v>1007</v>
      </c>
      <c r="O770" s="8" t="s">
        <v>19</v>
      </c>
    </row>
    <row r="771" spans="1:15" s="14" customFormat="1" x14ac:dyDescent="0.25">
      <c r="A771" s="13">
        <v>792</v>
      </c>
      <c r="B771" s="16">
        <v>792</v>
      </c>
      <c r="C771" s="13" t="s">
        <v>3602</v>
      </c>
      <c r="D771" s="6" t="s">
        <v>1451</v>
      </c>
      <c r="E771" s="13" t="s">
        <v>2931</v>
      </c>
      <c r="F771" s="13"/>
      <c r="G771" s="17">
        <v>5.8</v>
      </c>
      <c r="H771" s="16">
        <v>100</v>
      </c>
      <c r="I771" s="18">
        <v>4.5549999999999997</v>
      </c>
      <c r="J771" s="13"/>
      <c r="K771" s="13"/>
      <c r="L771" s="17">
        <f>G771-J771</f>
        <v>5.8</v>
      </c>
      <c r="M771" s="18">
        <f>L771*(H771*H771)*0.7854/10000</f>
        <v>4.55532</v>
      </c>
      <c r="N771" s="5"/>
      <c r="O771" s="8" t="s">
        <v>19</v>
      </c>
    </row>
    <row r="772" spans="1:15" s="14" customFormat="1" x14ac:dyDescent="0.25">
      <c r="A772" s="13">
        <v>793</v>
      </c>
      <c r="B772" s="16">
        <v>793</v>
      </c>
      <c r="C772" s="13" t="s">
        <v>3603</v>
      </c>
      <c r="D772" s="6" t="s">
        <v>1454</v>
      </c>
      <c r="E772" s="13" t="s">
        <v>2931</v>
      </c>
      <c r="F772" s="13"/>
      <c r="G772" s="17">
        <v>6.9</v>
      </c>
      <c r="H772" s="16">
        <v>96</v>
      </c>
      <c r="I772" s="18">
        <v>4.9939999999999998</v>
      </c>
      <c r="J772" s="13"/>
      <c r="K772" s="13"/>
      <c r="L772" s="17">
        <f>G772-J772</f>
        <v>6.9</v>
      </c>
      <c r="M772" s="18">
        <f>L772*(H772*H772)*0.7854/10000</f>
        <v>4.9943900159999997</v>
      </c>
      <c r="N772" s="5"/>
      <c r="O772" s="8" t="s">
        <v>19</v>
      </c>
    </row>
    <row r="773" spans="1:15" s="14" customFormat="1" x14ac:dyDescent="0.25">
      <c r="A773" s="13">
        <v>794</v>
      </c>
      <c r="B773" s="16">
        <v>794</v>
      </c>
      <c r="C773" s="13" t="s">
        <v>3604</v>
      </c>
      <c r="D773" s="6" t="s">
        <v>1457</v>
      </c>
      <c r="E773" s="13" t="s">
        <v>2931</v>
      </c>
      <c r="F773" s="13"/>
      <c r="G773" s="17">
        <v>4.5999999999999996</v>
      </c>
      <c r="H773" s="16">
        <v>90</v>
      </c>
      <c r="I773" s="18">
        <v>2.9260000000000002</v>
      </c>
      <c r="J773" s="13"/>
      <c r="K773" s="13"/>
      <c r="L773" s="17">
        <f>G773-J773</f>
        <v>4.5999999999999996</v>
      </c>
      <c r="M773" s="18">
        <f>L773*(H773*H773)*0.7854/10000</f>
        <v>2.9264003999999999</v>
      </c>
      <c r="N773" s="5"/>
      <c r="O773" s="8" t="s">
        <v>30</v>
      </c>
    </row>
    <row r="774" spans="1:15" s="14" customFormat="1" x14ac:dyDescent="0.25">
      <c r="A774" s="13">
        <v>795</v>
      </c>
      <c r="B774" s="16">
        <v>795</v>
      </c>
      <c r="C774" s="13" t="s">
        <v>3605</v>
      </c>
      <c r="D774" s="6" t="s">
        <v>1460</v>
      </c>
      <c r="E774" s="13" t="s">
        <v>2931</v>
      </c>
      <c r="F774" s="13"/>
      <c r="G774" s="17">
        <v>10.7</v>
      </c>
      <c r="H774" s="16">
        <v>95</v>
      </c>
      <c r="I774" s="18">
        <v>7.5839999999999996</v>
      </c>
      <c r="J774" s="13"/>
      <c r="K774" s="13"/>
      <c r="L774" s="17">
        <f>G774-J774</f>
        <v>10.7</v>
      </c>
      <c r="M774" s="18">
        <f>L774*(H774*H774)*0.7854/10000</f>
        <v>7.5844114499999993</v>
      </c>
      <c r="N774" s="5"/>
      <c r="O774" s="8" t="s">
        <v>19</v>
      </c>
    </row>
    <row r="775" spans="1:15" s="14" customFormat="1" x14ac:dyDescent="0.25">
      <c r="A775" s="13">
        <v>796</v>
      </c>
      <c r="B775" s="16">
        <v>796</v>
      </c>
      <c r="C775" s="13" t="s">
        <v>3606</v>
      </c>
      <c r="D775" s="6" t="s">
        <v>1463</v>
      </c>
      <c r="E775" s="13" t="s">
        <v>2931</v>
      </c>
      <c r="F775" s="13"/>
      <c r="G775" s="17">
        <v>6.8</v>
      </c>
      <c r="H775" s="16">
        <v>91</v>
      </c>
      <c r="I775" s="18">
        <v>4.423</v>
      </c>
      <c r="J775" s="13"/>
      <c r="K775" s="13"/>
      <c r="L775" s="17">
        <f>G775-J775</f>
        <v>6.8</v>
      </c>
      <c r="M775" s="18">
        <f>L775*(H775*H775)*0.7854/10000</f>
        <v>4.4226502319999996</v>
      </c>
      <c r="N775" s="5"/>
      <c r="O775" s="8" t="s">
        <v>19</v>
      </c>
    </row>
    <row r="776" spans="1:15" s="14" customFormat="1" x14ac:dyDescent="0.25">
      <c r="A776" s="13">
        <v>797</v>
      </c>
      <c r="B776" s="16">
        <v>797</v>
      </c>
      <c r="C776" s="13" t="s">
        <v>3607</v>
      </c>
      <c r="D776" s="6" t="s">
        <v>1466</v>
      </c>
      <c r="E776" s="13" t="s">
        <v>2931</v>
      </c>
      <c r="F776" s="13"/>
      <c r="G776" s="17">
        <v>9.3000000000000007</v>
      </c>
      <c r="H776" s="16">
        <v>88</v>
      </c>
      <c r="I776" s="18">
        <v>5.6559999999999997</v>
      </c>
      <c r="J776" s="13"/>
      <c r="K776" s="13"/>
      <c r="L776" s="17">
        <f>G776-J776</f>
        <v>9.3000000000000007</v>
      </c>
      <c r="M776" s="18">
        <f>L776*(H776*H776)*0.7854/10000</f>
        <v>5.6563879680000007</v>
      </c>
      <c r="N776" s="5" t="s">
        <v>21</v>
      </c>
      <c r="O776" s="8" t="s">
        <v>30</v>
      </c>
    </row>
    <row r="777" spans="1:15" s="14" customFormat="1" x14ac:dyDescent="0.25">
      <c r="A777" s="13">
        <v>798</v>
      </c>
      <c r="B777" s="16">
        <v>798</v>
      </c>
      <c r="C777" s="13" t="s">
        <v>3608</v>
      </c>
      <c r="D777" s="6" t="s">
        <v>1469</v>
      </c>
      <c r="E777" s="13" t="s">
        <v>2931</v>
      </c>
      <c r="F777" s="13"/>
      <c r="G777" s="17">
        <v>11.1</v>
      </c>
      <c r="H777" s="16">
        <v>101</v>
      </c>
      <c r="I777" s="18">
        <v>8.8930000000000007</v>
      </c>
      <c r="J777" s="13"/>
      <c r="K777" s="13"/>
      <c r="L777" s="17">
        <f>G777-J777</f>
        <v>11.1</v>
      </c>
      <c r="M777" s="18">
        <f>L777*(H777*H777)*0.7854/10000</f>
        <v>8.893170593999999</v>
      </c>
      <c r="N777" s="5"/>
      <c r="O777" s="8" t="s">
        <v>19</v>
      </c>
    </row>
    <row r="778" spans="1:15" s="14" customFormat="1" x14ac:dyDescent="0.25">
      <c r="A778" s="13">
        <v>800</v>
      </c>
      <c r="B778" s="16">
        <v>800</v>
      </c>
      <c r="C778" s="13" t="s">
        <v>3609</v>
      </c>
      <c r="D778" s="6" t="s">
        <v>1472</v>
      </c>
      <c r="E778" s="13" t="s">
        <v>2931</v>
      </c>
      <c r="F778" s="13"/>
      <c r="G778" s="17">
        <v>6.2</v>
      </c>
      <c r="H778" s="16">
        <v>94</v>
      </c>
      <c r="I778" s="18">
        <v>4.3029999999999999</v>
      </c>
      <c r="J778" s="13"/>
      <c r="K778" s="13"/>
      <c r="L778" s="17">
        <f>G778-J778</f>
        <v>6.2</v>
      </c>
      <c r="M778" s="18">
        <f>L778*(H778*H778)*0.7854/10000</f>
        <v>4.3026725280000004</v>
      </c>
      <c r="N778" s="5"/>
      <c r="O778" s="8" t="s">
        <v>19</v>
      </c>
    </row>
    <row r="779" spans="1:15" s="14" customFormat="1" x14ac:dyDescent="0.25">
      <c r="A779" s="13">
        <v>802</v>
      </c>
      <c r="B779" s="16">
        <v>802</v>
      </c>
      <c r="C779" s="13" t="s">
        <v>3610</v>
      </c>
      <c r="D779" s="6" t="s">
        <v>1475</v>
      </c>
      <c r="E779" s="13" t="s">
        <v>2931</v>
      </c>
      <c r="F779" s="13"/>
      <c r="G779" s="17">
        <v>12.6</v>
      </c>
      <c r="H779" s="16">
        <v>112</v>
      </c>
      <c r="I779" s="18">
        <v>12.414</v>
      </c>
      <c r="J779" s="13"/>
      <c r="K779" s="13"/>
      <c r="L779" s="17">
        <f>G779-J779</f>
        <v>12.6</v>
      </c>
      <c r="M779" s="18">
        <f>L779*(H779*H779)*0.7854/10000</f>
        <v>12.413592575999999</v>
      </c>
      <c r="N779" s="5"/>
      <c r="O779" s="8" t="s">
        <v>30</v>
      </c>
    </row>
    <row r="780" spans="1:15" s="14" customFormat="1" x14ac:dyDescent="0.25">
      <c r="A780" s="13">
        <v>803</v>
      </c>
      <c r="B780" s="16">
        <v>803</v>
      </c>
      <c r="C780" s="13" t="s">
        <v>3611</v>
      </c>
      <c r="D780" s="6" t="s">
        <v>1478</v>
      </c>
      <c r="E780" s="13" t="s">
        <v>2931</v>
      </c>
      <c r="F780" s="13"/>
      <c r="G780" s="17">
        <v>11</v>
      </c>
      <c r="H780" s="16">
        <v>81</v>
      </c>
      <c r="I780" s="18">
        <v>5.6680000000000001</v>
      </c>
      <c r="J780" s="13"/>
      <c r="K780" s="13"/>
      <c r="L780" s="17">
        <f>G780-J780</f>
        <v>11</v>
      </c>
      <c r="M780" s="18">
        <f>L780*(H780*H780)*0.7854/10000</f>
        <v>5.6683103399999997</v>
      </c>
      <c r="N780" s="5"/>
      <c r="O780" s="8" t="s">
        <v>19</v>
      </c>
    </row>
    <row r="781" spans="1:15" s="14" customFormat="1" x14ac:dyDescent="0.25">
      <c r="A781" s="13">
        <v>804</v>
      </c>
      <c r="B781" s="16">
        <v>804</v>
      </c>
      <c r="C781" s="13" t="s">
        <v>3612</v>
      </c>
      <c r="D781" s="6">
        <v>4952</v>
      </c>
      <c r="E781" s="13" t="s">
        <v>2931</v>
      </c>
      <c r="F781" s="13"/>
      <c r="G781" s="17">
        <v>9</v>
      </c>
      <c r="H781" s="16">
        <v>95</v>
      </c>
      <c r="I781" s="18">
        <v>6.3789999999999996</v>
      </c>
      <c r="J781" s="13"/>
      <c r="K781" s="13"/>
      <c r="L781" s="17">
        <f>G781-J781</f>
        <v>9</v>
      </c>
      <c r="M781" s="18">
        <f>L781*(H781*H781)*0.7854/10000</f>
        <v>6.3794114999999998</v>
      </c>
      <c r="N781" s="5"/>
      <c r="O781" s="8" t="s">
        <v>19</v>
      </c>
    </row>
    <row r="782" spans="1:15" s="14" customFormat="1" x14ac:dyDescent="0.25">
      <c r="A782" s="13">
        <v>805</v>
      </c>
      <c r="B782" s="16">
        <v>805</v>
      </c>
      <c r="C782" s="13" t="s">
        <v>3613</v>
      </c>
      <c r="D782" s="6" t="s">
        <v>1483</v>
      </c>
      <c r="E782" s="13" t="s">
        <v>2931</v>
      </c>
      <c r="F782" s="13"/>
      <c r="G782" s="17">
        <v>6</v>
      </c>
      <c r="H782" s="16">
        <v>107</v>
      </c>
      <c r="I782" s="18">
        <v>5.3949999999999996</v>
      </c>
      <c r="J782" s="13">
        <v>0.3</v>
      </c>
      <c r="K782" s="13"/>
      <c r="L782" s="17">
        <f>G782-J782</f>
        <v>5.7</v>
      </c>
      <c r="M782" s="18">
        <f>L782*(H782*H782)*0.7854/10000</f>
        <v>5.1254654220000004</v>
      </c>
      <c r="N782" s="5"/>
      <c r="O782" s="8" t="s">
        <v>19</v>
      </c>
    </row>
    <row r="783" spans="1:15" s="14" customFormat="1" x14ac:dyDescent="0.25">
      <c r="A783" s="13">
        <v>806</v>
      </c>
      <c r="B783" s="16">
        <v>806</v>
      </c>
      <c r="C783" s="13" t="s">
        <v>3614</v>
      </c>
      <c r="D783" s="6" t="s">
        <v>1486</v>
      </c>
      <c r="E783" s="13" t="s">
        <v>2931</v>
      </c>
      <c r="F783" s="13"/>
      <c r="G783" s="17">
        <v>5.0999999999999996</v>
      </c>
      <c r="H783" s="16">
        <v>78</v>
      </c>
      <c r="I783" s="18">
        <v>2.4369999999999998</v>
      </c>
      <c r="J783" s="13"/>
      <c r="K783" s="13"/>
      <c r="L783" s="17">
        <f>G783-J783</f>
        <v>5.0999999999999996</v>
      </c>
      <c r="M783" s="18">
        <f>L783*(H783*H783)*0.7854/10000</f>
        <v>2.4369705359999996</v>
      </c>
      <c r="N783" s="5"/>
      <c r="O783" s="8" t="s">
        <v>19</v>
      </c>
    </row>
    <row r="784" spans="1:15" s="14" customFormat="1" x14ac:dyDescent="0.25">
      <c r="A784" s="13">
        <v>807</v>
      </c>
      <c r="B784" s="16">
        <v>807</v>
      </c>
      <c r="C784" s="13" t="s">
        <v>3615</v>
      </c>
      <c r="D784" s="6" t="s">
        <v>1489</v>
      </c>
      <c r="E784" s="13" t="s">
        <v>2931</v>
      </c>
      <c r="F784" s="13"/>
      <c r="G784" s="17">
        <v>5.2</v>
      </c>
      <c r="H784" s="16">
        <v>88</v>
      </c>
      <c r="I784" s="18">
        <v>3.1629999999999998</v>
      </c>
      <c r="J784" s="13"/>
      <c r="K784" s="13"/>
      <c r="L784" s="17">
        <f>G784-J784</f>
        <v>5.2</v>
      </c>
      <c r="M784" s="18">
        <f>L784*(H784*H784)*0.7854/10000</f>
        <v>3.1627115520000002</v>
      </c>
      <c r="N784" s="5"/>
      <c r="O784" s="8" t="s">
        <v>19</v>
      </c>
    </row>
    <row r="785" spans="1:15" s="14" customFormat="1" x14ac:dyDescent="0.25">
      <c r="A785" s="13">
        <v>808</v>
      </c>
      <c r="B785" s="16">
        <v>808</v>
      </c>
      <c r="C785" s="13" t="s">
        <v>3616</v>
      </c>
      <c r="D785" s="6">
        <v>5152</v>
      </c>
      <c r="E785" s="13" t="s">
        <v>2931</v>
      </c>
      <c r="F785" s="13"/>
      <c r="G785" s="17">
        <v>11.4</v>
      </c>
      <c r="H785" s="16">
        <v>100</v>
      </c>
      <c r="I785" s="18">
        <v>8.9540000000000006</v>
      </c>
      <c r="J785" s="13">
        <v>0.3</v>
      </c>
      <c r="K785" s="13"/>
      <c r="L785" s="17">
        <f>G785-J785</f>
        <v>11.1</v>
      </c>
      <c r="M785" s="18">
        <f>L785*(H785*H785)*0.7854/10000</f>
        <v>8.7179399999999987</v>
      </c>
      <c r="N785" s="5"/>
      <c r="O785" s="8" t="s">
        <v>19</v>
      </c>
    </row>
    <row r="786" spans="1:15" s="14" customFormat="1" x14ac:dyDescent="0.25">
      <c r="A786" s="13">
        <v>809</v>
      </c>
      <c r="B786" s="16">
        <v>809</v>
      </c>
      <c r="C786" s="13" t="s">
        <v>3617</v>
      </c>
      <c r="D786" s="6" t="s">
        <v>1494</v>
      </c>
      <c r="E786" s="13" t="s">
        <v>2931</v>
      </c>
      <c r="F786" s="13"/>
      <c r="G786" s="17">
        <v>10.9</v>
      </c>
      <c r="H786" s="16">
        <v>90</v>
      </c>
      <c r="I786" s="18">
        <v>6.9340000000000002</v>
      </c>
      <c r="J786" s="13">
        <v>0.3</v>
      </c>
      <c r="K786" s="13"/>
      <c r="L786" s="17">
        <f>G786-J786</f>
        <v>10.6</v>
      </c>
      <c r="M786" s="18">
        <f>L786*(H786*H786)*0.7854/10000</f>
        <v>6.7434444000000004</v>
      </c>
      <c r="N786" s="5"/>
      <c r="O786" s="8" t="s">
        <v>19</v>
      </c>
    </row>
    <row r="787" spans="1:15" s="14" customFormat="1" x14ac:dyDescent="0.25">
      <c r="A787" s="13">
        <v>810</v>
      </c>
      <c r="B787" s="16">
        <v>810</v>
      </c>
      <c r="C787" s="13" t="s">
        <v>3618</v>
      </c>
      <c r="D787" s="6" t="s">
        <v>1497</v>
      </c>
      <c r="E787" s="13" t="s">
        <v>2931</v>
      </c>
      <c r="F787" s="13"/>
      <c r="G787" s="17">
        <v>11.4</v>
      </c>
      <c r="H787" s="16">
        <v>80</v>
      </c>
      <c r="I787" s="18">
        <v>5.73</v>
      </c>
      <c r="J787" s="13"/>
      <c r="K787" s="13"/>
      <c r="L787" s="17">
        <f>G787-J787</f>
        <v>11.4</v>
      </c>
      <c r="M787" s="18">
        <f>L787*(H787*H787)*0.7854/10000</f>
        <v>5.7302783999999996</v>
      </c>
      <c r="N787" s="5"/>
      <c r="O787" s="8" t="s">
        <v>19</v>
      </c>
    </row>
    <row r="788" spans="1:15" s="14" customFormat="1" x14ac:dyDescent="0.25">
      <c r="A788" s="13">
        <v>811</v>
      </c>
      <c r="B788" s="16">
        <v>811</v>
      </c>
      <c r="C788" s="13" t="s">
        <v>3619</v>
      </c>
      <c r="D788" s="6">
        <v>5153</v>
      </c>
      <c r="E788" s="13" t="s">
        <v>2931</v>
      </c>
      <c r="F788" s="13"/>
      <c r="G788" s="17">
        <v>13</v>
      </c>
      <c r="H788" s="16">
        <v>88</v>
      </c>
      <c r="I788" s="18">
        <v>7.907</v>
      </c>
      <c r="J788" s="13"/>
      <c r="K788" s="13"/>
      <c r="L788" s="17">
        <f>G788-J788</f>
        <v>13</v>
      </c>
      <c r="M788" s="18">
        <f>L788*(H788*H788)*0.7854/10000</f>
        <v>7.9067788799999992</v>
      </c>
      <c r="N788" s="5" t="s">
        <v>53</v>
      </c>
      <c r="O788" s="8" t="s">
        <v>30</v>
      </c>
    </row>
    <row r="789" spans="1:15" s="14" customFormat="1" x14ac:dyDescent="0.25">
      <c r="A789" s="13">
        <v>812</v>
      </c>
      <c r="B789" s="16">
        <v>812</v>
      </c>
      <c r="C789" s="13" t="s">
        <v>3620</v>
      </c>
      <c r="D789" s="6" t="s">
        <v>1502</v>
      </c>
      <c r="E789" s="13" t="s">
        <v>2931</v>
      </c>
      <c r="F789" s="13"/>
      <c r="G789" s="17">
        <v>7.8</v>
      </c>
      <c r="H789" s="16">
        <v>76</v>
      </c>
      <c r="I789" s="18">
        <v>3.5379999999999998</v>
      </c>
      <c r="J789" s="13"/>
      <c r="K789" s="13"/>
      <c r="L789" s="17">
        <f>G789-J789</f>
        <v>7.8</v>
      </c>
      <c r="M789" s="18">
        <f>L789*(H789*H789)*0.7854/10000</f>
        <v>3.5384469119999995</v>
      </c>
      <c r="N789" s="5"/>
      <c r="O789" s="8" t="s">
        <v>19</v>
      </c>
    </row>
    <row r="790" spans="1:15" s="14" customFormat="1" x14ac:dyDescent="0.25">
      <c r="A790" s="13">
        <v>813</v>
      </c>
      <c r="B790" s="16">
        <v>813</v>
      </c>
      <c r="C790" s="13" t="s">
        <v>3621</v>
      </c>
      <c r="D790" s="6" t="s">
        <v>1505</v>
      </c>
      <c r="E790" s="13" t="s">
        <v>2931</v>
      </c>
      <c r="F790" s="13"/>
      <c r="G790" s="17">
        <v>6.2</v>
      </c>
      <c r="H790" s="16">
        <v>88</v>
      </c>
      <c r="I790" s="18">
        <v>3.7709999999999999</v>
      </c>
      <c r="J790" s="13"/>
      <c r="K790" s="13"/>
      <c r="L790" s="17">
        <f>G790-J790</f>
        <v>6.2</v>
      </c>
      <c r="M790" s="18">
        <f>L790*(H790*H790)*0.7854/10000</f>
        <v>3.7709253120000001</v>
      </c>
      <c r="N790" s="5" t="s">
        <v>1007</v>
      </c>
      <c r="O790" s="8" t="s">
        <v>19</v>
      </c>
    </row>
    <row r="791" spans="1:15" s="14" customFormat="1" x14ac:dyDescent="0.25">
      <c r="A791" s="13">
        <v>814</v>
      </c>
      <c r="B791" s="16">
        <v>814</v>
      </c>
      <c r="C791" s="13" t="s">
        <v>3622</v>
      </c>
      <c r="D791" s="6">
        <v>980</v>
      </c>
      <c r="E791" s="13" t="s">
        <v>2931</v>
      </c>
      <c r="F791" s="13"/>
      <c r="G791" s="17">
        <v>9.1</v>
      </c>
      <c r="H791" s="16">
        <v>77</v>
      </c>
      <c r="I791" s="18">
        <v>4.2380000000000004</v>
      </c>
      <c r="J791" s="13">
        <v>0.5</v>
      </c>
      <c r="K791" s="13"/>
      <c r="L791" s="17">
        <f>G791-J791</f>
        <v>8.6</v>
      </c>
      <c r="M791" s="18">
        <f>L791*(H791*H791)*0.7854/10000</f>
        <v>4.0047074760000001</v>
      </c>
      <c r="N791" s="5" t="s">
        <v>53</v>
      </c>
      <c r="O791" s="8" t="s">
        <v>30</v>
      </c>
    </row>
    <row r="792" spans="1:15" s="14" customFormat="1" x14ac:dyDescent="0.25">
      <c r="A792" s="13">
        <v>815</v>
      </c>
      <c r="B792" s="16">
        <v>815</v>
      </c>
      <c r="C792" s="13" t="s">
        <v>3623</v>
      </c>
      <c r="D792" s="6" t="s">
        <v>1510</v>
      </c>
      <c r="E792" s="13" t="s">
        <v>2931</v>
      </c>
      <c r="F792" s="13"/>
      <c r="G792" s="17">
        <v>11.7</v>
      </c>
      <c r="H792" s="16">
        <v>88</v>
      </c>
      <c r="I792" s="18">
        <v>7.1159999999999997</v>
      </c>
      <c r="J792" s="13"/>
      <c r="K792" s="13"/>
      <c r="L792" s="17">
        <f>G792-J792</f>
        <v>11.7</v>
      </c>
      <c r="M792" s="18">
        <f>L792*(H792*H792)*0.7854/10000</f>
        <v>7.1161009919999998</v>
      </c>
      <c r="N792" s="5"/>
      <c r="O792" s="8" t="s">
        <v>19</v>
      </c>
    </row>
    <row r="793" spans="1:15" s="14" customFormat="1" x14ac:dyDescent="0.25">
      <c r="A793" s="13">
        <v>816</v>
      </c>
      <c r="B793" s="16">
        <v>816</v>
      </c>
      <c r="C793" s="13" t="s">
        <v>3624</v>
      </c>
      <c r="D793" s="6">
        <v>981</v>
      </c>
      <c r="E793" s="13" t="s">
        <v>2931</v>
      </c>
      <c r="F793" s="13"/>
      <c r="G793" s="17">
        <v>11.7</v>
      </c>
      <c r="H793" s="16">
        <v>108</v>
      </c>
      <c r="I793" s="18">
        <v>10.718</v>
      </c>
      <c r="J793" s="13">
        <v>0.4</v>
      </c>
      <c r="K793" s="13"/>
      <c r="L793" s="17">
        <f>G793-J793</f>
        <v>11.299999999999999</v>
      </c>
      <c r="M793" s="18">
        <f>L793*(H793*H793)*0.7854/10000</f>
        <v>10.351823327999998</v>
      </c>
      <c r="N793" s="5"/>
      <c r="O793" s="8" t="s">
        <v>19</v>
      </c>
    </row>
    <row r="794" spans="1:15" s="14" customFormat="1" x14ac:dyDescent="0.25">
      <c r="A794" s="13">
        <v>817</v>
      </c>
      <c r="B794" s="16">
        <v>817</v>
      </c>
      <c r="C794" s="13" t="s">
        <v>3625</v>
      </c>
      <c r="D794" s="6" t="s">
        <v>1515</v>
      </c>
      <c r="E794" s="13" t="s">
        <v>2931</v>
      </c>
      <c r="F794" s="13"/>
      <c r="G794" s="17">
        <v>5.9</v>
      </c>
      <c r="H794" s="16">
        <v>83</v>
      </c>
      <c r="I794" s="18">
        <v>3.1920000000000002</v>
      </c>
      <c r="J794" s="13"/>
      <c r="K794" s="13"/>
      <c r="L794" s="17">
        <f>G794-J794</f>
        <v>5.9</v>
      </c>
      <c r="M794" s="18">
        <f>L794*(H794*H794)*0.7854/10000</f>
        <v>3.1922661540000004</v>
      </c>
      <c r="N794" s="5"/>
      <c r="O794" s="8" t="s">
        <v>30</v>
      </c>
    </row>
    <row r="795" spans="1:15" s="14" customFormat="1" x14ac:dyDescent="0.25">
      <c r="A795" s="13">
        <v>818</v>
      </c>
      <c r="B795" s="16">
        <v>818</v>
      </c>
      <c r="C795" s="13" t="s">
        <v>3626</v>
      </c>
      <c r="D795" s="6" t="s">
        <v>1518</v>
      </c>
      <c r="E795" s="13" t="s">
        <v>2931</v>
      </c>
      <c r="F795" s="13"/>
      <c r="G795" s="17">
        <v>5.7</v>
      </c>
      <c r="H795" s="16">
        <v>104</v>
      </c>
      <c r="I795" s="18">
        <v>4.8419999999999996</v>
      </c>
      <c r="J795" s="13"/>
      <c r="K795" s="13"/>
      <c r="L795" s="17">
        <f>G795-J795</f>
        <v>5.7</v>
      </c>
      <c r="M795" s="18">
        <f>L795*(H795*H795)*0.7854/10000</f>
        <v>4.8420852480000001</v>
      </c>
      <c r="N795" s="5"/>
      <c r="O795" s="8" t="s">
        <v>19</v>
      </c>
    </row>
    <row r="796" spans="1:15" s="14" customFormat="1" x14ac:dyDescent="0.25">
      <c r="A796" s="13">
        <v>819</v>
      </c>
      <c r="B796" s="16">
        <v>819</v>
      </c>
      <c r="C796" s="13" t="s">
        <v>3627</v>
      </c>
      <c r="D796" s="6" t="s">
        <v>1521</v>
      </c>
      <c r="E796" s="13" t="s">
        <v>2931</v>
      </c>
      <c r="F796" s="13"/>
      <c r="G796" s="17">
        <v>11.4</v>
      </c>
      <c r="H796" s="16">
        <v>103</v>
      </c>
      <c r="I796" s="18">
        <v>9.4990000000000006</v>
      </c>
      <c r="J796" s="13"/>
      <c r="K796" s="13"/>
      <c r="L796" s="17">
        <f>G796-J796</f>
        <v>11.4</v>
      </c>
      <c r="M796" s="18">
        <f>L796*(H796*H796)*0.7854/10000</f>
        <v>9.4988318039999999</v>
      </c>
      <c r="N796" s="5"/>
      <c r="O796" s="8" t="s">
        <v>19</v>
      </c>
    </row>
    <row r="797" spans="1:15" s="14" customFormat="1" x14ac:dyDescent="0.25">
      <c r="A797" s="13">
        <v>820</v>
      </c>
      <c r="B797" s="16">
        <v>820</v>
      </c>
      <c r="C797" s="13" t="s">
        <v>3628</v>
      </c>
      <c r="D797" s="6" t="s">
        <v>1524</v>
      </c>
      <c r="E797" s="13" t="s">
        <v>2931</v>
      </c>
      <c r="F797" s="13"/>
      <c r="G797" s="17">
        <v>10.6</v>
      </c>
      <c r="H797" s="16">
        <v>93</v>
      </c>
      <c r="I797" s="18">
        <v>7.2</v>
      </c>
      <c r="J797" s="13"/>
      <c r="K797" s="13"/>
      <c r="L797" s="17">
        <f>G797-J797</f>
        <v>10.6</v>
      </c>
      <c r="M797" s="18">
        <f>L797*(H797*H797)*0.7854/10000</f>
        <v>7.200500076</v>
      </c>
      <c r="N797" s="5"/>
      <c r="O797" s="8" t="s">
        <v>19</v>
      </c>
    </row>
    <row r="798" spans="1:15" s="14" customFormat="1" x14ac:dyDescent="0.25">
      <c r="A798" s="13">
        <v>821</v>
      </c>
      <c r="B798" s="16">
        <v>821</v>
      </c>
      <c r="C798" s="13" t="s">
        <v>3629</v>
      </c>
      <c r="D798" s="6" t="s">
        <v>1527</v>
      </c>
      <c r="E798" s="13" t="s">
        <v>2931</v>
      </c>
      <c r="F798" s="13"/>
      <c r="G798" s="17">
        <v>5.6</v>
      </c>
      <c r="H798" s="16">
        <v>91</v>
      </c>
      <c r="I798" s="18">
        <v>3.6419999999999999</v>
      </c>
      <c r="J798" s="13"/>
      <c r="K798" s="13"/>
      <c r="L798" s="17">
        <f>G798-J798</f>
        <v>5.6</v>
      </c>
      <c r="M798" s="18">
        <f>L798*(H798*H798)*0.7854/10000</f>
        <v>3.6421825440000002</v>
      </c>
      <c r="N798" s="5"/>
      <c r="O798" s="8" t="s">
        <v>19</v>
      </c>
    </row>
    <row r="799" spans="1:15" s="14" customFormat="1" x14ac:dyDescent="0.25">
      <c r="A799" s="13">
        <v>822</v>
      </c>
      <c r="B799" s="16">
        <v>822</v>
      </c>
      <c r="C799" s="13" t="s">
        <v>3630</v>
      </c>
      <c r="D799" s="6" t="s">
        <v>1530</v>
      </c>
      <c r="E799" s="13" t="s">
        <v>2931</v>
      </c>
      <c r="F799" s="13"/>
      <c r="G799" s="17">
        <v>7.3</v>
      </c>
      <c r="H799" s="16">
        <v>87</v>
      </c>
      <c r="I799" s="18">
        <v>4.34</v>
      </c>
      <c r="J799" s="13"/>
      <c r="K799" s="13"/>
      <c r="L799" s="17">
        <f>G799-J799</f>
        <v>7.3</v>
      </c>
      <c r="M799" s="18">
        <f>L799*(H799*H799)*0.7854/10000</f>
        <v>4.3396255979999996</v>
      </c>
      <c r="N799" s="5"/>
      <c r="O799" s="8" t="s">
        <v>19</v>
      </c>
    </row>
    <row r="800" spans="1:15" s="14" customFormat="1" x14ac:dyDescent="0.25">
      <c r="A800" s="13">
        <v>823</v>
      </c>
      <c r="B800" s="16">
        <v>823</v>
      </c>
      <c r="C800" s="13" t="s">
        <v>3631</v>
      </c>
      <c r="D800" s="6" t="s">
        <v>1533</v>
      </c>
      <c r="E800" s="13" t="s">
        <v>2931</v>
      </c>
      <c r="F800" s="13"/>
      <c r="G800" s="17">
        <v>13.3</v>
      </c>
      <c r="H800" s="16">
        <v>108</v>
      </c>
      <c r="I800" s="18">
        <v>12.183999999999999</v>
      </c>
      <c r="J800" s="13"/>
      <c r="K800" s="13"/>
      <c r="L800" s="17">
        <f>G800-J800</f>
        <v>13.3</v>
      </c>
      <c r="M800" s="18">
        <f>L800*(H800*H800)*0.7854/10000</f>
        <v>12.184004448000001</v>
      </c>
      <c r="N800" s="5"/>
      <c r="O800" s="8" t="s">
        <v>19</v>
      </c>
    </row>
    <row r="801" spans="1:15" s="14" customFormat="1" x14ac:dyDescent="0.25">
      <c r="A801" s="13">
        <v>824</v>
      </c>
      <c r="B801" s="16">
        <v>824</v>
      </c>
      <c r="C801" s="13" t="s">
        <v>3632</v>
      </c>
      <c r="D801" s="6" t="s">
        <v>1536</v>
      </c>
      <c r="E801" s="13" t="s">
        <v>2931</v>
      </c>
      <c r="F801" s="13"/>
      <c r="G801" s="17">
        <v>12.2</v>
      </c>
      <c r="H801" s="16">
        <v>103</v>
      </c>
      <c r="I801" s="18">
        <v>10.164999999999999</v>
      </c>
      <c r="J801" s="13"/>
      <c r="K801" s="13"/>
      <c r="L801" s="17">
        <f>G801-J801</f>
        <v>12.2</v>
      </c>
      <c r="M801" s="18">
        <f>L801*(H801*H801)*0.7854/10000</f>
        <v>10.165416492</v>
      </c>
      <c r="N801" s="5" t="s">
        <v>21</v>
      </c>
      <c r="O801" s="8" t="s">
        <v>19</v>
      </c>
    </row>
    <row r="802" spans="1:15" s="14" customFormat="1" x14ac:dyDescent="0.25">
      <c r="A802" s="13">
        <v>825</v>
      </c>
      <c r="B802" s="16">
        <v>825</v>
      </c>
      <c r="C802" s="13" t="s">
        <v>3633</v>
      </c>
      <c r="D802" s="6" t="s">
        <v>1539</v>
      </c>
      <c r="E802" s="13" t="s">
        <v>2931</v>
      </c>
      <c r="F802" s="13"/>
      <c r="G802" s="17">
        <v>6.8</v>
      </c>
      <c r="H802" s="16">
        <v>99</v>
      </c>
      <c r="I802" s="18">
        <v>5.234</v>
      </c>
      <c r="J802" s="13"/>
      <c r="K802" s="13"/>
      <c r="L802" s="17">
        <f>G802-J802</f>
        <v>6.8</v>
      </c>
      <c r="M802" s="18">
        <f>L802*(H802*H802)*0.7854/10000</f>
        <v>5.2344396720000006</v>
      </c>
      <c r="N802" s="5" t="s">
        <v>1007</v>
      </c>
      <c r="O802" s="8" t="s">
        <v>19</v>
      </c>
    </row>
    <row r="803" spans="1:15" s="14" customFormat="1" x14ac:dyDescent="0.25">
      <c r="A803" s="13">
        <v>826</v>
      </c>
      <c r="B803" s="16">
        <v>826</v>
      </c>
      <c r="C803" s="13" t="s">
        <v>3634</v>
      </c>
      <c r="D803" s="6">
        <v>4957</v>
      </c>
      <c r="E803" s="13" t="s">
        <v>2931</v>
      </c>
      <c r="F803" s="13"/>
      <c r="G803" s="17">
        <v>13.9</v>
      </c>
      <c r="H803" s="16">
        <v>100</v>
      </c>
      <c r="I803" s="18">
        <v>10.917</v>
      </c>
      <c r="J803" s="13"/>
      <c r="K803" s="13"/>
      <c r="L803" s="17">
        <f>G803-J803</f>
        <v>13.9</v>
      </c>
      <c r="M803" s="18">
        <f>L803*(H803*H803)*0.7854/10000</f>
        <v>10.917059999999999</v>
      </c>
      <c r="N803" s="5" t="s">
        <v>1007</v>
      </c>
      <c r="O803" s="8" t="s">
        <v>30</v>
      </c>
    </row>
    <row r="804" spans="1:15" s="14" customFormat="1" x14ac:dyDescent="0.25">
      <c r="A804" s="13">
        <v>827</v>
      </c>
      <c r="B804" s="16">
        <v>827</v>
      </c>
      <c r="C804" s="13" t="s">
        <v>3635</v>
      </c>
      <c r="D804" s="6">
        <v>984</v>
      </c>
      <c r="E804" s="13" t="s">
        <v>2931</v>
      </c>
      <c r="F804" s="13"/>
      <c r="G804" s="17">
        <v>7.6</v>
      </c>
      <c r="H804" s="16">
        <v>113</v>
      </c>
      <c r="I804" s="18">
        <v>7.6219999999999999</v>
      </c>
      <c r="J804" s="13">
        <v>0.3</v>
      </c>
      <c r="K804" s="13"/>
      <c r="L804" s="17">
        <f>G804-J804</f>
        <v>7.3</v>
      </c>
      <c r="M804" s="18">
        <f>L804*(H804*H804)*0.7854/10000</f>
        <v>7.3210039980000001</v>
      </c>
      <c r="N804" s="5"/>
      <c r="O804" s="8" t="s">
        <v>19</v>
      </c>
    </row>
    <row r="805" spans="1:15" s="14" customFormat="1" x14ac:dyDescent="0.25">
      <c r="A805" s="13">
        <v>828</v>
      </c>
      <c r="B805" s="16">
        <v>828</v>
      </c>
      <c r="C805" s="13" t="s">
        <v>3636</v>
      </c>
      <c r="D805" s="6" t="s">
        <v>1546</v>
      </c>
      <c r="E805" s="13" t="s">
        <v>2931</v>
      </c>
      <c r="F805" s="13"/>
      <c r="G805" s="17">
        <v>13.5</v>
      </c>
      <c r="H805" s="16">
        <v>93</v>
      </c>
      <c r="I805" s="18">
        <v>9.17</v>
      </c>
      <c r="J805" s="13"/>
      <c r="K805" s="13"/>
      <c r="L805" s="17">
        <f>G805-J805</f>
        <v>13.5</v>
      </c>
      <c r="M805" s="18">
        <f>L805*(H805*H805)*0.7854/10000</f>
        <v>9.17044821</v>
      </c>
      <c r="N805" s="5"/>
      <c r="O805" s="8" t="s">
        <v>19</v>
      </c>
    </row>
    <row r="806" spans="1:15" s="14" customFormat="1" x14ac:dyDescent="0.25">
      <c r="A806" s="13">
        <v>829</v>
      </c>
      <c r="B806" s="16">
        <v>829</v>
      </c>
      <c r="C806" s="13" t="s">
        <v>3637</v>
      </c>
      <c r="D806" s="6" t="s">
        <v>1549</v>
      </c>
      <c r="E806" s="13" t="s">
        <v>2931</v>
      </c>
      <c r="F806" s="13"/>
      <c r="G806" s="17">
        <v>8.1</v>
      </c>
      <c r="H806" s="16">
        <v>98</v>
      </c>
      <c r="I806" s="18">
        <v>6.11</v>
      </c>
      <c r="J806" s="13"/>
      <c r="K806" s="13"/>
      <c r="L806" s="17">
        <f>G806-J806</f>
        <v>8.1</v>
      </c>
      <c r="M806" s="18">
        <f>L806*(H806*H806)*0.7854/10000</f>
        <v>6.1098150959999993</v>
      </c>
      <c r="N806" s="5"/>
      <c r="O806" s="8" t="s">
        <v>30</v>
      </c>
    </row>
    <row r="807" spans="1:15" s="14" customFormat="1" x14ac:dyDescent="0.25">
      <c r="A807" s="13">
        <v>830</v>
      </c>
      <c r="B807" s="16">
        <v>830</v>
      </c>
      <c r="C807" s="13" t="s">
        <v>3638</v>
      </c>
      <c r="D807" s="6" t="s">
        <v>1552</v>
      </c>
      <c r="E807" s="13" t="s">
        <v>2931</v>
      </c>
      <c r="F807" s="13"/>
      <c r="G807" s="17">
        <v>6.9</v>
      </c>
      <c r="H807" s="16">
        <v>81</v>
      </c>
      <c r="I807" s="18">
        <v>3.556</v>
      </c>
      <c r="J807" s="13"/>
      <c r="K807" s="13"/>
      <c r="L807" s="17">
        <f>G807-J807</f>
        <v>6.9</v>
      </c>
      <c r="M807" s="18">
        <f>L807*(H807*H807)*0.7854/10000</f>
        <v>3.5555764860000001</v>
      </c>
      <c r="N807" s="5"/>
      <c r="O807" s="8" t="s">
        <v>19</v>
      </c>
    </row>
    <row r="808" spans="1:15" s="14" customFormat="1" x14ac:dyDescent="0.25">
      <c r="A808" s="13">
        <v>831</v>
      </c>
      <c r="B808" s="16">
        <v>831</v>
      </c>
      <c r="C808" s="13" t="s">
        <v>3639</v>
      </c>
      <c r="D808" s="6" t="s">
        <v>1555</v>
      </c>
      <c r="E808" s="13" t="s">
        <v>2931</v>
      </c>
      <c r="F808" s="13"/>
      <c r="G808" s="17">
        <v>6.8</v>
      </c>
      <c r="H808" s="16">
        <v>91</v>
      </c>
      <c r="I808" s="18">
        <v>4.423</v>
      </c>
      <c r="J808" s="13"/>
      <c r="K808" s="13"/>
      <c r="L808" s="17">
        <f>G808-J808</f>
        <v>6.8</v>
      </c>
      <c r="M808" s="18">
        <f>L808*(H808*H808)*0.7854/10000</f>
        <v>4.4226502319999996</v>
      </c>
      <c r="N808" s="5"/>
      <c r="O808" s="8" t="s">
        <v>19</v>
      </c>
    </row>
    <row r="809" spans="1:15" s="14" customFormat="1" x14ac:dyDescent="0.25">
      <c r="A809" s="13">
        <v>832</v>
      </c>
      <c r="B809" s="16">
        <v>832</v>
      </c>
      <c r="C809" s="13" t="s">
        <v>3640</v>
      </c>
      <c r="D809" s="6" t="s">
        <v>1558</v>
      </c>
      <c r="E809" s="13" t="s">
        <v>2931</v>
      </c>
      <c r="F809" s="13"/>
      <c r="G809" s="17">
        <v>10.4</v>
      </c>
      <c r="H809" s="16">
        <v>69</v>
      </c>
      <c r="I809" s="18">
        <v>3.8889999999999998</v>
      </c>
      <c r="J809" s="13"/>
      <c r="K809" s="13"/>
      <c r="L809" s="17">
        <f>G809-J809</f>
        <v>10.4</v>
      </c>
      <c r="M809" s="18">
        <f>L809*(H809*H809)*0.7854/10000</f>
        <v>3.8888609760000001</v>
      </c>
      <c r="N809" s="5" t="s">
        <v>21</v>
      </c>
      <c r="O809" s="8" t="s">
        <v>30</v>
      </c>
    </row>
    <row r="810" spans="1:15" s="14" customFormat="1" x14ac:dyDescent="0.25">
      <c r="A810" s="13">
        <v>834</v>
      </c>
      <c r="B810" s="16">
        <v>834</v>
      </c>
      <c r="C810" s="13" t="s">
        <v>3641</v>
      </c>
      <c r="D810" s="6" t="s">
        <v>1561</v>
      </c>
      <c r="E810" s="13" t="s">
        <v>2931</v>
      </c>
      <c r="F810" s="13"/>
      <c r="G810" s="17">
        <v>11.4</v>
      </c>
      <c r="H810" s="16">
        <v>97</v>
      </c>
      <c r="I810" s="18">
        <v>8.4239999999999995</v>
      </c>
      <c r="J810" s="13"/>
      <c r="K810" s="13"/>
      <c r="L810" s="17">
        <f>G810-J810</f>
        <v>11.4</v>
      </c>
      <c r="M810" s="18">
        <f>L810*(H810*H810)*0.7854/10000</f>
        <v>8.4244046039999994</v>
      </c>
      <c r="N810" s="5"/>
      <c r="O810" s="8" t="s">
        <v>19</v>
      </c>
    </row>
    <row r="811" spans="1:15" s="14" customFormat="1" x14ac:dyDescent="0.25">
      <c r="A811" s="13">
        <v>835</v>
      </c>
      <c r="B811" s="16">
        <v>835</v>
      </c>
      <c r="C811" s="13" t="s">
        <v>3642</v>
      </c>
      <c r="D811" s="6" t="s">
        <v>1564</v>
      </c>
      <c r="E811" s="13" t="s">
        <v>2931</v>
      </c>
      <c r="F811" s="13"/>
      <c r="G811" s="17">
        <v>5.5</v>
      </c>
      <c r="H811" s="16">
        <v>67</v>
      </c>
      <c r="I811" s="18">
        <v>1.9390000000000001</v>
      </c>
      <c r="J811" s="13"/>
      <c r="K811" s="13"/>
      <c r="L811" s="17">
        <f>G811-J811</f>
        <v>5.5</v>
      </c>
      <c r="M811" s="18">
        <f>L811*(H811*H811)*0.7854/10000</f>
        <v>1.9391133300000001</v>
      </c>
      <c r="N811" s="5" t="s">
        <v>35</v>
      </c>
      <c r="O811" s="8" t="s">
        <v>19</v>
      </c>
    </row>
    <row r="812" spans="1:15" s="14" customFormat="1" x14ac:dyDescent="0.25">
      <c r="A812" s="13">
        <v>837</v>
      </c>
      <c r="B812" s="16">
        <v>837</v>
      </c>
      <c r="C812" s="13" t="s">
        <v>3643</v>
      </c>
      <c r="D812" s="6" t="s">
        <v>1567</v>
      </c>
      <c r="E812" s="13" t="s">
        <v>2931</v>
      </c>
      <c r="F812" s="13"/>
      <c r="G812" s="17">
        <v>6.6</v>
      </c>
      <c r="H812" s="16">
        <v>90</v>
      </c>
      <c r="I812" s="18">
        <v>4.1989999999999998</v>
      </c>
      <c r="J812" s="13"/>
      <c r="K812" s="13"/>
      <c r="L812" s="17">
        <f>G812-J812</f>
        <v>6.6</v>
      </c>
      <c r="M812" s="18">
        <f>L812*(H812*H812)*0.7854/10000</f>
        <v>4.1987483999999995</v>
      </c>
      <c r="N812" s="5"/>
      <c r="O812" s="8" t="s">
        <v>19</v>
      </c>
    </row>
    <row r="813" spans="1:15" s="14" customFormat="1" x14ac:dyDescent="0.25">
      <c r="A813" s="13">
        <v>838</v>
      </c>
      <c r="B813" s="16">
        <v>838</v>
      </c>
      <c r="C813" s="13" t="s">
        <v>3644</v>
      </c>
      <c r="D813" s="6" t="s">
        <v>1570</v>
      </c>
      <c r="E813" s="13" t="s">
        <v>2931</v>
      </c>
      <c r="F813" s="13"/>
      <c r="G813" s="17">
        <v>11.5</v>
      </c>
      <c r="H813" s="16">
        <v>115</v>
      </c>
      <c r="I813" s="18">
        <v>11.945</v>
      </c>
      <c r="J813" s="13">
        <v>0.3</v>
      </c>
      <c r="K813" s="13"/>
      <c r="L813" s="17">
        <f>G813-J813</f>
        <v>11.2</v>
      </c>
      <c r="M813" s="18">
        <f>L813*(H813*H813)*0.7854/10000</f>
        <v>11.6333448</v>
      </c>
      <c r="N813" s="5"/>
      <c r="O813" s="8" t="s">
        <v>19</v>
      </c>
    </row>
    <row r="814" spans="1:15" s="14" customFormat="1" x14ac:dyDescent="0.25">
      <c r="A814" s="13">
        <v>839</v>
      </c>
      <c r="B814" s="16">
        <v>839</v>
      </c>
      <c r="C814" s="13" t="s">
        <v>3645</v>
      </c>
      <c r="D814" s="6">
        <v>5159</v>
      </c>
      <c r="E814" s="13" t="s">
        <v>2931</v>
      </c>
      <c r="F814" s="13"/>
      <c r="G814" s="17">
        <v>6.2</v>
      </c>
      <c r="H814" s="16">
        <v>84</v>
      </c>
      <c r="I814" s="18">
        <v>3.4359999999999999</v>
      </c>
      <c r="J814" s="13"/>
      <c r="K814" s="13"/>
      <c r="L814" s="17">
        <f>G814-J814</f>
        <v>6.2</v>
      </c>
      <c r="M814" s="18">
        <f>L814*(H814*H814)*0.7854/10000</f>
        <v>3.4359050880000002</v>
      </c>
      <c r="N814" s="5"/>
      <c r="O814" s="8" t="s">
        <v>19</v>
      </c>
    </row>
    <row r="815" spans="1:15" s="14" customFormat="1" x14ac:dyDescent="0.25">
      <c r="A815" s="13">
        <v>840</v>
      </c>
      <c r="B815" s="16">
        <v>840</v>
      </c>
      <c r="C815" s="13" t="s">
        <v>3646</v>
      </c>
      <c r="D815" s="6" t="s">
        <v>1575</v>
      </c>
      <c r="E815" s="13" t="s">
        <v>2931</v>
      </c>
      <c r="F815" s="13"/>
      <c r="G815" s="17">
        <v>7</v>
      </c>
      <c r="H815" s="16">
        <v>106</v>
      </c>
      <c r="I815" s="18">
        <v>6.1769999999999996</v>
      </c>
      <c r="J815" s="13">
        <v>0.3</v>
      </c>
      <c r="K815" s="13"/>
      <c r="L815" s="17">
        <f>G815-J815</f>
        <v>6.7</v>
      </c>
      <c r="M815" s="18">
        <f>L815*(H815*H815)*0.7854/10000</f>
        <v>5.9125854479999997</v>
      </c>
      <c r="N815" s="5"/>
      <c r="O815" s="8" t="s">
        <v>19</v>
      </c>
    </row>
    <row r="816" spans="1:15" s="14" customFormat="1" x14ac:dyDescent="0.25">
      <c r="A816" s="13">
        <v>841</v>
      </c>
      <c r="B816" s="16">
        <v>841</v>
      </c>
      <c r="C816" s="13" t="s">
        <v>3647</v>
      </c>
      <c r="D816" s="6" t="s">
        <v>1578</v>
      </c>
      <c r="E816" s="13" t="s">
        <v>2931</v>
      </c>
      <c r="F816" s="13"/>
      <c r="G816" s="17">
        <v>11.1</v>
      </c>
      <c r="H816" s="16">
        <v>101</v>
      </c>
      <c r="I816" s="18">
        <v>8.8930000000000007</v>
      </c>
      <c r="J816" s="13"/>
      <c r="K816" s="13"/>
      <c r="L816" s="17">
        <f>G816-J816</f>
        <v>11.1</v>
      </c>
      <c r="M816" s="18">
        <f>L816*(H816*H816)*0.7854/10000</f>
        <v>8.893170593999999</v>
      </c>
      <c r="N816" s="5"/>
      <c r="O816" s="8" t="s">
        <v>19</v>
      </c>
    </row>
    <row r="817" spans="1:15" s="14" customFormat="1" x14ac:dyDescent="0.25">
      <c r="A817" s="13">
        <v>842</v>
      </c>
      <c r="B817" s="16">
        <v>842</v>
      </c>
      <c r="C817" s="13" t="s">
        <v>3648</v>
      </c>
      <c r="D817" s="6" t="s">
        <v>1581</v>
      </c>
      <c r="E817" s="13" t="s">
        <v>2931</v>
      </c>
      <c r="F817" s="13"/>
      <c r="G817" s="17">
        <v>5.2</v>
      </c>
      <c r="H817" s="16">
        <v>93</v>
      </c>
      <c r="I817" s="18">
        <v>3.532</v>
      </c>
      <c r="J817" s="13"/>
      <c r="K817" s="13"/>
      <c r="L817" s="17">
        <f>G817-J817</f>
        <v>5.2</v>
      </c>
      <c r="M817" s="18">
        <f>L817*(H817*H817)*0.7854/10000</f>
        <v>3.5323207920000002</v>
      </c>
      <c r="N817" s="5"/>
      <c r="O817" s="8" t="s">
        <v>19</v>
      </c>
    </row>
    <row r="818" spans="1:15" s="14" customFormat="1" x14ac:dyDescent="0.25">
      <c r="A818" s="13">
        <v>843</v>
      </c>
      <c r="B818" s="16">
        <v>843</v>
      </c>
      <c r="C818" s="13" t="s">
        <v>3649</v>
      </c>
      <c r="D818" s="6">
        <v>988</v>
      </c>
      <c r="E818" s="13" t="s">
        <v>2931</v>
      </c>
      <c r="F818" s="13"/>
      <c r="G818" s="17">
        <v>14.1</v>
      </c>
      <c r="H818" s="16">
        <v>116</v>
      </c>
      <c r="I818" s="18">
        <v>14.901</v>
      </c>
      <c r="J818" s="13"/>
      <c r="K818" s="13"/>
      <c r="L818" s="17">
        <f>G818-J818</f>
        <v>14.1</v>
      </c>
      <c r="M818" s="18">
        <f>L818*(H818*H818)*0.7854/10000</f>
        <v>14.901362784</v>
      </c>
      <c r="N818" s="5" t="s">
        <v>21</v>
      </c>
      <c r="O818" s="8" t="s">
        <v>30</v>
      </c>
    </row>
    <row r="819" spans="1:15" s="14" customFormat="1" x14ac:dyDescent="0.25">
      <c r="A819" s="13">
        <v>844</v>
      </c>
      <c r="B819" s="16">
        <v>844</v>
      </c>
      <c r="C819" s="13" t="s">
        <v>3650</v>
      </c>
      <c r="D819" s="6">
        <v>5161</v>
      </c>
      <c r="E819" s="13" t="s">
        <v>2931</v>
      </c>
      <c r="F819" s="13"/>
      <c r="G819" s="17">
        <v>11.7</v>
      </c>
      <c r="H819" s="16">
        <v>96</v>
      </c>
      <c r="I819" s="18">
        <v>8.4689999999999994</v>
      </c>
      <c r="J819" s="13">
        <v>0.3</v>
      </c>
      <c r="K819" s="13"/>
      <c r="L819" s="17">
        <f>G819-J819</f>
        <v>11.399999999999999</v>
      </c>
      <c r="M819" s="18">
        <f>L819*(H819*H819)*0.7854/10000</f>
        <v>8.2516008959999994</v>
      </c>
      <c r="N819" s="5" t="s">
        <v>21</v>
      </c>
      <c r="O819" s="8" t="s">
        <v>19</v>
      </c>
    </row>
    <row r="820" spans="1:15" s="14" customFormat="1" x14ac:dyDescent="0.25">
      <c r="A820" s="13">
        <v>845</v>
      </c>
      <c r="B820" s="16">
        <v>845</v>
      </c>
      <c r="C820" s="13" t="s">
        <v>3651</v>
      </c>
      <c r="D820" s="6" t="s">
        <v>1588</v>
      </c>
      <c r="E820" s="13" t="s">
        <v>2931</v>
      </c>
      <c r="F820" s="13"/>
      <c r="G820" s="17">
        <v>10.5</v>
      </c>
      <c r="H820" s="16">
        <v>89</v>
      </c>
      <c r="I820" s="18">
        <v>6.532</v>
      </c>
      <c r="J820" s="13"/>
      <c r="K820" s="13"/>
      <c r="L820" s="17">
        <f>G820-J820</f>
        <v>10.5</v>
      </c>
      <c r="M820" s="18">
        <f>L820*(H820*H820)*0.7854/10000</f>
        <v>6.5322110699999998</v>
      </c>
      <c r="N820" s="5"/>
      <c r="O820" s="8" t="s">
        <v>19</v>
      </c>
    </row>
    <row r="821" spans="1:15" s="14" customFormat="1" x14ac:dyDescent="0.25">
      <c r="A821" s="13">
        <v>846</v>
      </c>
      <c r="B821" s="16">
        <v>846</v>
      </c>
      <c r="C821" s="13" t="s">
        <v>3652</v>
      </c>
      <c r="D821" s="6">
        <v>5162</v>
      </c>
      <c r="E821" s="13" t="s">
        <v>2931</v>
      </c>
      <c r="F821" s="13"/>
      <c r="G821" s="17">
        <v>13.5</v>
      </c>
      <c r="H821" s="16">
        <v>93</v>
      </c>
      <c r="I821" s="18">
        <v>9.17</v>
      </c>
      <c r="J821" s="13"/>
      <c r="K821" s="13"/>
      <c r="L821" s="17">
        <f>G821-J821</f>
        <v>13.5</v>
      </c>
      <c r="M821" s="18">
        <f>L821*(H821*H821)*0.7854/10000</f>
        <v>9.17044821</v>
      </c>
      <c r="N821" s="5"/>
      <c r="O821" s="8" t="s">
        <v>30</v>
      </c>
    </row>
    <row r="822" spans="1:15" s="14" customFormat="1" x14ac:dyDescent="0.25">
      <c r="A822" s="13">
        <v>847</v>
      </c>
      <c r="B822" s="16">
        <v>847</v>
      </c>
      <c r="C822" s="13" t="s">
        <v>3653</v>
      </c>
      <c r="D822" s="6" t="s">
        <v>1593</v>
      </c>
      <c r="E822" s="13" t="s">
        <v>2931</v>
      </c>
      <c r="F822" s="13"/>
      <c r="G822" s="17">
        <v>4.8</v>
      </c>
      <c r="H822" s="16">
        <v>88</v>
      </c>
      <c r="I822" s="18">
        <v>2.919</v>
      </c>
      <c r="J822" s="13"/>
      <c r="K822" s="13"/>
      <c r="L822" s="17">
        <f>G822-J822</f>
        <v>4.8</v>
      </c>
      <c r="M822" s="18">
        <f>L822*(H822*H822)*0.7854/10000</f>
        <v>2.9194260479999996</v>
      </c>
      <c r="N822" s="5"/>
      <c r="O822" s="8" t="s">
        <v>19</v>
      </c>
    </row>
    <row r="823" spans="1:15" s="14" customFormat="1" x14ac:dyDescent="0.25">
      <c r="A823" s="13">
        <v>848</v>
      </c>
      <c r="B823" s="16">
        <v>848</v>
      </c>
      <c r="C823" s="13" t="s">
        <v>3654</v>
      </c>
      <c r="D823" s="6" t="s">
        <v>1596</v>
      </c>
      <c r="E823" s="13" t="s">
        <v>2931</v>
      </c>
      <c r="F823" s="13"/>
      <c r="G823" s="17">
        <v>10.1</v>
      </c>
      <c r="H823" s="16">
        <v>84</v>
      </c>
      <c r="I823" s="18">
        <v>5.5970000000000004</v>
      </c>
      <c r="J823" s="13"/>
      <c r="K823" s="13"/>
      <c r="L823" s="17">
        <f>G823-J823</f>
        <v>10.1</v>
      </c>
      <c r="M823" s="18">
        <f>L823*(H823*H823)*0.7854/10000</f>
        <v>5.5972002239999998</v>
      </c>
      <c r="N823" s="5"/>
      <c r="O823" s="8" t="s">
        <v>19</v>
      </c>
    </row>
    <row r="824" spans="1:15" s="14" customFormat="1" x14ac:dyDescent="0.25">
      <c r="A824" s="13">
        <v>849</v>
      </c>
      <c r="B824" s="16">
        <v>849</v>
      </c>
      <c r="C824" s="13" t="s">
        <v>3655</v>
      </c>
      <c r="D824" s="6">
        <v>4936</v>
      </c>
      <c r="E824" s="13" t="s">
        <v>2931</v>
      </c>
      <c r="F824" s="13"/>
      <c r="G824" s="17">
        <v>9.4</v>
      </c>
      <c r="H824" s="16">
        <v>101</v>
      </c>
      <c r="I824" s="18">
        <v>7.5309999999999997</v>
      </c>
      <c r="J824" s="13">
        <v>0.5</v>
      </c>
      <c r="K824" s="13"/>
      <c r="L824" s="17">
        <f>G824-J824</f>
        <v>8.9</v>
      </c>
      <c r="M824" s="18">
        <f>L824*(H824*H824)*0.7854/10000</f>
        <v>7.1305602060000002</v>
      </c>
      <c r="N824" s="5" t="s">
        <v>157</v>
      </c>
      <c r="O824" s="8" t="s">
        <v>30</v>
      </c>
    </row>
    <row r="825" spans="1:15" s="14" customFormat="1" x14ac:dyDescent="0.25">
      <c r="A825" s="13">
        <v>850</v>
      </c>
      <c r="B825" s="16">
        <v>850</v>
      </c>
      <c r="C825" s="13" t="s">
        <v>3656</v>
      </c>
      <c r="D825" s="6" t="s">
        <v>1601</v>
      </c>
      <c r="E825" s="13" t="s">
        <v>2931</v>
      </c>
      <c r="F825" s="13"/>
      <c r="G825" s="17">
        <v>5.6</v>
      </c>
      <c r="H825" s="16">
        <v>81</v>
      </c>
      <c r="I825" s="18">
        <v>2.8860000000000001</v>
      </c>
      <c r="J825" s="13">
        <v>0.3</v>
      </c>
      <c r="K825" s="13"/>
      <c r="L825" s="17">
        <f>G825-J825</f>
        <v>5.3</v>
      </c>
      <c r="M825" s="18">
        <f>L825*(H825*H825)*0.7854/10000</f>
        <v>2.7310949819999992</v>
      </c>
      <c r="N825" s="5"/>
      <c r="O825" s="8" t="s">
        <v>19</v>
      </c>
    </row>
    <row r="826" spans="1:15" s="14" customFormat="1" x14ac:dyDescent="0.25">
      <c r="A826" s="13">
        <v>851</v>
      </c>
      <c r="B826" s="16">
        <v>851</v>
      </c>
      <c r="C826" s="13" t="s">
        <v>3657</v>
      </c>
      <c r="D826" s="6" t="s">
        <v>1604</v>
      </c>
      <c r="E826" s="13" t="s">
        <v>2931</v>
      </c>
      <c r="F826" s="13"/>
      <c r="G826" s="17">
        <v>8.1</v>
      </c>
      <c r="H826" s="16">
        <v>100</v>
      </c>
      <c r="I826" s="18">
        <v>6.3620000000000001</v>
      </c>
      <c r="J826" s="13"/>
      <c r="K826" s="13"/>
      <c r="L826" s="17">
        <f>G826-J826</f>
        <v>8.1</v>
      </c>
      <c r="M826" s="18">
        <f>L826*(H826*H826)*0.7854/10000</f>
        <v>6.3617400000000002</v>
      </c>
      <c r="N826" s="5"/>
      <c r="O826" s="8" t="s">
        <v>19</v>
      </c>
    </row>
    <row r="827" spans="1:15" s="14" customFormat="1" x14ac:dyDescent="0.25">
      <c r="A827" s="13">
        <v>852</v>
      </c>
      <c r="B827" s="16">
        <v>852</v>
      </c>
      <c r="C827" s="13" t="s">
        <v>3658</v>
      </c>
      <c r="D827" s="6">
        <v>4937</v>
      </c>
      <c r="E827" s="13" t="s">
        <v>2931</v>
      </c>
      <c r="F827" s="13"/>
      <c r="G827" s="17">
        <v>6.4</v>
      </c>
      <c r="H827" s="16">
        <v>68</v>
      </c>
      <c r="I827" s="18">
        <v>2.3239999999999998</v>
      </c>
      <c r="J827" s="13">
        <v>0.3</v>
      </c>
      <c r="K827" s="13"/>
      <c r="L827" s="17">
        <f>G827-J827</f>
        <v>6.1000000000000005</v>
      </c>
      <c r="M827" s="18">
        <f>L827*(H827*H827)*0.7854/10000</f>
        <v>2.2153306559999999</v>
      </c>
      <c r="N827" s="5" t="s">
        <v>1007</v>
      </c>
      <c r="O827" s="8" t="s">
        <v>19</v>
      </c>
    </row>
    <row r="828" spans="1:15" s="14" customFormat="1" x14ac:dyDescent="0.25">
      <c r="A828" s="13">
        <v>853</v>
      </c>
      <c r="B828" s="16">
        <v>853</v>
      </c>
      <c r="C828" s="13" t="s">
        <v>3659</v>
      </c>
      <c r="D828" s="6" t="s">
        <v>1609</v>
      </c>
      <c r="E828" s="13" t="s">
        <v>2931</v>
      </c>
      <c r="F828" s="13"/>
      <c r="G828" s="17">
        <v>8.8000000000000007</v>
      </c>
      <c r="H828" s="16">
        <v>95</v>
      </c>
      <c r="I828" s="18">
        <v>6.2380000000000004</v>
      </c>
      <c r="J828" s="13">
        <v>0.3</v>
      </c>
      <c r="K828" s="13"/>
      <c r="L828" s="17">
        <f>G828-J828</f>
        <v>8.5</v>
      </c>
      <c r="M828" s="18">
        <f>L828*(H828*H828)*0.7854/10000</f>
        <v>6.0249997500000001</v>
      </c>
      <c r="N828" s="5"/>
      <c r="O828" s="8" t="s">
        <v>19</v>
      </c>
    </row>
    <row r="829" spans="1:15" s="14" customFormat="1" x14ac:dyDescent="0.25">
      <c r="A829" s="13">
        <v>854</v>
      </c>
      <c r="B829" s="16">
        <v>854</v>
      </c>
      <c r="C829" s="13" t="s">
        <v>3660</v>
      </c>
      <c r="D829" s="6" t="s">
        <v>1612</v>
      </c>
      <c r="E829" s="13" t="s">
        <v>2931</v>
      </c>
      <c r="F829" s="13"/>
      <c r="G829" s="17">
        <v>11.6</v>
      </c>
      <c r="H829" s="16">
        <v>64</v>
      </c>
      <c r="I829" s="18">
        <v>3.7320000000000002</v>
      </c>
      <c r="J829" s="13"/>
      <c r="K829" s="13"/>
      <c r="L829" s="17">
        <f>G829-J829</f>
        <v>11.6</v>
      </c>
      <c r="M829" s="18">
        <f>L829*(H829*H829)*0.7854/10000</f>
        <v>3.7317181440000002</v>
      </c>
      <c r="N829" s="5" t="s">
        <v>21</v>
      </c>
      <c r="O829" s="8" t="s">
        <v>19</v>
      </c>
    </row>
    <row r="830" spans="1:15" s="14" customFormat="1" x14ac:dyDescent="0.25">
      <c r="A830" s="13">
        <v>855</v>
      </c>
      <c r="B830" s="16">
        <v>855</v>
      </c>
      <c r="C830" s="13" t="s">
        <v>3661</v>
      </c>
      <c r="D830" s="6" t="s">
        <v>1615</v>
      </c>
      <c r="E830" s="13" t="s">
        <v>2931</v>
      </c>
      <c r="F830" s="13"/>
      <c r="G830" s="17">
        <v>5.2</v>
      </c>
      <c r="H830" s="16">
        <v>91</v>
      </c>
      <c r="I830" s="18">
        <v>3.3820000000000001</v>
      </c>
      <c r="J830" s="13">
        <v>0.3</v>
      </c>
      <c r="K830" s="13"/>
      <c r="L830" s="17">
        <f>G830-J830</f>
        <v>4.9000000000000004</v>
      </c>
      <c r="M830" s="18">
        <f>L830*(H830*H830)*0.7854/10000</f>
        <v>3.1869097260000001</v>
      </c>
      <c r="N830" s="5"/>
      <c r="O830" s="8" t="s">
        <v>19</v>
      </c>
    </row>
    <row r="831" spans="1:15" s="14" customFormat="1" x14ac:dyDescent="0.25">
      <c r="A831" s="13">
        <v>856</v>
      </c>
      <c r="B831" s="16">
        <v>856</v>
      </c>
      <c r="C831" s="13" t="s">
        <v>3662</v>
      </c>
      <c r="D831" s="6" t="s">
        <v>1618</v>
      </c>
      <c r="E831" s="13" t="s">
        <v>2931</v>
      </c>
      <c r="F831" s="13"/>
      <c r="G831" s="17">
        <v>9.6</v>
      </c>
      <c r="H831" s="16">
        <v>59</v>
      </c>
      <c r="I831" s="18">
        <v>2.625</v>
      </c>
      <c r="J831" s="13"/>
      <c r="K831" s="13"/>
      <c r="L831" s="17">
        <f>G831-J831</f>
        <v>9.6</v>
      </c>
      <c r="M831" s="18">
        <f>L831*(H831*H831)*0.7854/10000</f>
        <v>2.6246183040000002</v>
      </c>
      <c r="N831" s="5" t="s">
        <v>53</v>
      </c>
      <c r="O831" s="8" t="s">
        <v>19</v>
      </c>
    </row>
    <row r="832" spans="1:15" s="14" customFormat="1" x14ac:dyDescent="0.25">
      <c r="A832" s="13">
        <v>857</v>
      </c>
      <c r="B832" s="16">
        <v>857</v>
      </c>
      <c r="C832" s="13" t="s">
        <v>3663</v>
      </c>
      <c r="D832" s="6" t="s">
        <v>1621</v>
      </c>
      <c r="E832" s="13" t="s">
        <v>2931</v>
      </c>
      <c r="F832" s="13"/>
      <c r="G832" s="17">
        <v>11.2</v>
      </c>
      <c r="H832" s="16">
        <v>62</v>
      </c>
      <c r="I832" s="18">
        <v>3.3809999999999998</v>
      </c>
      <c r="J832" s="13">
        <v>0.3</v>
      </c>
      <c r="K832" s="13"/>
      <c r="L832" s="17">
        <f>G832-J832</f>
        <v>10.899999999999999</v>
      </c>
      <c r="M832" s="18">
        <f>L832*(H832*H832)*0.7854/10000</f>
        <v>3.2907945839999995</v>
      </c>
      <c r="N832" s="5"/>
      <c r="O832" s="8" t="s">
        <v>19</v>
      </c>
    </row>
    <row r="833" spans="1:15" s="14" customFormat="1" x14ac:dyDescent="0.25">
      <c r="A833" s="13">
        <v>858</v>
      </c>
      <c r="B833" s="16">
        <v>858</v>
      </c>
      <c r="C833" s="13" t="s">
        <v>3664</v>
      </c>
      <c r="D833" s="6">
        <v>756</v>
      </c>
      <c r="E833" s="13" t="s">
        <v>2931</v>
      </c>
      <c r="F833" s="13"/>
      <c r="G833" s="17">
        <v>13.8</v>
      </c>
      <c r="H833" s="16">
        <v>100</v>
      </c>
      <c r="I833" s="18">
        <v>10.837999999999999</v>
      </c>
      <c r="J833" s="13"/>
      <c r="K833" s="13"/>
      <c r="L833" s="17">
        <f>G833-J833</f>
        <v>13.8</v>
      </c>
      <c r="M833" s="18">
        <f>L833*(H833*H833)*0.7854/10000</f>
        <v>10.838519999999999</v>
      </c>
      <c r="N833" s="5" t="s">
        <v>35</v>
      </c>
      <c r="O833" s="8" t="s">
        <v>30</v>
      </c>
    </row>
    <row r="834" spans="1:15" s="14" customFormat="1" x14ac:dyDescent="0.25">
      <c r="A834" s="13">
        <v>859</v>
      </c>
      <c r="B834" s="16">
        <v>859</v>
      </c>
      <c r="C834" s="13" t="s">
        <v>3665</v>
      </c>
      <c r="D834" s="6">
        <v>4725</v>
      </c>
      <c r="E834" s="13" t="s">
        <v>2931</v>
      </c>
      <c r="F834" s="13"/>
      <c r="G834" s="17">
        <v>12.5</v>
      </c>
      <c r="H834" s="16">
        <v>144</v>
      </c>
      <c r="I834" s="18">
        <v>20.358000000000001</v>
      </c>
      <c r="J834" s="13">
        <v>0.4</v>
      </c>
      <c r="K834" s="13"/>
      <c r="L834" s="17">
        <f>G834-J834</f>
        <v>12.1</v>
      </c>
      <c r="M834" s="18">
        <f>L834*(H834*H834)*0.7854/10000</f>
        <v>19.706125824000001</v>
      </c>
      <c r="N834" s="5"/>
      <c r="O834" s="8" t="s">
        <v>19</v>
      </c>
    </row>
    <row r="835" spans="1:15" s="14" customFormat="1" x14ac:dyDescent="0.25">
      <c r="A835" s="13">
        <v>860</v>
      </c>
      <c r="B835" s="16">
        <v>860</v>
      </c>
      <c r="C835" s="13" t="s">
        <v>3666</v>
      </c>
      <c r="D835" s="6" t="s">
        <v>1628</v>
      </c>
      <c r="E835" s="13" t="s">
        <v>2931</v>
      </c>
      <c r="F835" s="13"/>
      <c r="G835" s="17">
        <v>11.1</v>
      </c>
      <c r="H835" s="16">
        <v>103</v>
      </c>
      <c r="I835" s="18">
        <v>9.2490000000000006</v>
      </c>
      <c r="J835" s="13"/>
      <c r="K835" s="13"/>
      <c r="L835" s="17">
        <f>G835-J835</f>
        <v>11.1</v>
      </c>
      <c r="M835" s="18">
        <f>L835*(H835*H835)*0.7854/10000</f>
        <v>9.2488625459999998</v>
      </c>
      <c r="N835" s="5"/>
      <c r="O835" s="8" t="s">
        <v>19</v>
      </c>
    </row>
    <row r="836" spans="1:15" s="14" customFormat="1" x14ac:dyDescent="0.25">
      <c r="A836" s="13">
        <v>861</v>
      </c>
      <c r="B836" s="16">
        <v>861</v>
      </c>
      <c r="C836" s="13" t="s">
        <v>3667</v>
      </c>
      <c r="D836" s="6" t="s">
        <v>1631</v>
      </c>
      <c r="E836" s="13" t="s">
        <v>2931</v>
      </c>
      <c r="F836" s="13"/>
      <c r="G836" s="17">
        <v>9.5</v>
      </c>
      <c r="H836" s="16">
        <v>77</v>
      </c>
      <c r="I836" s="18">
        <v>4.4240000000000004</v>
      </c>
      <c r="J836" s="13"/>
      <c r="K836" s="13"/>
      <c r="L836" s="17">
        <f>G836-J836</f>
        <v>9.5</v>
      </c>
      <c r="M836" s="18">
        <f>L836*(H836*H836)*0.7854/10000</f>
        <v>4.4238047700000003</v>
      </c>
      <c r="N836" s="5"/>
      <c r="O836" s="8" t="s">
        <v>30</v>
      </c>
    </row>
    <row r="837" spans="1:15" s="14" customFormat="1" x14ac:dyDescent="0.25">
      <c r="A837" s="13">
        <v>862</v>
      </c>
      <c r="B837" s="16">
        <v>862</v>
      </c>
      <c r="C837" s="13" t="s">
        <v>3668</v>
      </c>
      <c r="D837" s="6">
        <v>4940</v>
      </c>
      <c r="E837" s="13" t="s">
        <v>2931</v>
      </c>
      <c r="F837" s="13"/>
      <c r="G837" s="17">
        <v>10.1</v>
      </c>
      <c r="H837" s="16">
        <v>78</v>
      </c>
      <c r="I837" s="18">
        <v>4.8259999999999996</v>
      </c>
      <c r="J837" s="13"/>
      <c r="K837" s="13"/>
      <c r="L837" s="17">
        <f>G837-J837</f>
        <v>10.1</v>
      </c>
      <c r="M837" s="18">
        <f>L837*(H837*H837)*0.7854/10000</f>
        <v>4.8261573360000005</v>
      </c>
      <c r="N837" s="5" t="s">
        <v>53</v>
      </c>
      <c r="O837" s="8" t="s">
        <v>19</v>
      </c>
    </row>
    <row r="838" spans="1:15" s="14" customFormat="1" x14ac:dyDescent="0.25">
      <c r="A838" s="13">
        <v>863</v>
      </c>
      <c r="B838" s="16">
        <v>863</v>
      </c>
      <c r="C838" s="13" t="s">
        <v>3669</v>
      </c>
      <c r="D838" s="6" t="s">
        <v>1636</v>
      </c>
      <c r="E838" s="13" t="s">
        <v>2931</v>
      </c>
      <c r="F838" s="13"/>
      <c r="G838" s="17">
        <v>4.5</v>
      </c>
      <c r="H838" s="16">
        <v>94</v>
      </c>
      <c r="I838" s="18">
        <v>3.1230000000000002</v>
      </c>
      <c r="J838" s="13"/>
      <c r="K838" s="13"/>
      <c r="L838" s="17">
        <f>G838-J838</f>
        <v>4.5</v>
      </c>
      <c r="M838" s="18">
        <f>L838*(H838*H838)*0.7854/10000</f>
        <v>3.1229074799999998</v>
      </c>
      <c r="N838" s="5"/>
      <c r="O838" s="8" t="s">
        <v>19</v>
      </c>
    </row>
    <row r="839" spans="1:15" s="14" customFormat="1" x14ac:dyDescent="0.25">
      <c r="A839" s="13">
        <v>864</v>
      </c>
      <c r="B839" s="16">
        <v>864</v>
      </c>
      <c r="C839" s="13" t="s">
        <v>3670</v>
      </c>
      <c r="D839" s="6">
        <v>5167</v>
      </c>
      <c r="E839" s="13" t="s">
        <v>2931</v>
      </c>
      <c r="F839" s="13"/>
      <c r="G839" s="17">
        <v>9</v>
      </c>
      <c r="H839" s="16">
        <v>90</v>
      </c>
      <c r="I839" s="18">
        <v>5.726</v>
      </c>
      <c r="J839" s="13"/>
      <c r="K839" s="13"/>
      <c r="L839" s="17">
        <f>G839-J839</f>
        <v>9</v>
      </c>
      <c r="M839" s="18">
        <f>L839*(H839*H839)*0.7854/10000</f>
        <v>5.7255659999999997</v>
      </c>
      <c r="N839" s="5"/>
      <c r="O839" s="8" t="s">
        <v>30</v>
      </c>
    </row>
    <row r="840" spans="1:15" s="14" customFormat="1" x14ac:dyDescent="0.25">
      <c r="A840" s="13">
        <v>865</v>
      </c>
      <c r="B840" s="16">
        <v>865</v>
      </c>
      <c r="C840" s="13" t="s">
        <v>3671</v>
      </c>
      <c r="D840" s="6" t="s">
        <v>1641</v>
      </c>
      <c r="E840" s="13" t="s">
        <v>2931</v>
      </c>
      <c r="F840" s="13"/>
      <c r="G840" s="17">
        <v>8.5</v>
      </c>
      <c r="H840" s="16">
        <v>99</v>
      </c>
      <c r="I840" s="18">
        <v>6.5430000000000001</v>
      </c>
      <c r="J840" s="13"/>
      <c r="K840" s="13"/>
      <c r="L840" s="17">
        <f>G840-J840</f>
        <v>8.5</v>
      </c>
      <c r="M840" s="18">
        <f>L840*(H840*H840)*0.7854/10000</f>
        <v>6.5430495899999999</v>
      </c>
      <c r="N840" s="5"/>
      <c r="O840" s="8" t="s">
        <v>19</v>
      </c>
    </row>
    <row r="841" spans="1:15" s="14" customFormat="1" x14ac:dyDescent="0.25">
      <c r="A841" s="13">
        <v>866</v>
      </c>
      <c r="B841" s="16">
        <v>866</v>
      </c>
      <c r="C841" s="13" t="s">
        <v>3672</v>
      </c>
      <c r="D841" s="6" t="s">
        <v>1644</v>
      </c>
      <c r="E841" s="13" t="s">
        <v>2931</v>
      </c>
      <c r="F841" s="13"/>
      <c r="G841" s="17">
        <v>9</v>
      </c>
      <c r="H841" s="16">
        <v>83</v>
      </c>
      <c r="I841" s="18">
        <v>4.87</v>
      </c>
      <c r="J841" s="13"/>
      <c r="K841" s="13"/>
      <c r="L841" s="17">
        <f>G841-J841</f>
        <v>9</v>
      </c>
      <c r="M841" s="18">
        <f>L841*(H841*H841)*0.7854/10000</f>
        <v>4.8695585399999999</v>
      </c>
      <c r="N841" s="5"/>
      <c r="O841" s="8" t="s">
        <v>19</v>
      </c>
    </row>
    <row r="842" spans="1:15" s="14" customFormat="1" x14ac:dyDescent="0.25">
      <c r="A842" s="13">
        <v>867</v>
      </c>
      <c r="B842" s="16">
        <v>867</v>
      </c>
      <c r="C842" s="13" t="s">
        <v>3673</v>
      </c>
      <c r="D842" s="6" t="s">
        <v>1647</v>
      </c>
      <c r="E842" s="13" t="s">
        <v>2931</v>
      </c>
      <c r="F842" s="13"/>
      <c r="G842" s="17">
        <v>5.5</v>
      </c>
      <c r="H842" s="16">
        <v>96</v>
      </c>
      <c r="I842" s="18">
        <v>3.9809999999999999</v>
      </c>
      <c r="J842" s="13"/>
      <c r="K842" s="13"/>
      <c r="L842" s="17">
        <f>G842-J842</f>
        <v>5.5</v>
      </c>
      <c r="M842" s="18">
        <f>L842*(H842*H842)*0.7854/10000</f>
        <v>3.9810355199999998</v>
      </c>
      <c r="N842" s="5"/>
      <c r="O842" s="8" t="s">
        <v>19</v>
      </c>
    </row>
    <row r="843" spans="1:15" s="14" customFormat="1" x14ac:dyDescent="0.25">
      <c r="A843" s="13">
        <v>868</v>
      </c>
      <c r="B843" s="16">
        <v>868</v>
      </c>
      <c r="C843" s="13" t="s">
        <v>3674</v>
      </c>
      <c r="D843" s="6" t="s">
        <v>1650</v>
      </c>
      <c r="E843" s="13" t="s">
        <v>2931</v>
      </c>
      <c r="F843" s="13"/>
      <c r="G843" s="17">
        <v>8.9</v>
      </c>
      <c r="H843" s="16">
        <v>80</v>
      </c>
      <c r="I843" s="18">
        <v>4.4740000000000002</v>
      </c>
      <c r="J843" s="13"/>
      <c r="K843" s="13"/>
      <c r="L843" s="17">
        <f>G843-J843</f>
        <v>8.9</v>
      </c>
      <c r="M843" s="18">
        <f>L843*(H843*H843)*0.7854/10000</f>
        <v>4.4736383999999996</v>
      </c>
      <c r="N843" s="5"/>
      <c r="O843" s="8" t="s">
        <v>19</v>
      </c>
    </row>
    <row r="844" spans="1:15" s="14" customFormat="1" x14ac:dyDescent="0.25">
      <c r="A844" s="13">
        <v>869</v>
      </c>
      <c r="B844" s="13">
        <v>869</v>
      </c>
      <c r="C844" s="13" t="s">
        <v>3675</v>
      </c>
      <c r="D844" s="6">
        <v>5169</v>
      </c>
      <c r="E844" s="13" t="s">
        <v>2931</v>
      </c>
      <c r="F844" s="13"/>
      <c r="G844" s="17">
        <v>13.2</v>
      </c>
      <c r="H844" s="16">
        <v>73</v>
      </c>
      <c r="I844" s="18">
        <v>5.5250000000000004</v>
      </c>
      <c r="J844" s="13">
        <v>0.4</v>
      </c>
      <c r="K844" s="13"/>
      <c r="L844" s="17">
        <f>G844-J844</f>
        <v>12.799999999999999</v>
      </c>
      <c r="M844" s="18">
        <f>L844*(H844*H844)*0.7854/10000</f>
        <v>5.3573076479999999</v>
      </c>
      <c r="N844" s="5"/>
      <c r="O844" s="8" t="s">
        <v>19</v>
      </c>
    </row>
    <row r="845" spans="1:15" s="14" customFormat="1" x14ac:dyDescent="0.25">
      <c r="A845" s="13">
        <v>870</v>
      </c>
      <c r="B845" s="16">
        <v>870</v>
      </c>
      <c r="C845" s="13" t="s">
        <v>3676</v>
      </c>
      <c r="D845" s="6" t="s">
        <v>1655</v>
      </c>
      <c r="E845" s="13" t="s">
        <v>2931</v>
      </c>
      <c r="F845" s="13"/>
      <c r="G845" s="17">
        <v>5.3</v>
      </c>
      <c r="H845" s="16">
        <v>69</v>
      </c>
      <c r="I845" s="18">
        <v>1.982</v>
      </c>
      <c r="J845" s="13"/>
      <c r="K845" s="13"/>
      <c r="L845" s="17">
        <f>G845-J845</f>
        <v>5.3</v>
      </c>
      <c r="M845" s="18">
        <f>L845*(H845*H845)*0.7854/10000</f>
        <v>1.9818233819999997</v>
      </c>
      <c r="N845" s="5"/>
      <c r="O845" s="8" t="s">
        <v>19</v>
      </c>
    </row>
    <row r="846" spans="1:15" s="14" customFormat="1" x14ac:dyDescent="0.25">
      <c r="A846" s="13">
        <v>871</v>
      </c>
      <c r="B846" s="16">
        <v>871</v>
      </c>
      <c r="C846" s="13" t="s">
        <v>3677</v>
      </c>
      <c r="D846" s="6">
        <v>5170</v>
      </c>
      <c r="E846" s="13" t="s">
        <v>2931</v>
      </c>
      <c r="F846" s="13"/>
      <c r="G846" s="17">
        <v>10.7</v>
      </c>
      <c r="H846" s="16">
        <v>79</v>
      </c>
      <c r="I846" s="18">
        <v>5.2450000000000001</v>
      </c>
      <c r="J846" s="13"/>
      <c r="K846" s="13"/>
      <c r="L846" s="17">
        <f>G846-J846</f>
        <v>10.7</v>
      </c>
      <c r="M846" s="18">
        <f>L846*(H846*H846)*0.7854/10000</f>
        <v>5.2447990979999997</v>
      </c>
      <c r="N846" s="5"/>
      <c r="O846" s="8" t="s">
        <v>19</v>
      </c>
    </row>
    <row r="847" spans="1:15" s="14" customFormat="1" x14ac:dyDescent="0.25">
      <c r="A847" s="13">
        <v>872</v>
      </c>
      <c r="B847" s="16">
        <v>872</v>
      </c>
      <c r="C847" s="13" t="s">
        <v>3678</v>
      </c>
      <c r="D847" s="6" t="s">
        <v>1660</v>
      </c>
      <c r="E847" s="13" t="s">
        <v>2931</v>
      </c>
      <c r="F847" s="13"/>
      <c r="G847" s="17">
        <v>6.7</v>
      </c>
      <c r="H847" s="16">
        <v>73</v>
      </c>
      <c r="I847" s="18">
        <v>2.8039999999999998</v>
      </c>
      <c r="J847" s="13"/>
      <c r="K847" s="13"/>
      <c r="L847" s="17">
        <f>G847-J847</f>
        <v>6.7</v>
      </c>
      <c r="M847" s="18">
        <f>L847*(H847*H847)*0.7854/10000</f>
        <v>2.8042157219999999</v>
      </c>
      <c r="N847" s="5"/>
      <c r="O847" s="8" t="s">
        <v>19</v>
      </c>
    </row>
    <row r="848" spans="1:15" s="14" customFormat="1" x14ac:dyDescent="0.25">
      <c r="A848" s="13">
        <v>873</v>
      </c>
      <c r="B848" s="16">
        <v>873</v>
      </c>
      <c r="C848" s="13" t="s">
        <v>3679</v>
      </c>
      <c r="D848" s="6" t="s">
        <v>1663</v>
      </c>
      <c r="E848" s="13" t="s">
        <v>2931</v>
      </c>
      <c r="F848" s="13"/>
      <c r="G848" s="17">
        <v>6.1</v>
      </c>
      <c r="H848" s="16">
        <v>76</v>
      </c>
      <c r="I848" s="18">
        <v>2.7669999999999999</v>
      </c>
      <c r="J848" s="13"/>
      <c r="K848" s="13"/>
      <c r="L848" s="17">
        <f>G848-J848</f>
        <v>6.1</v>
      </c>
      <c r="M848" s="18">
        <f>L848*(H848*H848)*0.7854/10000</f>
        <v>2.7672469439999996</v>
      </c>
      <c r="N848" s="5"/>
      <c r="O848" s="8" t="s">
        <v>30</v>
      </c>
    </row>
    <row r="849" spans="1:15" s="14" customFormat="1" x14ac:dyDescent="0.25">
      <c r="A849" s="13">
        <v>874</v>
      </c>
      <c r="B849" s="16">
        <v>874</v>
      </c>
      <c r="C849" s="13" t="s">
        <v>3680</v>
      </c>
      <c r="D849" s="6">
        <v>900</v>
      </c>
      <c r="E849" s="13" t="s">
        <v>2931</v>
      </c>
      <c r="F849" s="13"/>
      <c r="G849" s="17">
        <v>9.4</v>
      </c>
      <c r="H849" s="16">
        <v>86</v>
      </c>
      <c r="I849" s="18">
        <v>5.46</v>
      </c>
      <c r="J849" s="13">
        <v>0.3</v>
      </c>
      <c r="K849" s="13"/>
      <c r="L849" s="17">
        <f>G849-J849</f>
        <v>9.1</v>
      </c>
      <c r="M849" s="18">
        <f>L849*(H849*H849)*0.7854/10000</f>
        <v>5.2860247439999988</v>
      </c>
      <c r="N849" s="5"/>
      <c r="O849" s="8" t="s">
        <v>19</v>
      </c>
    </row>
    <row r="850" spans="1:15" s="14" customFormat="1" x14ac:dyDescent="0.25">
      <c r="A850" s="13">
        <v>876</v>
      </c>
      <c r="B850" s="16">
        <v>876</v>
      </c>
      <c r="C850" s="13" t="s">
        <v>3681</v>
      </c>
      <c r="D850" s="6" t="s">
        <v>1668</v>
      </c>
      <c r="E850" s="13" t="s">
        <v>2931</v>
      </c>
      <c r="F850" s="13"/>
      <c r="G850" s="17">
        <v>9</v>
      </c>
      <c r="H850" s="16">
        <v>96</v>
      </c>
      <c r="I850" s="18">
        <v>6.5140000000000002</v>
      </c>
      <c r="J850" s="13">
        <v>0.5</v>
      </c>
      <c r="K850" s="13"/>
      <c r="L850" s="17">
        <f>G850-J850</f>
        <v>8.5</v>
      </c>
      <c r="M850" s="18">
        <f>L850*(H850*H850)*0.7854/10000</f>
        <v>6.1525094400000002</v>
      </c>
      <c r="N850" s="5" t="s">
        <v>21</v>
      </c>
      <c r="O850" s="8" t="s">
        <v>19</v>
      </c>
    </row>
    <row r="851" spans="1:15" s="14" customFormat="1" x14ac:dyDescent="0.25">
      <c r="A851" s="13">
        <v>877</v>
      </c>
      <c r="B851" s="16">
        <v>877</v>
      </c>
      <c r="C851" s="13" t="s">
        <v>3682</v>
      </c>
      <c r="D851" s="6" t="s">
        <v>1671</v>
      </c>
      <c r="E851" s="13" t="s">
        <v>2931</v>
      </c>
      <c r="F851" s="13"/>
      <c r="G851" s="17">
        <v>5.0999999999999996</v>
      </c>
      <c r="H851" s="16">
        <v>90</v>
      </c>
      <c r="I851" s="18">
        <v>3.2440000000000002</v>
      </c>
      <c r="J851" s="13"/>
      <c r="K851" s="13"/>
      <c r="L851" s="17">
        <f>G851-J851</f>
        <v>5.0999999999999996</v>
      </c>
      <c r="M851" s="18">
        <f>L851*(H851*H851)*0.7854/10000</f>
        <v>3.2444874000000001</v>
      </c>
      <c r="N851" s="5" t="s">
        <v>53</v>
      </c>
      <c r="O851" s="8" t="s">
        <v>30</v>
      </c>
    </row>
    <row r="852" spans="1:15" s="14" customFormat="1" x14ac:dyDescent="0.25">
      <c r="A852" s="13">
        <v>878</v>
      </c>
      <c r="B852" s="16">
        <v>878</v>
      </c>
      <c r="C852" s="13" t="s">
        <v>3683</v>
      </c>
      <c r="D852" s="6" t="s">
        <v>1674</v>
      </c>
      <c r="E852" s="13" t="s">
        <v>2931</v>
      </c>
      <c r="F852" s="13"/>
      <c r="G852" s="17">
        <v>8.6</v>
      </c>
      <c r="H852" s="16">
        <v>84</v>
      </c>
      <c r="I852" s="18">
        <v>4.766</v>
      </c>
      <c r="J852" s="13">
        <v>0.3</v>
      </c>
      <c r="K852" s="13"/>
      <c r="L852" s="17">
        <f>G852-J852</f>
        <v>8.2999999999999989</v>
      </c>
      <c r="M852" s="18">
        <f>L852*(H852*H852)*0.7854/10000</f>
        <v>4.5996793919999996</v>
      </c>
      <c r="N852" s="5"/>
      <c r="O852" s="8" t="s">
        <v>19</v>
      </c>
    </row>
    <row r="853" spans="1:15" s="14" customFormat="1" x14ac:dyDescent="0.25">
      <c r="A853" s="13">
        <v>879</v>
      </c>
      <c r="B853" s="16">
        <v>879</v>
      </c>
      <c r="C853" s="13" t="s">
        <v>3684</v>
      </c>
      <c r="D853" s="6" t="s">
        <v>1677</v>
      </c>
      <c r="E853" s="13" t="s">
        <v>2931</v>
      </c>
      <c r="F853" s="13"/>
      <c r="G853" s="17">
        <v>11</v>
      </c>
      <c r="H853" s="16">
        <v>85</v>
      </c>
      <c r="I853" s="18">
        <v>6.242</v>
      </c>
      <c r="J853" s="13"/>
      <c r="K853" s="13"/>
      <c r="L853" s="17">
        <f>G853-J853</f>
        <v>11</v>
      </c>
      <c r="M853" s="18">
        <f>L853*(H853*H853)*0.7854/10000</f>
        <v>6.2419665000000002</v>
      </c>
      <c r="N853" s="5"/>
      <c r="O853" s="8" t="s">
        <v>19</v>
      </c>
    </row>
    <row r="854" spans="1:15" s="14" customFormat="1" x14ac:dyDescent="0.25">
      <c r="A854" s="13">
        <v>881</v>
      </c>
      <c r="B854" s="16">
        <v>881</v>
      </c>
      <c r="C854" s="13" t="s">
        <v>3685</v>
      </c>
      <c r="D854" s="6" t="s">
        <v>1680</v>
      </c>
      <c r="E854" s="13" t="s">
        <v>2931</v>
      </c>
      <c r="F854" s="13"/>
      <c r="G854" s="17">
        <v>12.4</v>
      </c>
      <c r="H854" s="16">
        <v>99</v>
      </c>
      <c r="I854" s="18">
        <v>9.5449999999999999</v>
      </c>
      <c r="J854" s="13"/>
      <c r="K854" s="13"/>
      <c r="L854" s="17">
        <f>G854-J854</f>
        <v>12.4</v>
      </c>
      <c r="M854" s="18">
        <f>L854*(H854*H854)*0.7854/10000</f>
        <v>9.5451546960000009</v>
      </c>
      <c r="N854" s="5" t="s">
        <v>53</v>
      </c>
      <c r="O854" s="8" t="s">
        <v>30</v>
      </c>
    </row>
    <row r="855" spans="1:15" s="14" customFormat="1" x14ac:dyDescent="0.25">
      <c r="A855" s="13">
        <v>882</v>
      </c>
      <c r="B855" s="16">
        <v>882</v>
      </c>
      <c r="C855" s="13" t="s">
        <v>3686</v>
      </c>
      <c r="D855" s="6">
        <v>774</v>
      </c>
      <c r="E855" s="13" t="s">
        <v>2931</v>
      </c>
      <c r="F855" s="13"/>
      <c r="G855" s="17">
        <v>11.9</v>
      </c>
      <c r="H855" s="16">
        <v>113</v>
      </c>
      <c r="I855" s="18">
        <v>11.933999999999999</v>
      </c>
      <c r="J855" s="13">
        <v>0.3</v>
      </c>
      <c r="K855" s="13"/>
      <c r="L855" s="17">
        <f>G855-J855</f>
        <v>11.6</v>
      </c>
      <c r="M855" s="18">
        <f>L855*(H855*H855)*0.7854/10000</f>
        <v>11.633376216</v>
      </c>
      <c r="N855" s="5"/>
      <c r="O855" s="8" t="s">
        <v>19</v>
      </c>
    </row>
    <row r="856" spans="1:15" s="14" customFormat="1" x14ac:dyDescent="0.25">
      <c r="A856" s="13">
        <v>883</v>
      </c>
      <c r="B856" s="16">
        <v>883</v>
      </c>
      <c r="C856" s="13" t="s">
        <v>3687</v>
      </c>
      <c r="D856" s="6" t="s">
        <v>1685</v>
      </c>
      <c r="E856" s="13" t="s">
        <v>2931</v>
      </c>
      <c r="F856" s="13"/>
      <c r="G856" s="17">
        <v>13.8</v>
      </c>
      <c r="H856" s="16">
        <v>81</v>
      </c>
      <c r="I856" s="18">
        <v>7.1109999999999998</v>
      </c>
      <c r="J856" s="13"/>
      <c r="K856" s="13"/>
      <c r="L856" s="17">
        <f>G856-J856</f>
        <v>13.8</v>
      </c>
      <c r="M856" s="18">
        <f>L856*(H856*H856)*0.7854/10000</f>
        <v>7.1111529720000002</v>
      </c>
      <c r="N856" s="5" t="s">
        <v>157</v>
      </c>
      <c r="O856" s="8" t="s">
        <v>19</v>
      </c>
    </row>
    <row r="857" spans="1:15" s="14" customFormat="1" x14ac:dyDescent="0.25">
      <c r="A857" s="13">
        <v>884</v>
      </c>
      <c r="B857" s="16">
        <v>884</v>
      </c>
      <c r="C857" s="13" t="s">
        <v>3688</v>
      </c>
      <c r="D857" s="6" t="s">
        <v>1688</v>
      </c>
      <c r="E857" s="13" t="s">
        <v>2931</v>
      </c>
      <c r="F857" s="13"/>
      <c r="G857" s="17">
        <v>11.3</v>
      </c>
      <c r="H857" s="16">
        <v>88</v>
      </c>
      <c r="I857" s="18">
        <v>6.8730000000000002</v>
      </c>
      <c r="J857" s="13"/>
      <c r="K857" s="13"/>
      <c r="L857" s="17">
        <f>G857-J857</f>
        <v>11.3</v>
      </c>
      <c r="M857" s="18">
        <f>L857*(H857*H857)*0.7854/10000</f>
        <v>6.8728154880000005</v>
      </c>
      <c r="N857" s="5" t="s">
        <v>21</v>
      </c>
      <c r="O857" s="8" t="s">
        <v>19</v>
      </c>
    </row>
    <row r="858" spans="1:15" s="14" customFormat="1" x14ac:dyDescent="0.25">
      <c r="A858" s="13">
        <v>886</v>
      </c>
      <c r="B858" s="16">
        <v>886</v>
      </c>
      <c r="C858" s="13" t="s">
        <v>3689</v>
      </c>
      <c r="D858" s="6" t="s">
        <v>1691</v>
      </c>
      <c r="E858" s="13" t="s">
        <v>2931</v>
      </c>
      <c r="F858" s="13"/>
      <c r="G858" s="17">
        <v>5</v>
      </c>
      <c r="H858" s="16">
        <v>82</v>
      </c>
      <c r="I858" s="18">
        <v>2.641</v>
      </c>
      <c r="J858" s="13"/>
      <c r="K858" s="13"/>
      <c r="L858" s="17">
        <f>G858-J858</f>
        <v>5</v>
      </c>
      <c r="M858" s="18">
        <f>L858*(H858*H858)*0.7854/10000</f>
        <v>2.6405148000000001</v>
      </c>
      <c r="N858" s="5"/>
      <c r="O858" s="8" t="s">
        <v>19</v>
      </c>
    </row>
    <row r="859" spans="1:15" s="14" customFormat="1" x14ac:dyDescent="0.25">
      <c r="A859" s="13">
        <v>887</v>
      </c>
      <c r="B859" s="16">
        <v>887</v>
      </c>
      <c r="C859" s="13" t="s">
        <v>3690</v>
      </c>
      <c r="D859" s="6">
        <v>776</v>
      </c>
      <c r="E859" s="13" t="s">
        <v>2931</v>
      </c>
      <c r="F859" s="13"/>
      <c r="G859" s="17">
        <v>12.2</v>
      </c>
      <c r="H859" s="16">
        <v>109</v>
      </c>
      <c r="I859" s="18">
        <v>11.384</v>
      </c>
      <c r="J859" s="13"/>
      <c r="K859" s="13"/>
      <c r="L859" s="17">
        <f>G859-J859</f>
        <v>12.2</v>
      </c>
      <c r="M859" s="18">
        <f>L859*(H859*H859)*0.7854/10000</f>
        <v>11.384231627999998</v>
      </c>
      <c r="N859" s="5" t="s">
        <v>1007</v>
      </c>
      <c r="O859" s="8" t="s">
        <v>19</v>
      </c>
    </row>
    <row r="860" spans="1:15" s="14" customFormat="1" x14ac:dyDescent="0.25">
      <c r="A860" s="13">
        <v>888</v>
      </c>
      <c r="B860" s="16">
        <v>888</v>
      </c>
      <c r="C860" s="13" t="s">
        <v>3691</v>
      </c>
      <c r="D860" s="6" t="s">
        <v>1696</v>
      </c>
      <c r="E860" s="13" t="s">
        <v>2931</v>
      </c>
      <c r="F860" s="13"/>
      <c r="G860" s="17">
        <v>13.4</v>
      </c>
      <c r="H860" s="16">
        <v>106</v>
      </c>
      <c r="I860" s="18">
        <v>11.824999999999999</v>
      </c>
      <c r="J860" s="13"/>
      <c r="K860" s="13"/>
      <c r="L860" s="17">
        <f>G860-J860</f>
        <v>13.4</v>
      </c>
      <c r="M860" s="18">
        <f>L860*(H860*H860)*0.7854/10000</f>
        <v>11.825170895999999</v>
      </c>
      <c r="N860" s="5"/>
      <c r="O860" s="8" t="s">
        <v>19</v>
      </c>
    </row>
    <row r="861" spans="1:15" s="14" customFormat="1" x14ac:dyDescent="0.25">
      <c r="A861" s="13">
        <v>889</v>
      </c>
      <c r="B861" s="16">
        <v>889</v>
      </c>
      <c r="C861" s="13" t="s">
        <v>3692</v>
      </c>
      <c r="D861" s="6" t="s">
        <v>1699</v>
      </c>
      <c r="E861" s="13" t="s">
        <v>2931</v>
      </c>
      <c r="F861" s="13"/>
      <c r="G861" s="17">
        <v>5.9</v>
      </c>
      <c r="H861" s="16">
        <v>95</v>
      </c>
      <c r="I861" s="18">
        <v>4.1820000000000004</v>
      </c>
      <c r="J861" s="13"/>
      <c r="K861" s="13"/>
      <c r="L861" s="17">
        <f>G861-J861</f>
        <v>5.9</v>
      </c>
      <c r="M861" s="18">
        <f>L861*(H861*H861)*0.7854/10000</f>
        <v>4.1820586500000001</v>
      </c>
      <c r="N861" s="5"/>
      <c r="O861" s="8" t="s">
        <v>19</v>
      </c>
    </row>
    <row r="862" spans="1:15" s="14" customFormat="1" x14ac:dyDescent="0.25">
      <c r="A862" s="13">
        <v>890</v>
      </c>
      <c r="B862" s="16">
        <v>890</v>
      </c>
      <c r="C862" s="13" t="s">
        <v>3693</v>
      </c>
      <c r="D862" s="6">
        <v>783</v>
      </c>
      <c r="E862" s="13" t="s">
        <v>2931</v>
      </c>
      <c r="F862" s="13"/>
      <c r="G862" s="17">
        <v>14.3</v>
      </c>
      <c r="H862" s="16">
        <v>78</v>
      </c>
      <c r="I862" s="18">
        <v>6.8330000000000002</v>
      </c>
      <c r="J862" s="13"/>
      <c r="K862" s="13"/>
      <c r="L862" s="17">
        <f>G862-J862</f>
        <v>14.3</v>
      </c>
      <c r="M862" s="18">
        <f>L862*(H862*H862)*0.7854/10000</f>
        <v>6.833074248</v>
      </c>
      <c r="N862" s="5"/>
      <c r="O862" s="8" t="s">
        <v>19</v>
      </c>
    </row>
    <row r="863" spans="1:15" s="14" customFormat="1" x14ac:dyDescent="0.25">
      <c r="A863" s="13">
        <v>891</v>
      </c>
      <c r="B863" s="16">
        <v>891</v>
      </c>
      <c r="C863" s="13" t="s">
        <v>3694</v>
      </c>
      <c r="D863" s="6">
        <v>4948</v>
      </c>
      <c r="E863" s="13" t="s">
        <v>2931</v>
      </c>
      <c r="F863" s="13"/>
      <c r="G863" s="17">
        <v>11.2</v>
      </c>
      <c r="H863" s="16">
        <v>85</v>
      </c>
      <c r="I863" s="18">
        <v>6.3550000000000004</v>
      </c>
      <c r="J863" s="13"/>
      <c r="K863" s="13"/>
      <c r="L863" s="17">
        <f>G863-J863</f>
        <v>11.2</v>
      </c>
      <c r="M863" s="18">
        <f>L863*(H863*H863)*0.7854/10000</f>
        <v>6.3554567999999998</v>
      </c>
      <c r="N863" s="5" t="s">
        <v>53</v>
      </c>
      <c r="O863" s="8" t="s">
        <v>30</v>
      </c>
    </row>
    <row r="864" spans="1:15" s="14" customFormat="1" x14ac:dyDescent="0.25">
      <c r="A864" s="13">
        <v>893</v>
      </c>
      <c r="B864" s="16">
        <v>893</v>
      </c>
      <c r="C864" s="13" t="s">
        <v>3695</v>
      </c>
      <c r="D864" s="6" t="s">
        <v>1706</v>
      </c>
      <c r="E864" s="13" t="s">
        <v>2931</v>
      </c>
      <c r="F864" s="13"/>
      <c r="G864" s="17">
        <v>6.3</v>
      </c>
      <c r="H864" s="16">
        <v>80</v>
      </c>
      <c r="I864" s="18">
        <v>3.1669999999999998</v>
      </c>
      <c r="J864" s="13"/>
      <c r="K864" s="13"/>
      <c r="L864" s="17">
        <f>G864-J864</f>
        <v>6.3</v>
      </c>
      <c r="M864" s="18">
        <f>L864*(H864*H864)*0.7854/10000</f>
        <v>3.1667327999999997</v>
      </c>
      <c r="N864" s="5" t="s">
        <v>1007</v>
      </c>
      <c r="O864" s="8" t="s">
        <v>19</v>
      </c>
    </row>
    <row r="865" spans="1:15" s="14" customFormat="1" x14ac:dyDescent="0.25">
      <c r="A865" s="13">
        <v>894</v>
      </c>
      <c r="B865" s="16">
        <v>894</v>
      </c>
      <c r="C865" s="13" t="s">
        <v>3696</v>
      </c>
      <c r="D865" s="6" t="s">
        <v>1709</v>
      </c>
      <c r="E865" s="13" t="s">
        <v>2931</v>
      </c>
      <c r="F865" s="13"/>
      <c r="G865" s="17">
        <v>10</v>
      </c>
      <c r="H865" s="16">
        <v>78</v>
      </c>
      <c r="I865" s="18">
        <v>4.7779999999999996</v>
      </c>
      <c r="J865" s="13"/>
      <c r="K865" s="13"/>
      <c r="L865" s="17">
        <f>G865-J865</f>
        <v>10</v>
      </c>
      <c r="M865" s="18">
        <f>L865*(H865*H865)*0.7854/10000</f>
        <v>4.7783736000000001</v>
      </c>
      <c r="N865" s="5"/>
      <c r="O865" s="8" t="s">
        <v>19</v>
      </c>
    </row>
    <row r="866" spans="1:15" s="14" customFormat="1" x14ac:dyDescent="0.25">
      <c r="A866" s="13">
        <v>895</v>
      </c>
      <c r="B866" s="16">
        <v>895</v>
      </c>
      <c r="C866" s="13" t="s">
        <v>3697</v>
      </c>
      <c r="D866" s="6" t="s">
        <v>1712</v>
      </c>
      <c r="E866" s="13" t="s">
        <v>2931</v>
      </c>
      <c r="F866" s="13"/>
      <c r="G866" s="17">
        <v>10.9</v>
      </c>
      <c r="H866" s="16">
        <v>77</v>
      </c>
      <c r="I866" s="18">
        <v>5.0759999999999996</v>
      </c>
      <c r="J866" s="13"/>
      <c r="K866" s="13"/>
      <c r="L866" s="17">
        <f>G866-J866</f>
        <v>10.9</v>
      </c>
      <c r="M866" s="18">
        <f>L866*(H866*H866)*0.7854/10000</f>
        <v>5.0757338939999999</v>
      </c>
      <c r="N866" s="5"/>
      <c r="O866" s="8" t="s">
        <v>30</v>
      </c>
    </row>
    <row r="867" spans="1:15" s="14" customFormat="1" x14ac:dyDescent="0.25">
      <c r="A867" s="13">
        <v>896</v>
      </c>
      <c r="B867" s="16">
        <v>896</v>
      </c>
      <c r="C867" s="13" t="s">
        <v>3698</v>
      </c>
      <c r="D867" s="6" t="s">
        <v>1715</v>
      </c>
      <c r="E867" s="13" t="s">
        <v>2931</v>
      </c>
      <c r="F867" s="13"/>
      <c r="G867" s="17">
        <v>7</v>
      </c>
      <c r="H867" s="16">
        <v>67</v>
      </c>
      <c r="I867" s="18">
        <v>2.468</v>
      </c>
      <c r="J867" s="13">
        <v>0.3</v>
      </c>
      <c r="K867" s="13"/>
      <c r="L867" s="17">
        <f>G867-J867</f>
        <v>6.7</v>
      </c>
      <c r="M867" s="18">
        <f>L867*(H867*H867)*0.7854/10000</f>
        <v>2.3621926019999999</v>
      </c>
      <c r="N867" s="5"/>
      <c r="O867" s="8" t="s">
        <v>19</v>
      </c>
    </row>
    <row r="868" spans="1:15" s="14" customFormat="1" x14ac:dyDescent="0.25">
      <c r="A868" s="13">
        <v>897</v>
      </c>
      <c r="B868" s="16">
        <v>897</v>
      </c>
      <c r="C868" s="13" t="s">
        <v>3699</v>
      </c>
      <c r="D868" s="6" t="s">
        <v>1718</v>
      </c>
      <c r="E868" s="13" t="s">
        <v>2931</v>
      </c>
      <c r="F868" s="13"/>
      <c r="G868" s="17">
        <v>10.8</v>
      </c>
      <c r="H868" s="16">
        <v>113</v>
      </c>
      <c r="I868" s="18">
        <v>10.831</v>
      </c>
      <c r="J868" s="13"/>
      <c r="K868" s="13"/>
      <c r="L868" s="17">
        <f>G868-J868</f>
        <v>10.8</v>
      </c>
      <c r="M868" s="18">
        <f>L868*(H868*H868)*0.7854/10000</f>
        <v>10.831074408000001</v>
      </c>
      <c r="N868" s="5"/>
      <c r="O868" s="8" t="s">
        <v>19</v>
      </c>
    </row>
    <row r="869" spans="1:15" s="14" customFormat="1" x14ac:dyDescent="0.25">
      <c r="A869" s="13">
        <v>898</v>
      </c>
      <c r="B869" s="16">
        <v>898</v>
      </c>
      <c r="C869" s="13" t="s">
        <v>3700</v>
      </c>
      <c r="D869" s="6" t="s">
        <v>1721</v>
      </c>
      <c r="E869" s="13" t="s">
        <v>2931</v>
      </c>
      <c r="F869" s="13"/>
      <c r="G869" s="17">
        <v>5.3</v>
      </c>
      <c r="H869" s="16">
        <v>60</v>
      </c>
      <c r="I869" s="18">
        <v>1.4990000000000001</v>
      </c>
      <c r="J869" s="13"/>
      <c r="K869" s="13"/>
      <c r="L869" s="17">
        <f>G869-J869</f>
        <v>5.3</v>
      </c>
      <c r="M869" s="18">
        <f>L869*(H869*H869)*0.7854/10000</f>
        <v>1.4985431999999999</v>
      </c>
      <c r="N869" s="5"/>
      <c r="O869" s="8" t="s">
        <v>30</v>
      </c>
    </row>
    <row r="870" spans="1:15" s="14" customFormat="1" x14ac:dyDescent="0.25">
      <c r="A870" s="13">
        <v>899</v>
      </c>
      <c r="B870" s="16">
        <v>899</v>
      </c>
      <c r="C870" s="13" t="s">
        <v>3701</v>
      </c>
      <c r="D870" s="6" t="s">
        <v>1724</v>
      </c>
      <c r="E870" s="13" t="s">
        <v>2931</v>
      </c>
      <c r="F870" s="13"/>
      <c r="G870" s="17">
        <v>6.9</v>
      </c>
      <c r="H870" s="16">
        <v>108</v>
      </c>
      <c r="I870" s="18">
        <v>6.3209999999999997</v>
      </c>
      <c r="J870" s="13"/>
      <c r="K870" s="13"/>
      <c r="L870" s="17">
        <f>G870-J870</f>
        <v>6.9</v>
      </c>
      <c r="M870" s="18">
        <f>L870*(H870*H870)*0.7854/10000</f>
        <v>6.3210248640000009</v>
      </c>
      <c r="N870" s="5"/>
      <c r="O870" s="8" t="s">
        <v>19</v>
      </c>
    </row>
    <row r="871" spans="1:15" s="14" customFormat="1" x14ac:dyDescent="0.25">
      <c r="A871" s="13">
        <v>900</v>
      </c>
      <c r="B871" s="16">
        <v>900</v>
      </c>
      <c r="C871" s="13" t="s">
        <v>3702</v>
      </c>
      <c r="D871" s="6">
        <v>5109</v>
      </c>
      <c r="E871" s="13" t="s">
        <v>2931</v>
      </c>
      <c r="F871" s="13"/>
      <c r="G871" s="17">
        <v>10</v>
      </c>
      <c r="H871" s="16">
        <v>123</v>
      </c>
      <c r="I871" s="18">
        <v>11.882</v>
      </c>
      <c r="J871" s="13"/>
      <c r="K871" s="13"/>
      <c r="L871" s="17">
        <f>G871-J871</f>
        <v>10</v>
      </c>
      <c r="M871" s="18">
        <f>L871*(H871*H871)*0.7854/10000</f>
        <v>11.882316599999999</v>
      </c>
      <c r="N871" s="5"/>
      <c r="O871" s="8" t="s">
        <v>19</v>
      </c>
    </row>
    <row r="872" spans="1:15" s="14" customFormat="1" x14ac:dyDescent="0.25">
      <c r="A872" s="13">
        <v>901</v>
      </c>
      <c r="B872" s="16">
        <v>901</v>
      </c>
      <c r="C872" s="13" t="s">
        <v>3703</v>
      </c>
      <c r="D872" s="6" t="s">
        <v>1729</v>
      </c>
      <c r="E872" s="13" t="s">
        <v>2931</v>
      </c>
      <c r="F872" s="13"/>
      <c r="G872" s="17">
        <v>10.5</v>
      </c>
      <c r="H872" s="16">
        <v>90</v>
      </c>
      <c r="I872" s="18">
        <v>6.68</v>
      </c>
      <c r="J872" s="13">
        <v>0.3</v>
      </c>
      <c r="K872" s="13"/>
      <c r="L872" s="17">
        <f>G872-J872</f>
        <v>10.199999999999999</v>
      </c>
      <c r="M872" s="18">
        <f>L872*(H872*H872)*0.7854/10000</f>
        <v>6.4889748000000003</v>
      </c>
      <c r="N872" s="5"/>
      <c r="O872" s="8" t="s">
        <v>19</v>
      </c>
    </row>
    <row r="873" spans="1:15" s="14" customFormat="1" x14ac:dyDescent="0.25">
      <c r="A873" s="13">
        <v>902</v>
      </c>
      <c r="B873" s="16">
        <v>902</v>
      </c>
      <c r="C873" s="13" t="s">
        <v>3704</v>
      </c>
      <c r="D873" s="6" t="s">
        <v>1732</v>
      </c>
      <c r="E873" s="13" t="s">
        <v>2931</v>
      </c>
      <c r="F873" s="13"/>
      <c r="G873" s="17">
        <v>11.2</v>
      </c>
      <c r="H873" s="16">
        <v>99</v>
      </c>
      <c r="I873" s="18">
        <v>8.6210000000000004</v>
      </c>
      <c r="J873" s="13"/>
      <c r="K873" s="13"/>
      <c r="L873" s="17">
        <f>G873-J873</f>
        <v>11.2</v>
      </c>
      <c r="M873" s="18">
        <f>L873*(H873*H873)*0.7854/10000</f>
        <v>8.6214300479999988</v>
      </c>
      <c r="N873" s="5"/>
      <c r="O873" s="8" t="s">
        <v>19</v>
      </c>
    </row>
    <row r="874" spans="1:15" s="14" customFormat="1" x14ac:dyDescent="0.25">
      <c r="A874" s="13">
        <v>903</v>
      </c>
      <c r="B874" s="16">
        <v>903</v>
      </c>
      <c r="C874" s="13" t="s">
        <v>3705</v>
      </c>
      <c r="D874" s="6">
        <v>4927</v>
      </c>
      <c r="E874" s="13" t="s">
        <v>2931</v>
      </c>
      <c r="F874" s="13"/>
      <c r="G874" s="17">
        <v>12.2</v>
      </c>
      <c r="H874" s="16">
        <v>93</v>
      </c>
      <c r="I874" s="18">
        <v>8.2870000000000008</v>
      </c>
      <c r="J874" s="13"/>
      <c r="K874" s="13"/>
      <c r="L874" s="17">
        <f>G874-J874</f>
        <v>12.2</v>
      </c>
      <c r="M874" s="18">
        <f>L874*(H874*H874)*0.7854/10000</f>
        <v>8.2873680119999982</v>
      </c>
      <c r="N874" s="5"/>
      <c r="O874" s="8" t="s">
        <v>19</v>
      </c>
    </row>
    <row r="875" spans="1:15" s="14" customFormat="1" x14ac:dyDescent="0.25">
      <c r="A875" s="13">
        <v>904</v>
      </c>
      <c r="B875" s="16">
        <v>904</v>
      </c>
      <c r="C875" s="13" t="s">
        <v>3706</v>
      </c>
      <c r="D875" s="6" t="s">
        <v>1737</v>
      </c>
      <c r="E875" s="13" t="s">
        <v>2931</v>
      </c>
      <c r="F875" s="13"/>
      <c r="G875" s="17">
        <v>11.1</v>
      </c>
      <c r="H875" s="16">
        <v>111</v>
      </c>
      <c r="I875" s="18">
        <v>10.741</v>
      </c>
      <c r="J875" s="13"/>
      <c r="K875" s="13"/>
      <c r="L875" s="17">
        <f>G875-J875</f>
        <v>11.1</v>
      </c>
      <c r="M875" s="18">
        <f>L875*(H875*H875)*0.7854/10000</f>
        <v>10.741373874000001</v>
      </c>
      <c r="N875" s="5"/>
      <c r="O875" s="8" t="s">
        <v>19</v>
      </c>
    </row>
    <row r="876" spans="1:15" s="14" customFormat="1" x14ac:dyDescent="0.25">
      <c r="A876" s="13">
        <v>905</v>
      </c>
      <c r="B876" s="16">
        <v>905</v>
      </c>
      <c r="C876" s="13" t="s">
        <v>3707</v>
      </c>
      <c r="D876" s="6" t="s">
        <v>1740</v>
      </c>
      <c r="E876" s="13" t="s">
        <v>2931</v>
      </c>
      <c r="F876" s="13"/>
      <c r="G876" s="17">
        <v>5.5</v>
      </c>
      <c r="H876" s="16">
        <v>77</v>
      </c>
      <c r="I876" s="18">
        <v>2.5609999999999999</v>
      </c>
      <c r="J876" s="13"/>
      <c r="K876" s="13"/>
      <c r="L876" s="17">
        <f>G876-J876</f>
        <v>5.5</v>
      </c>
      <c r="M876" s="18">
        <f>L876*(H876*H876)*0.7854/10000</f>
        <v>2.5611501300000001</v>
      </c>
      <c r="N876" s="5"/>
      <c r="O876" s="8" t="s">
        <v>19</v>
      </c>
    </row>
    <row r="877" spans="1:15" s="14" customFormat="1" x14ac:dyDescent="0.25">
      <c r="A877" s="13">
        <v>906</v>
      </c>
      <c r="B877" s="16">
        <v>906</v>
      </c>
      <c r="C877" s="13" t="s">
        <v>3708</v>
      </c>
      <c r="D877" s="6" t="s">
        <v>1743</v>
      </c>
      <c r="E877" s="13" t="s">
        <v>2931</v>
      </c>
      <c r="F877" s="13"/>
      <c r="G877" s="17">
        <v>4.8</v>
      </c>
      <c r="H877" s="16">
        <v>91</v>
      </c>
      <c r="I877" s="18">
        <v>3.1219999999999999</v>
      </c>
      <c r="J877" s="13"/>
      <c r="K877" s="13"/>
      <c r="L877" s="17">
        <f>G877-J877</f>
        <v>4.8</v>
      </c>
      <c r="M877" s="18">
        <f>L877*(H877*H877)*0.7854/10000</f>
        <v>3.1218707519999995</v>
      </c>
      <c r="N877" s="5"/>
      <c r="O877" s="8" t="s">
        <v>19</v>
      </c>
    </row>
    <row r="878" spans="1:15" s="14" customFormat="1" x14ac:dyDescent="0.25">
      <c r="A878" s="13">
        <v>907</v>
      </c>
      <c r="B878" s="16">
        <v>907</v>
      </c>
      <c r="C878" s="13" t="s">
        <v>3709</v>
      </c>
      <c r="D878" s="6" t="s">
        <v>1746</v>
      </c>
      <c r="E878" s="13" t="s">
        <v>2931</v>
      </c>
      <c r="F878" s="13"/>
      <c r="G878" s="17">
        <v>10.5</v>
      </c>
      <c r="H878" s="16">
        <v>79</v>
      </c>
      <c r="I878" s="18">
        <v>5.1470000000000002</v>
      </c>
      <c r="J878" s="13">
        <v>0.3</v>
      </c>
      <c r="K878" s="13"/>
      <c r="L878" s="17">
        <f>G878-J878</f>
        <v>10.199999999999999</v>
      </c>
      <c r="M878" s="18">
        <f>L878*(H878*H878)*0.7854/10000</f>
        <v>4.9997150279999998</v>
      </c>
      <c r="N878" s="5" t="s">
        <v>53</v>
      </c>
      <c r="O878" s="8" t="s">
        <v>30</v>
      </c>
    </row>
    <row r="879" spans="1:15" s="14" customFormat="1" x14ac:dyDescent="0.25">
      <c r="A879" s="13">
        <v>908</v>
      </c>
      <c r="B879" s="16">
        <v>908</v>
      </c>
      <c r="C879" s="13" t="s">
        <v>3710</v>
      </c>
      <c r="D879" s="6" t="s">
        <v>1749</v>
      </c>
      <c r="E879" s="13" t="s">
        <v>2931</v>
      </c>
      <c r="F879" s="13"/>
      <c r="G879" s="17">
        <v>6.1</v>
      </c>
      <c r="H879" s="16">
        <v>106</v>
      </c>
      <c r="I879" s="18">
        <v>5.383</v>
      </c>
      <c r="J879" s="13"/>
      <c r="K879" s="13"/>
      <c r="L879" s="17">
        <f>G879-J879</f>
        <v>6.1</v>
      </c>
      <c r="M879" s="18">
        <f>L879*(H879*H879)*0.7854/10000</f>
        <v>5.383100183999999</v>
      </c>
      <c r="N879" s="5" t="s">
        <v>1007</v>
      </c>
      <c r="O879" s="8" t="s">
        <v>19</v>
      </c>
    </row>
    <row r="880" spans="1:15" s="14" customFormat="1" x14ac:dyDescent="0.25">
      <c r="A880" s="13">
        <v>909</v>
      </c>
      <c r="B880" s="16">
        <v>909</v>
      </c>
      <c r="C880" s="13" t="s">
        <v>3711</v>
      </c>
      <c r="D880" s="6" t="s">
        <v>1746</v>
      </c>
      <c r="E880" s="13" t="s">
        <v>2931</v>
      </c>
      <c r="F880" s="13"/>
      <c r="G880" s="17">
        <v>4.5</v>
      </c>
      <c r="H880" s="16">
        <v>76</v>
      </c>
      <c r="I880" s="18">
        <v>2.0409999999999999</v>
      </c>
      <c r="J880" s="13"/>
      <c r="K880" s="13"/>
      <c r="L880" s="17">
        <f>G880-J880</f>
        <v>4.5</v>
      </c>
      <c r="M880" s="18">
        <f>L880*(H880*H880)*0.7854/10000</f>
        <v>2.04141168</v>
      </c>
      <c r="N880" s="5" t="s">
        <v>157</v>
      </c>
      <c r="O880" s="8" t="s">
        <v>19</v>
      </c>
    </row>
    <row r="881" spans="1:15" s="14" customFormat="1" x14ac:dyDescent="0.25">
      <c r="A881" s="13">
        <v>910</v>
      </c>
      <c r="B881" s="16">
        <v>910</v>
      </c>
      <c r="C881" s="13" t="s">
        <v>3712</v>
      </c>
      <c r="D881" s="6" t="s">
        <v>1754</v>
      </c>
      <c r="E881" s="13" t="s">
        <v>2931</v>
      </c>
      <c r="F881" s="13"/>
      <c r="G881" s="17">
        <v>13.3</v>
      </c>
      <c r="H881" s="16">
        <v>87</v>
      </c>
      <c r="I881" s="18">
        <v>7.9059999999999997</v>
      </c>
      <c r="J881" s="13"/>
      <c r="K881" s="13"/>
      <c r="L881" s="17">
        <f>G881-J881</f>
        <v>13.3</v>
      </c>
      <c r="M881" s="18">
        <f>L881*(H881*H881)*0.7854/10000</f>
        <v>7.9064411580000016</v>
      </c>
      <c r="N881" s="5" t="s">
        <v>1007</v>
      </c>
      <c r="O881" s="8" t="s">
        <v>30</v>
      </c>
    </row>
    <row r="882" spans="1:15" s="14" customFormat="1" x14ac:dyDescent="0.25">
      <c r="A882" s="13">
        <v>911</v>
      </c>
      <c r="B882" s="16">
        <v>911</v>
      </c>
      <c r="C882" s="13" t="s">
        <v>3713</v>
      </c>
      <c r="D882" s="6" t="s">
        <v>1757</v>
      </c>
      <c r="E882" s="13" t="s">
        <v>2931</v>
      </c>
      <c r="F882" s="13"/>
      <c r="G882" s="17">
        <v>9.5</v>
      </c>
      <c r="H882" s="16">
        <v>78</v>
      </c>
      <c r="I882" s="18">
        <v>4.5389999999999997</v>
      </c>
      <c r="J882" s="13"/>
      <c r="K882" s="13"/>
      <c r="L882" s="17">
        <f>G882-J882</f>
        <v>9.5</v>
      </c>
      <c r="M882" s="18">
        <f>L882*(H882*H882)*0.7854/10000</f>
        <v>4.5394549199999998</v>
      </c>
      <c r="N882" s="5"/>
      <c r="O882" s="8" t="s">
        <v>19</v>
      </c>
    </row>
    <row r="883" spans="1:15" s="14" customFormat="1" x14ac:dyDescent="0.25">
      <c r="A883" s="13">
        <v>912</v>
      </c>
      <c r="B883" s="16">
        <v>912</v>
      </c>
      <c r="C883" s="13" t="s">
        <v>3714</v>
      </c>
      <c r="D883" s="6" t="s">
        <v>1760</v>
      </c>
      <c r="E883" s="13" t="s">
        <v>2931</v>
      </c>
      <c r="F883" s="13"/>
      <c r="G883" s="17">
        <v>12</v>
      </c>
      <c r="H883" s="16">
        <v>108</v>
      </c>
      <c r="I883" s="18">
        <v>10.993</v>
      </c>
      <c r="J883" s="13">
        <v>0.3</v>
      </c>
      <c r="K883" s="13"/>
      <c r="L883" s="17">
        <f>G883-J883</f>
        <v>11.7</v>
      </c>
      <c r="M883" s="18">
        <f>L883*(H883*H883)*0.7854/10000</f>
        <v>10.718259551999999</v>
      </c>
      <c r="N883" s="5"/>
      <c r="O883" s="8" t="s">
        <v>19</v>
      </c>
    </row>
    <row r="884" spans="1:15" s="14" customFormat="1" x14ac:dyDescent="0.25">
      <c r="A884" s="13">
        <v>913</v>
      </c>
      <c r="B884" s="16">
        <v>913</v>
      </c>
      <c r="C884" s="13" t="s">
        <v>3715</v>
      </c>
      <c r="D884" s="6" t="s">
        <v>1763</v>
      </c>
      <c r="E884" s="13" t="s">
        <v>2931</v>
      </c>
      <c r="F884" s="13"/>
      <c r="G884" s="17">
        <v>7.8</v>
      </c>
      <c r="H884" s="16">
        <v>102</v>
      </c>
      <c r="I884" s="18">
        <v>6.3739999999999997</v>
      </c>
      <c r="J884" s="13"/>
      <c r="K884" s="13"/>
      <c r="L884" s="17">
        <f>G884-J884</f>
        <v>7.8</v>
      </c>
      <c r="M884" s="18">
        <f>L884*(H884*H884)*0.7854/10000</f>
        <v>6.3736152480000001</v>
      </c>
      <c r="N884" s="5"/>
      <c r="O884" s="8" t="s">
        <v>30</v>
      </c>
    </row>
    <row r="885" spans="1:15" s="14" customFormat="1" x14ac:dyDescent="0.25">
      <c r="A885" s="13">
        <v>914</v>
      </c>
      <c r="B885" s="16">
        <v>914</v>
      </c>
      <c r="C885" s="13" t="s">
        <v>3716</v>
      </c>
      <c r="D885" s="6">
        <v>1532</v>
      </c>
      <c r="E885" s="13" t="s">
        <v>2931</v>
      </c>
      <c r="F885" s="13"/>
      <c r="G885" s="17">
        <v>12.4</v>
      </c>
      <c r="H885" s="16">
        <v>111</v>
      </c>
      <c r="I885" s="18">
        <v>11.999000000000001</v>
      </c>
      <c r="J885" s="13">
        <v>0.3</v>
      </c>
      <c r="K885" s="13"/>
      <c r="L885" s="17">
        <f>G885-J885</f>
        <v>12.1</v>
      </c>
      <c r="M885" s="18">
        <f>L885*(H885*H885)*0.7854/10000</f>
        <v>11.709065214000001</v>
      </c>
      <c r="N885" s="5" t="s">
        <v>53</v>
      </c>
      <c r="O885" s="8" t="s">
        <v>19</v>
      </c>
    </row>
    <row r="886" spans="1:15" s="14" customFormat="1" x14ac:dyDescent="0.25">
      <c r="A886" s="13">
        <v>915</v>
      </c>
      <c r="B886" s="16">
        <v>915</v>
      </c>
      <c r="C886" s="13" t="s">
        <v>3717</v>
      </c>
      <c r="D886" s="6" t="s">
        <v>1768</v>
      </c>
      <c r="E886" s="13" t="s">
        <v>2931</v>
      </c>
      <c r="F886" s="13"/>
      <c r="G886" s="17">
        <v>10</v>
      </c>
      <c r="H886" s="16">
        <v>100</v>
      </c>
      <c r="I886" s="18">
        <v>7.8540000000000001</v>
      </c>
      <c r="J886" s="13">
        <v>0.3</v>
      </c>
      <c r="K886" s="13"/>
      <c r="L886" s="17">
        <f>G886-J886</f>
        <v>9.6999999999999993</v>
      </c>
      <c r="M886" s="18">
        <f>L886*(H886*H886)*0.7854/10000</f>
        <v>7.6183800000000002</v>
      </c>
      <c r="N886" s="5" t="s">
        <v>35</v>
      </c>
      <c r="O886" s="8" t="s">
        <v>19</v>
      </c>
    </row>
    <row r="887" spans="1:15" s="14" customFormat="1" x14ac:dyDescent="0.25">
      <c r="A887" s="13">
        <v>916</v>
      </c>
      <c r="B887" s="16">
        <v>916</v>
      </c>
      <c r="C887" s="13" t="s">
        <v>3718</v>
      </c>
      <c r="D887" s="6" t="s">
        <v>1771</v>
      </c>
      <c r="E887" s="13" t="s">
        <v>2931</v>
      </c>
      <c r="F887" s="13"/>
      <c r="G887" s="17">
        <v>4.4000000000000004</v>
      </c>
      <c r="H887" s="16">
        <v>103</v>
      </c>
      <c r="I887" s="18">
        <v>3.6659999999999999</v>
      </c>
      <c r="J887" s="13"/>
      <c r="K887" s="13"/>
      <c r="L887" s="17">
        <f>G887-J887</f>
        <v>4.4000000000000004</v>
      </c>
      <c r="M887" s="18">
        <f>L887*(H887*H887)*0.7854/10000</f>
        <v>3.6662157840000007</v>
      </c>
      <c r="N887" s="5"/>
      <c r="O887" s="8" t="s">
        <v>19</v>
      </c>
    </row>
    <row r="888" spans="1:15" s="14" customFormat="1" x14ac:dyDescent="0.25">
      <c r="A888" s="13">
        <v>917</v>
      </c>
      <c r="B888" s="16">
        <v>917</v>
      </c>
      <c r="C888" s="13" t="s">
        <v>3719</v>
      </c>
      <c r="D888" s="6" t="s">
        <v>1774</v>
      </c>
      <c r="E888" s="13" t="s">
        <v>2931</v>
      </c>
      <c r="F888" s="13"/>
      <c r="G888" s="17">
        <v>6.7</v>
      </c>
      <c r="H888" s="16">
        <v>74</v>
      </c>
      <c r="I888" s="18">
        <v>2.8820000000000001</v>
      </c>
      <c r="J888" s="13"/>
      <c r="K888" s="13"/>
      <c r="L888" s="17">
        <f>G888-J888</f>
        <v>6.7</v>
      </c>
      <c r="M888" s="18">
        <f>L888*(H888*H888)*0.7854/10000</f>
        <v>2.8815697680000003</v>
      </c>
      <c r="N888" s="5"/>
      <c r="O888" s="8" t="s">
        <v>19</v>
      </c>
    </row>
    <row r="889" spans="1:15" s="14" customFormat="1" x14ac:dyDescent="0.25">
      <c r="A889" s="13">
        <v>918</v>
      </c>
      <c r="B889" s="16">
        <v>918</v>
      </c>
      <c r="C889" s="13" t="s">
        <v>3720</v>
      </c>
      <c r="D889" s="6" t="s">
        <v>1777</v>
      </c>
      <c r="E889" s="13" t="s">
        <v>2931</v>
      </c>
      <c r="F889" s="13"/>
      <c r="G889" s="17">
        <v>8.4</v>
      </c>
      <c r="H889" s="16">
        <v>68</v>
      </c>
      <c r="I889" s="18">
        <v>3.0510000000000002</v>
      </c>
      <c r="J889" s="13"/>
      <c r="K889" s="13"/>
      <c r="L889" s="17">
        <f>G889-J889</f>
        <v>8.4</v>
      </c>
      <c r="M889" s="18">
        <f>L889*(H889*H889)*0.7854/10000</f>
        <v>3.0506192639999998</v>
      </c>
      <c r="N889" s="5" t="s">
        <v>1007</v>
      </c>
      <c r="O889" s="8" t="s">
        <v>19</v>
      </c>
    </row>
    <row r="890" spans="1:15" s="14" customFormat="1" x14ac:dyDescent="0.25">
      <c r="A890" s="13">
        <v>919</v>
      </c>
      <c r="B890" s="16">
        <v>919</v>
      </c>
      <c r="C890" s="13" t="s">
        <v>3721</v>
      </c>
      <c r="D890" s="6" t="s">
        <v>1780</v>
      </c>
      <c r="E890" s="13" t="s">
        <v>2931</v>
      </c>
      <c r="F890" s="13"/>
      <c r="G890" s="17">
        <v>10.5</v>
      </c>
      <c r="H890" s="16">
        <v>96</v>
      </c>
      <c r="I890" s="18">
        <v>7.6</v>
      </c>
      <c r="J890" s="13"/>
      <c r="K890" s="13"/>
      <c r="L890" s="17">
        <f>G890-J890</f>
        <v>10.5</v>
      </c>
      <c r="M890" s="18">
        <f>L890*(H890*H890)*0.7854/10000</f>
        <v>7.6001587199999996</v>
      </c>
      <c r="N890" s="5" t="s">
        <v>53</v>
      </c>
      <c r="O890" s="8" t="s">
        <v>19</v>
      </c>
    </row>
    <row r="891" spans="1:15" s="14" customFormat="1" x14ac:dyDescent="0.25">
      <c r="A891" s="13">
        <v>920</v>
      </c>
      <c r="B891" s="16">
        <v>920</v>
      </c>
      <c r="C891" s="13" t="s">
        <v>3722</v>
      </c>
      <c r="D891" s="6" t="s">
        <v>1783</v>
      </c>
      <c r="E891" s="13" t="s">
        <v>2931</v>
      </c>
      <c r="F891" s="13"/>
      <c r="G891" s="17">
        <v>5.5</v>
      </c>
      <c r="H891" s="16">
        <v>88</v>
      </c>
      <c r="I891" s="18">
        <v>3.3450000000000002</v>
      </c>
      <c r="J891" s="13"/>
      <c r="K891" s="13"/>
      <c r="L891" s="17">
        <f>G891-J891</f>
        <v>5.5</v>
      </c>
      <c r="M891" s="18">
        <f>L891*(H891*H891)*0.7854/10000</f>
        <v>3.3451756800000001</v>
      </c>
      <c r="N891" s="5"/>
      <c r="O891" s="8" t="s">
        <v>19</v>
      </c>
    </row>
    <row r="892" spans="1:15" s="14" customFormat="1" x14ac:dyDescent="0.25">
      <c r="A892" s="13">
        <v>921</v>
      </c>
      <c r="B892" s="16">
        <v>921</v>
      </c>
      <c r="C892" s="13" t="s">
        <v>3723</v>
      </c>
      <c r="D892" s="6">
        <v>1537</v>
      </c>
      <c r="E892" s="13" t="s">
        <v>2931</v>
      </c>
      <c r="F892" s="13"/>
      <c r="G892" s="17">
        <v>12.4</v>
      </c>
      <c r="H892" s="16">
        <v>59</v>
      </c>
      <c r="I892" s="18">
        <v>3.39</v>
      </c>
      <c r="J892" s="13"/>
      <c r="K892" s="13"/>
      <c r="L892" s="17">
        <f>G892-J892</f>
        <v>12.4</v>
      </c>
      <c r="M892" s="18">
        <f>L892*(H892*H892)*0.7854/10000</f>
        <v>3.3901319759999997</v>
      </c>
      <c r="N892" s="5" t="s">
        <v>53</v>
      </c>
      <c r="O892" s="8" t="s">
        <v>19</v>
      </c>
    </row>
    <row r="893" spans="1:15" s="14" customFormat="1" x14ac:dyDescent="0.25">
      <c r="A893" s="13">
        <v>922</v>
      </c>
      <c r="B893" s="16">
        <v>922</v>
      </c>
      <c r="C893" s="13" t="s">
        <v>3724</v>
      </c>
      <c r="D893" s="6" t="s">
        <v>1788</v>
      </c>
      <c r="E893" s="13" t="s">
        <v>2931</v>
      </c>
      <c r="F893" s="13"/>
      <c r="G893" s="17">
        <v>11.8</v>
      </c>
      <c r="H893" s="16">
        <v>117</v>
      </c>
      <c r="I893" s="18">
        <v>12.686999999999999</v>
      </c>
      <c r="J893" s="13">
        <v>0.3</v>
      </c>
      <c r="K893" s="13"/>
      <c r="L893" s="17">
        <f>G893-J893</f>
        <v>11.5</v>
      </c>
      <c r="M893" s="18">
        <f>L893*(H893*H893)*0.7854/10000</f>
        <v>12.364041690000001</v>
      </c>
      <c r="N893" s="5"/>
      <c r="O893" s="8" t="s">
        <v>30</v>
      </c>
    </row>
    <row r="894" spans="1:15" s="14" customFormat="1" x14ac:dyDescent="0.25">
      <c r="A894" s="13">
        <v>923</v>
      </c>
      <c r="B894" s="16">
        <v>923</v>
      </c>
      <c r="C894" s="13" t="s">
        <v>3725</v>
      </c>
      <c r="D894" s="6" t="s">
        <v>1791</v>
      </c>
      <c r="E894" s="13" t="s">
        <v>2931</v>
      </c>
      <c r="F894" s="13"/>
      <c r="G894" s="17">
        <v>5.6</v>
      </c>
      <c r="H894" s="16">
        <v>114</v>
      </c>
      <c r="I894" s="18">
        <v>5.7160000000000002</v>
      </c>
      <c r="J894" s="13"/>
      <c r="K894" s="13"/>
      <c r="L894" s="17">
        <f>G894-J894</f>
        <v>5.6</v>
      </c>
      <c r="M894" s="18">
        <f>L894*(H894*H894)*0.7854/10000</f>
        <v>5.7159527039999993</v>
      </c>
      <c r="N894" s="5" t="s">
        <v>53</v>
      </c>
      <c r="O894" s="8" t="s">
        <v>19</v>
      </c>
    </row>
    <row r="895" spans="1:15" s="14" customFormat="1" x14ac:dyDescent="0.25">
      <c r="A895" s="13">
        <v>924</v>
      </c>
      <c r="B895" s="16">
        <v>924</v>
      </c>
      <c r="C895" s="13" t="s">
        <v>3726</v>
      </c>
      <c r="D895" s="6" t="s">
        <v>1794</v>
      </c>
      <c r="E895" s="13" t="s">
        <v>2931</v>
      </c>
      <c r="F895" s="13"/>
      <c r="G895" s="17">
        <v>11.4</v>
      </c>
      <c r="H895" s="16">
        <v>85</v>
      </c>
      <c r="I895" s="18">
        <v>6.4690000000000003</v>
      </c>
      <c r="J895" s="13"/>
      <c r="K895" s="13"/>
      <c r="L895" s="17">
        <f>G895-J895</f>
        <v>11.4</v>
      </c>
      <c r="M895" s="18">
        <f>L895*(H895*H895)*0.7854/10000</f>
        <v>6.4689470999999994</v>
      </c>
      <c r="N895" s="5"/>
      <c r="O895" s="8" t="s">
        <v>19</v>
      </c>
    </row>
    <row r="896" spans="1:15" s="14" customFormat="1" x14ac:dyDescent="0.25">
      <c r="A896" s="13">
        <v>925</v>
      </c>
      <c r="B896" s="16">
        <v>925</v>
      </c>
      <c r="C896" s="13" t="s">
        <v>3727</v>
      </c>
      <c r="D896" s="6" t="s">
        <v>1797</v>
      </c>
      <c r="E896" s="13" t="s">
        <v>2931</v>
      </c>
      <c r="F896" s="13"/>
      <c r="G896" s="17">
        <v>6.2</v>
      </c>
      <c r="H896" s="16">
        <v>93</v>
      </c>
      <c r="I896" s="18">
        <v>4.2119999999999997</v>
      </c>
      <c r="J896" s="13"/>
      <c r="K896" s="13"/>
      <c r="L896" s="17">
        <f>G896-J896</f>
        <v>6.2</v>
      </c>
      <c r="M896" s="18">
        <f>L896*(H896*H896)*0.7854/10000</f>
        <v>4.2116132520000003</v>
      </c>
      <c r="N896" s="5" t="s">
        <v>21</v>
      </c>
      <c r="O896" s="8" t="s">
        <v>30</v>
      </c>
    </row>
    <row r="897" spans="1:15" s="14" customFormat="1" x14ac:dyDescent="0.25">
      <c r="A897" s="13">
        <v>926</v>
      </c>
      <c r="B897" s="16">
        <v>926</v>
      </c>
      <c r="C897" s="13" t="s">
        <v>3728</v>
      </c>
      <c r="D897" s="6" t="s">
        <v>1800</v>
      </c>
      <c r="E897" s="13" t="s">
        <v>2931</v>
      </c>
      <c r="F897" s="13"/>
      <c r="G897" s="17">
        <v>5</v>
      </c>
      <c r="H897" s="16">
        <v>75</v>
      </c>
      <c r="I897" s="18">
        <v>2.2090000000000001</v>
      </c>
      <c r="J897" s="13"/>
      <c r="K897" s="13"/>
      <c r="L897" s="17">
        <f>G897-J897</f>
        <v>5</v>
      </c>
      <c r="M897" s="18">
        <f>L897*(H897*H897)*0.7854/10000</f>
        <v>2.2089375000000002</v>
      </c>
      <c r="N897" s="5"/>
      <c r="O897" s="8" t="s">
        <v>19</v>
      </c>
    </row>
    <row r="898" spans="1:15" s="14" customFormat="1" x14ac:dyDescent="0.25">
      <c r="A898" s="13">
        <v>927</v>
      </c>
      <c r="B898" s="16">
        <v>927</v>
      </c>
      <c r="C898" s="13" t="s">
        <v>3729</v>
      </c>
      <c r="D898" s="6" t="s">
        <v>1803</v>
      </c>
      <c r="E898" s="13" t="s">
        <v>2931</v>
      </c>
      <c r="F898" s="13"/>
      <c r="G898" s="17">
        <v>9.1999999999999993</v>
      </c>
      <c r="H898" s="16">
        <v>80</v>
      </c>
      <c r="I898" s="18">
        <v>4.6239999999999997</v>
      </c>
      <c r="J898" s="13"/>
      <c r="K898" s="13"/>
      <c r="L898" s="17">
        <f>G898-J898</f>
        <v>9.1999999999999993</v>
      </c>
      <c r="M898" s="18">
        <f>L898*(H898*H898)*0.7854/10000</f>
        <v>4.6244351999999989</v>
      </c>
      <c r="N898" s="5"/>
      <c r="O898" s="8" t="s">
        <v>19</v>
      </c>
    </row>
    <row r="899" spans="1:15" s="14" customFormat="1" x14ac:dyDescent="0.25">
      <c r="A899" s="13">
        <v>928</v>
      </c>
      <c r="B899" s="16">
        <v>928</v>
      </c>
      <c r="C899" s="13" t="s">
        <v>3730</v>
      </c>
      <c r="D899" s="6" t="s">
        <v>1806</v>
      </c>
      <c r="E899" s="13" t="s">
        <v>2931</v>
      </c>
      <c r="F899" s="13"/>
      <c r="G899" s="17">
        <v>12.5</v>
      </c>
      <c r="H899" s="16">
        <v>98</v>
      </c>
      <c r="I899" s="18">
        <v>9.4290000000000003</v>
      </c>
      <c r="J899" s="13"/>
      <c r="K899" s="13"/>
      <c r="L899" s="17">
        <f>G899-J899</f>
        <v>12.5</v>
      </c>
      <c r="M899" s="18">
        <f>L899*(H899*H899)*0.7854/10000</f>
        <v>9.4287270000000003</v>
      </c>
      <c r="N899" s="5"/>
      <c r="O899" s="8" t="s">
        <v>30</v>
      </c>
    </row>
    <row r="900" spans="1:15" s="14" customFormat="1" x14ac:dyDescent="0.25">
      <c r="A900" s="13">
        <v>929</v>
      </c>
      <c r="B900" s="16">
        <v>929</v>
      </c>
      <c r="C900" s="13" t="s">
        <v>3731</v>
      </c>
      <c r="D900" s="6" t="s">
        <v>1809</v>
      </c>
      <c r="E900" s="13" t="s">
        <v>2931</v>
      </c>
      <c r="F900" s="13"/>
      <c r="G900" s="17">
        <v>10.4</v>
      </c>
      <c r="H900" s="16">
        <v>111</v>
      </c>
      <c r="I900" s="18">
        <v>10.064</v>
      </c>
      <c r="J900" s="13"/>
      <c r="K900" s="13"/>
      <c r="L900" s="17">
        <f>G900-J900</f>
        <v>10.4</v>
      </c>
      <c r="M900" s="18">
        <f>L900*(H900*H900)*0.7854/10000</f>
        <v>10.063989936</v>
      </c>
      <c r="N900" s="5" t="s">
        <v>53</v>
      </c>
      <c r="O900" s="8" t="s">
        <v>19</v>
      </c>
    </row>
    <row r="901" spans="1:15" s="14" customFormat="1" x14ac:dyDescent="0.25">
      <c r="A901" s="13">
        <v>930</v>
      </c>
      <c r="B901" s="16">
        <v>930</v>
      </c>
      <c r="C901" s="13" t="s">
        <v>3732</v>
      </c>
      <c r="D901" s="6" t="s">
        <v>1812</v>
      </c>
      <c r="E901" s="13" t="s">
        <v>2931</v>
      </c>
      <c r="F901" s="13"/>
      <c r="G901" s="17">
        <v>13</v>
      </c>
      <c r="H901" s="16">
        <v>94</v>
      </c>
      <c r="I901" s="18">
        <v>9.0220000000000002</v>
      </c>
      <c r="J901" s="13"/>
      <c r="K901" s="13"/>
      <c r="L901" s="17">
        <f>G901-J901</f>
        <v>13</v>
      </c>
      <c r="M901" s="18">
        <f>L901*(H901*H901)*0.7854/10000</f>
        <v>9.0217327199999993</v>
      </c>
      <c r="N901" s="5" t="s">
        <v>1007</v>
      </c>
      <c r="O901" s="8" t="s">
        <v>19</v>
      </c>
    </row>
    <row r="902" spans="1:15" s="14" customFormat="1" x14ac:dyDescent="0.25">
      <c r="A902" s="13">
        <v>931</v>
      </c>
      <c r="B902" s="16">
        <v>931</v>
      </c>
      <c r="C902" s="13" t="s">
        <v>3733</v>
      </c>
      <c r="D902" s="6" t="s">
        <v>1815</v>
      </c>
      <c r="E902" s="13" t="s">
        <v>2931</v>
      </c>
      <c r="F902" s="13"/>
      <c r="G902" s="17">
        <v>6.3</v>
      </c>
      <c r="H902" s="16">
        <v>93</v>
      </c>
      <c r="I902" s="18">
        <v>4.28</v>
      </c>
      <c r="J902" s="13"/>
      <c r="K902" s="13"/>
      <c r="L902" s="17">
        <f>G902-J902</f>
        <v>6.3</v>
      </c>
      <c r="M902" s="18">
        <f>L902*(H902*H902)*0.7854/10000</f>
        <v>4.2795424979999996</v>
      </c>
      <c r="N902" s="5"/>
      <c r="O902" s="8" t="s">
        <v>19</v>
      </c>
    </row>
    <row r="903" spans="1:15" s="14" customFormat="1" x14ac:dyDescent="0.25">
      <c r="A903" s="13">
        <v>932</v>
      </c>
      <c r="B903" s="16">
        <v>932</v>
      </c>
      <c r="C903" s="13" t="s">
        <v>3734</v>
      </c>
      <c r="D903" s="6">
        <v>4806</v>
      </c>
      <c r="E903" s="13" t="s">
        <v>2931</v>
      </c>
      <c r="F903" s="13"/>
      <c r="G903" s="17">
        <v>12.7</v>
      </c>
      <c r="H903" s="16">
        <v>100</v>
      </c>
      <c r="I903" s="18">
        <v>9.9749999999999996</v>
      </c>
      <c r="J903" s="13">
        <v>0.3</v>
      </c>
      <c r="K903" s="13"/>
      <c r="L903" s="17">
        <f>G903-J903</f>
        <v>12.399999999999999</v>
      </c>
      <c r="M903" s="18">
        <f>L903*(H903*H903)*0.7854/10000</f>
        <v>9.7389599999999987</v>
      </c>
      <c r="N903" s="5"/>
      <c r="O903" s="8" t="s">
        <v>19</v>
      </c>
    </row>
    <row r="904" spans="1:15" s="14" customFormat="1" x14ac:dyDescent="0.25">
      <c r="A904" s="13">
        <v>933</v>
      </c>
      <c r="B904" s="16">
        <v>933</v>
      </c>
      <c r="C904" s="13" t="s">
        <v>3735</v>
      </c>
      <c r="D904" s="6" t="s">
        <v>1820</v>
      </c>
      <c r="E904" s="13" t="s">
        <v>2931</v>
      </c>
      <c r="F904" s="13"/>
      <c r="G904" s="17">
        <v>4.4000000000000004</v>
      </c>
      <c r="H904" s="16">
        <v>100</v>
      </c>
      <c r="I904" s="18">
        <v>3.456</v>
      </c>
      <c r="J904" s="13"/>
      <c r="K904" s="13"/>
      <c r="L904" s="17">
        <f>G904-J904</f>
        <v>4.4000000000000004</v>
      </c>
      <c r="M904" s="18">
        <f>L904*(H904*H904)*0.7854/10000</f>
        <v>3.4557599999999997</v>
      </c>
      <c r="N904" s="5"/>
      <c r="O904" s="8" t="s">
        <v>19</v>
      </c>
    </row>
    <row r="905" spans="1:15" s="14" customFormat="1" x14ac:dyDescent="0.25">
      <c r="A905" s="13">
        <v>934</v>
      </c>
      <c r="B905" s="16">
        <v>934</v>
      </c>
      <c r="C905" s="13" t="s">
        <v>3736</v>
      </c>
      <c r="D905" s="6" t="s">
        <v>1823</v>
      </c>
      <c r="E905" s="13" t="s">
        <v>2931</v>
      </c>
      <c r="F905" s="13"/>
      <c r="G905" s="17">
        <v>5.5</v>
      </c>
      <c r="H905" s="16">
        <v>88</v>
      </c>
      <c r="I905" s="18">
        <v>3.3450000000000002</v>
      </c>
      <c r="J905" s="13"/>
      <c r="K905" s="13"/>
      <c r="L905" s="17">
        <f>G905-J905</f>
        <v>5.5</v>
      </c>
      <c r="M905" s="18">
        <f>L905*(H905*H905)*0.7854/10000</f>
        <v>3.3451756800000001</v>
      </c>
      <c r="N905" s="5"/>
      <c r="O905" s="8" t="s">
        <v>19</v>
      </c>
    </row>
    <row r="906" spans="1:15" s="14" customFormat="1" x14ac:dyDescent="0.25">
      <c r="A906" s="13">
        <v>935</v>
      </c>
      <c r="B906" s="16">
        <v>935</v>
      </c>
      <c r="C906" s="13" t="s">
        <v>3737</v>
      </c>
      <c r="D906" s="6" t="s">
        <v>1826</v>
      </c>
      <c r="E906" s="13" t="s">
        <v>2931</v>
      </c>
      <c r="F906" s="13"/>
      <c r="G906" s="17">
        <v>11</v>
      </c>
      <c r="H906" s="16">
        <v>109</v>
      </c>
      <c r="I906" s="18">
        <v>10.263999999999999</v>
      </c>
      <c r="J906" s="13"/>
      <c r="K906" s="13"/>
      <c r="L906" s="17">
        <f>G906-J906</f>
        <v>11</v>
      </c>
      <c r="M906" s="18">
        <f>L906*(H906*H906)*0.7854/10000</f>
        <v>10.264471139999999</v>
      </c>
      <c r="N906" s="5"/>
      <c r="O906" s="8" t="s">
        <v>19</v>
      </c>
    </row>
    <row r="907" spans="1:15" s="14" customFormat="1" x14ac:dyDescent="0.25">
      <c r="A907" s="13">
        <v>936</v>
      </c>
      <c r="B907" s="16">
        <v>936</v>
      </c>
      <c r="C907" s="13" t="s">
        <v>3738</v>
      </c>
      <c r="D907" s="6" t="s">
        <v>1829</v>
      </c>
      <c r="E907" s="13" t="s">
        <v>2931</v>
      </c>
      <c r="F907" s="13"/>
      <c r="G907" s="17">
        <v>10.6</v>
      </c>
      <c r="H907" s="16">
        <v>110</v>
      </c>
      <c r="I907" s="18">
        <v>10.074</v>
      </c>
      <c r="J907" s="13"/>
      <c r="K907" s="13"/>
      <c r="L907" s="17">
        <f>G907-J907</f>
        <v>10.6</v>
      </c>
      <c r="M907" s="18">
        <f>L907*(H907*H907)*0.7854/10000</f>
        <v>10.073540399999999</v>
      </c>
      <c r="N907" s="5"/>
      <c r="O907" s="8" t="s">
        <v>19</v>
      </c>
    </row>
    <row r="908" spans="1:15" s="14" customFormat="1" x14ac:dyDescent="0.25">
      <c r="A908" s="13">
        <v>937</v>
      </c>
      <c r="B908" s="16">
        <v>937</v>
      </c>
      <c r="C908" s="13" t="s">
        <v>3739</v>
      </c>
      <c r="D908" s="6" t="s">
        <v>1832</v>
      </c>
      <c r="E908" s="13" t="s">
        <v>2931</v>
      </c>
      <c r="F908" s="13"/>
      <c r="G908" s="17">
        <v>4.5999999999999996</v>
      </c>
      <c r="H908" s="16">
        <v>101</v>
      </c>
      <c r="I908" s="18">
        <v>3.6850000000000001</v>
      </c>
      <c r="J908" s="13"/>
      <c r="K908" s="13"/>
      <c r="L908" s="17">
        <f>G908-J908</f>
        <v>4.5999999999999996</v>
      </c>
      <c r="M908" s="18">
        <f>L908*(H908*H908)*0.7854/10000</f>
        <v>3.6854580839999995</v>
      </c>
      <c r="N908" s="5" t="s">
        <v>157</v>
      </c>
      <c r="O908" s="8" t="s">
        <v>30</v>
      </c>
    </row>
    <row r="909" spans="1:15" s="14" customFormat="1" x14ac:dyDescent="0.25">
      <c r="A909" s="13">
        <v>938</v>
      </c>
      <c r="B909" s="16">
        <v>938</v>
      </c>
      <c r="C909" s="13" t="s">
        <v>3740</v>
      </c>
      <c r="D909" s="6" t="s">
        <v>1835</v>
      </c>
      <c r="E909" s="13" t="s">
        <v>2931</v>
      </c>
      <c r="F909" s="13"/>
      <c r="G909" s="17">
        <v>5.2</v>
      </c>
      <c r="H909" s="16">
        <v>99</v>
      </c>
      <c r="I909" s="18">
        <v>4.0030000000000001</v>
      </c>
      <c r="J909" s="13">
        <v>0.3</v>
      </c>
      <c r="K909" s="13"/>
      <c r="L909" s="17">
        <f>G909-J909</f>
        <v>4.9000000000000004</v>
      </c>
      <c r="M909" s="18">
        <f>L909*(H909*H909)*0.7854/10000</f>
        <v>3.7718756460000002</v>
      </c>
      <c r="N909" s="5"/>
      <c r="O909" s="8" t="s">
        <v>19</v>
      </c>
    </row>
    <row r="910" spans="1:15" s="14" customFormat="1" x14ac:dyDescent="0.25">
      <c r="A910" s="13">
        <v>939</v>
      </c>
      <c r="B910" s="16">
        <v>939</v>
      </c>
      <c r="C910" s="13" t="s">
        <v>3741</v>
      </c>
      <c r="D910" s="6" t="s">
        <v>1838</v>
      </c>
      <c r="E910" s="13" t="s">
        <v>2931</v>
      </c>
      <c r="F910" s="13"/>
      <c r="G910" s="17">
        <v>10.1</v>
      </c>
      <c r="H910" s="16">
        <v>91</v>
      </c>
      <c r="I910" s="18">
        <v>6.569</v>
      </c>
      <c r="J910" s="13"/>
      <c r="K910" s="13"/>
      <c r="L910" s="17">
        <f>G910-J910</f>
        <v>10.1</v>
      </c>
      <c r="M910" s="18">
        <f>L910*(H910*H910)*0.7854/10000</f>
        <v>6.5689363739999989</v>
      </c>
      <c r="N910" s="5"/>
      <c r="O910" s="8" t="s">
        <v>19</v>
      </c>
    </row>
    <row r="911" spans="1:15" s="14" customFormat="1" x14ac:dyDescent="0.25">
      <c r="A911" s="13">
        <v>940</v>
      </c>
      <c r="B911" s="16">
        <v>940</v>
      </c>
      <c r="C911" s="13" t="s">
        <v>3742</v>
      </c>
      <c r="D911" s="6" t="s">
        <v>1841</v>
      </c>
      <c r="E911" s="13" t="s">
        <v>2931</v>
      </c>
      <c r="F911" s="13"/>
      <c r="G911" s="17">
        <v>5.5</v>
      </c>
      <c r="H911" s="16">
        <v>86</v>
      </c>
      <c r="I911" s="18">
        <v>3.1949999999999998</v>
      </c>
      <c r="J911" s="13"/>
      <c r="K911" s="13"/>
      <c r="L911" s="17">
        <f>G911-J911</f>
        <v>5.5</v>
      </c>
      <c r="M911" s="18">
        <f>L911*(H911*H911)*0.7854/10000</f>
        <v>3.1948501199999999</v>
      </c>
      <c r="N911" s="5"/>
      <c r="O911" s="8" t="s">
        <v>30</v>
      </c>
    </row>
    <row r="912" spans="1:15" s="14" customFormat="1" x14ac:dyDescent="0.25">
      <c r="A912" s="13">
        <v>941</v>
      </c>
      <c r="B912" s="16">
        <v>941</v>
      </c>
      <c r="C912" s="13" t="s">
        <v>3743</v>
      </c>
      <c r="D912" s="6" t="s">
        <v>1844</v>
      </c>
      <c r="E912" s="13" t="s">
        <v>2931</v>
      </c>
      <c r="F912" s="13"/>
      <c r="G912" s="17">
        <v>10.8</v>
      </c>
      <c r="H912" s="16">
        <v>104</v>
      </c>
      <c r="I912" s="18">
        <v>9.1739999999999995</v>
      </c>
      <c r="J912" s="13"/>
      <c r="K912" s="13"/>
      <c r="L912" s="17">
        <f>G912-J912</f>
        <v>10.8</v>
      </c>
      <c r="M912" s="18">
        <f>L912*(H912*H912)*0.7854/10000</f>
        <v>9.1744773120000005</v>
      </c>
      <c r="N912" s="5"/>
      <c r="O912" s="8" t="s">
        <v>19</v>
      </c>
    </row>
    <row r="913" spans="1:15" s="14" customFormat="1" x14ac:dyDescent="0.25">
      <c r="A913" s="13">
        <v>942</v>
      </c>
      <c r="B913" s="16">
        <v>942</v>
      </c>
      <c r="C913" s="13" t="s">
        <v>3744</v>
      </c>
      <c r="D913" s="6">
        <v>5126</v>
      </c>
      <c r="E913" s="13" t="s">
        <v>2931</v>
      </c>
      <c r="F913" s="13"/>
      <c r="G913" s="17">
        <v>12.6</v>
      </c>
      <c r="H913" s="16">
        <v>87</v>
      </c>
      <c r="I913" s="18">
        <v>7.49</v>
      </c>
      <c r="J913" s="13"/>
      <c r="K913" s="13"/>
      <c r="L913" s="17">
        <f>G913-J913</f>
        <v>12.6</v>
      </c>
      <c r="M913" s="18">
        <f>L913*(H913*H913)*0.7854/10000</f>
        <v>7.4903126760000003</v>
      </c>
      <c r="N913" s="5"/>
      <c r="O913" s="8" t="s">
        <v>19</v>
      </c>
    </row>
    <row r="914" spans="1:15" s="14" customFormat="1" x14ac:dyDescent="0.25">
      <c r="A914" s="13">
        <v>943</v>
      </c>
      <c r="B914" s="16">
        <v>943</v>
      </c>
      <c r="C914" s="13" t="s">
        <v>3745</v>
      </c>
      <c r="D914" s="6" t="s">
        <v>1849</v>
      </c>
      <c r="E914" s="13" t="s">
        <v>2931</v>
      </c>
      <c r="F914" s="13"/>
      <c r="G914" s="17">
        <v>4.5</v>
      </c>
      <c r="H914" s="16">
        <v>94</v>
      </c>
      <c r="I914" s="18">
        <v>3.1230000000000002</v>
      </c>
      <c r="J914" s="13"/>
      <c r="K914" s="13"/>
      <c r="L914" s="17">
        <f>G914-J914</f>
        <v>4.5</v>
      </c>
      <c r="M914" s="18">
        <f>L914*(H914*H914)*0.7854/10000</f>
        <v>3.1229074799999998</v>
      </c>
      <c r="N914" s="5"/>
      <c r="O914" s="8" t="s">
        <v>30</v>
      </c>
    </row>
    <row r="915" spans="1:15" s="14" customFormat="1" x14ac:dyDescent="0.25">
      <c r="A915" s="13">
        <v>944</v>
      </c>
      <c r="B915" s="16">
        <v>944</v>
      </c>
      <c r="C915" s="13" t="s">
        <v>3746</v>
      </c>
      <c r="D915" s="6">
        <v>1545</v>
      </c>
      <c r="E915" s="13" t="s">
        <v>2931</v>
      </c>
      <c r="F915" s="13"/>
      <c r="G915" s="17">
        <v>9.4</v>
      </c>
      <c r="H915" s="16">
        <v>57</v>
      </c>
      <c r="I915" s="18">
        <v>2.399</v>
      </c>
      <c r="J915" s="13"/>
      <c r="K915" s="13"/>
      <c r="L915" s="17">
        <f>G915-J915</f>
        <v>9.4</v>
      </c>
      <c r="M915" s="18">
        <f>L915*(H915*H915)*0.7854/10000</f>
        <v>2.3986587240000001</v>
      </c>
      <c r="N915" s="5" t="s">
        <v>21</v>
      </c>
      <c r="O915" s="8" t="s">
        <v>19</v>
      </c>
    </row>
    <row r="916" spans="1:15" s="14" customFormat="1" x14ac:dyDescent="0.25">
      <c r="A916" s="13">
        <v>945</v>
      </c>
      <c r="B916" s="16">
        <v>945</v>
      </c>
      <c r="C916" s="13" t="s">
        <v>3747</v>
      </c>
      <c r="D916" s="6" t="s">
        <v>1854</v>
      </c>
      <c r="E916" s="13" t="s">
        <v>2931</v>
      </c>
      <c r="F916" s="13"/>
      <c r="G916" s="17">
        <v>12.1</v>
      </c>
      <c r="H916" s="16">
        <v>91</v>
      </c>
      <c r="I916" s="18">
        <v>7.87</v>
      </c>
      <c r="J916" s="13"/>
      <c r="K916" s="13"/>
      <c r="L916" s="17">
        <f>G916-J916</f>
        <v>12.1</v>
      </c>
      <c r="M916" s="18">
        <f>L916*(H916*H916)*0.7854/10000</f>
        <v>7.869715853999999</v>
      </c>
      <c r="N916" s="5"/>
      <c r="O916" s="8" t="s">
        <v>19</v>
      </c>
    </row>
    <row r="917" spans="1:15" s="14" customFormat="1" x14ac:dyDescent="0.25">
      <c r="A917" s="13">
        <v>946</v>
      </c>
      <c r="B917" s="16">
        <v>946</v>
      </c>
      <c r="C917" s="13" t="s">
        <v>3748</v>
      </c>
      <c r="D917" s="6" t="s">
        <v>1857</v>
      </c>
      <c r="E917" s="13" t="s">
        <v>2931</v>
      </c>
      <c r="F917" s="13"/>
      <c r="G917" s="17">
        <v>12.3</v>
      </c>
      <c r="H917" s="16">
        <v>97</v>
      </c>
      <c r="I917" s="18">
        <v>9.0890000000000004</v>
      </c>
      <c r="J917" s="13"/>
      <c r="K917" s="13"/>
      <c r="L917" s="17">
        <f>G917-J917</f>
        <v>12.3</v>
      </c>
      <c r="M917" s="18">
        <f>L917*(H917*H917)*0.7854/10000</f>
        <v>9.0894891780000009</v>
      </c>
      <c r="N917" s="5"/>
      <c r="O917" s="8" t="s">
        <v>19</v>
      </c>
    </row>
    <row r="918" spans="1:15" s="14" customFormat="1" x14ac:dyDescent="0.25">
      <c r="A918" s="13">
        <v>947</v>
      </c>
      <c r="B918" s="16">
        <v>947</v>
      </c>
      <c r="C918" s="13" t="s">
        <v>3749</v>
      </c>
      <c r="D918" s="6" t="s">
        <v>1860</v>
      </c>
      <c r="E918" s="13" t="s">
        <v>2931</v>
      </c>
      <c r="F918" s="13"/>
      <c r="G918" s="17">
        <v>12.4</v>
      </c>
      <c r="H918" s="16">
        <v>95</v>
      </c>
      <c r="I918" s="18">
        <v>8.7889999999999997</v>
      </c>
      <c r="J918" s="13"/>
      <c r="K918" s="13"/>
      <c r="L918" s="17">
        <f>G918-J918</f>
        <v>12.4</v>
      </c>
      <c r="M918" s="18">
        <f>L918*(H918*H918)*0.7854/10000</f>
        <v>8.7894114000000005</v>
      </c>
      <c r="N918" s="5"/>
      <c r="O918" s="8" t="s">
        <v>19</v>
      </c>
    </row>
    <row r="919" spans="1:15" s="14" customFormat="1" x14ac:dyDescent="0.25">
      <c r="A919" s="13">
        <v>948</v>
      </c>
      <c r="B919" s="16">
        <v>948</v>
      </c>
      <c r="C919" s="13" t="s">
        <v>3750</v>
      </c>
      <c r="D919" s="6" t="s">
        <v>1863</v>
      </c>
      <c r="E919" s="13" t="s">
        <v>2931</v>
      </c>
      <c r="F919" s="13"/>
      <c r="G919" s="17">
        <v>10.8</v>
      </c>
      <c r="H919" s="16">
        <v>89</v>
      </c>
      <c r="I919" s="18">
        <v>6.7190000000000003</v>
      </c>
      <c r="J919" s="13"/>
      <c r="K919" s="13"/>
      <c r="L919" s="17">
        <f>G919-J919</f>
        <v>10.8</v>
      </c>
      <c r="M919" s="18">
        <f>L919*(H919*H919)*0.7854/10000</f>
        <v>6.7188456720000005</v>
      </c>
      <c r="N919" s="5"/>
      <c r="O919" s="8" t="s">
        <v>19</v>
      </c>
    </row>
    <row r="920" spans="1:15" s="14" customFormat="1" x14ac:dyDescent="0.25">
      <c r="A920" s="13">
        <v>949</v>
      </c>
      <c r="B920" s="16">
        <v>949</v>
      </c>
      <c r="C920" s="13" t="s">
        <v>3751</v>
      </c>
      <c r="D920" s="6" t="s">
        <v>1866</v>
      </c>
      <c r="E920" s="13" t="s">
        <v>2931</v>
      </c>
      <c r="F920" s="13"/>
      <c r="G920" s="17">
        <v>6.3</v>
      </c>
      <c r="H920" s="16">
        <v>87</v>
      </c>
      <c r="I920" s="18">
        <v>3.7450000000000001</v>
      </c>
      <c r="J920" s="13"/>
      <c r="K920" s="13"/>
      <c r="L920" s="17">
        <f>G920-J920</f>
        <v>6.3</v>
      </c>
      <c r="M920" s="18">
        <f>L920*(H920*H920)*0.7854/10000</f>
        <v>3.7451563380000001</v>
      </c>
      <c r="N920" s="5"/>
      <c r="O920" s="8" t="s">
        <v>19</v>
      </c>
    </row>
    <row r="921" spans="1:15" s="14" customFormat="1" x14ac:dyDescent="0.25">
      <c r="A921" s="13">
        <v>950</v>
      </c>
      <c r="B921" s="16">
        <v>950</v>
      </c>
      <c r="C921" s="13" t="s">
        <v>3752</v>
      </c>
      <c r="D921" s="6" t="s">
        <v>1869</v>
      </c>
      <c r="E921" s="13" t="s">
        <v>2931</v>
      </c>
      <c r="F921" s="13"/>
      <c r="G921" s="17">
        <v>10.5</v>
      </c>
      <c r="H921" s="16">
        <v>79</v>
      </c>
      <c r="I921" s="18">
        <v>5.1470000000000002</v>
      </c>
      <c r="J921" s="13"/>
      <c r="K921" s="13"/>
      <c r="L921" s="17">
        <f>G921-J921</f>
        <v>10.5</v>
      </c>
      <c r="M921" s="18">
        <f>L921*(H921*H921)*0.7854/10000</f>
        <v>5.1467654700000001</v>
      </c>
      <c r="N921" s="5" t="s">
        <v>21</v>
      </c>
      <c r="O921" s="8" t="s">
        <v>19</v>
      </c>
    </row>
    <row r="922" spans="1:15" s="14" customFormat="1" x14ac:dyDescent="0.25">
      <c r="A922" s="13">
        <v>951</v>
      </c>
      <c r="B922" s="16">
        <v>951</v>
      </c>
      <c r="C922" s="13" t="s">
        <v>3753</v>
      </c>
      <c r="D922" s="6">
        <v>1548</v>
      </c>
      <c r="E922" s="13" t="s">
        <v>2931</v>
      </c>
      <c r="F922" s="13"/>
      <c r="G922" s="17">
        <v>11.1</v>
      </c>
      <c r="H922" s="16">
        <v>84</v>
      </c>
      <c r="I922" s="18">
        <v>6.1509999999999998</v>
      </c>
      <c r="J922" s="13">
        <v>0.5</v>
      </c>
      <c r="K922" s="13"/>
      <c r="L922" s="17">
        <f>G922-J922</f>
        <v>10.6</v>
      </c>
      <c r="M922" s="18">
        <f>L922*(H922*H922)*0.7854/10000</f>
        <v>5.8742893439999992</v>
      </c>
      <c r="N922" s="5" t="s">
        <v>21</v>
      </c>
      <c r="O922" s="8" t="s">
        <v>19</v>
      </c>
    </row>
    <row r="923" spans="1:15" s="14" customFormat="1" x14ac:dyDescent="0.25">
      <c r="A923" s="13">
        <v>952</v>
      </c>
      <c r="B923" s="16">
        <v>952</v>
      </c>
      <c r="C923" s="13" t="s">
        <v>3754</v>
      </c>
      <c r="D923" s="6" t="s">
        <v>1874</v>
      </c>
      <c r="E923" s="13" t="s">
        <v>2931</v>
      </c>
      <c r="F923" s="13"/>
      <c r="G923" s="17">
        <v>6.8</v>
      </c>
      <c r="H923" s="16">
        <v>76</v>
      </c>
      <c r="I923" s="18">
        <v>3.085</v>
      </c>
      <c r="J923" s="13"/>
      <c r="K923" s="13"/>
      <c r="L923" s="17">
        <f>G923-J923</f>
        <v>6.8</v>
      </c>
      <c r="M923" s="18">
        <f>L923*(H923*H923)*0.7854/10000</f>
        <v>3.0847998719999996</v>
      </c>
      <c r="N923" s="5" t="s">
        <v>53</v>
      </c>
      <c r="O923" s="8" t="s">
        <v>30</v>
      </c>
    </row>
    <row r="924" spans="1:15" s="14" customFormat="1" x14ac:dyDescent="0.25">
      <c r="A924" s="13">
        <v>953</v>
      </c>
      <c r="B924" s="16">
        <v>953</v>
      </c>
      <c r="C924" s="13" t="s">
        <v>3755</v>
      </c>
      <c r="D924" s="6">
        <v>5131</v>
      </c>
      <c r="E924" s="13" t="s">
        <v>2931</v>
      </c>
      <c r="F924" s="13"/>
      <c r="G924" s="17">
        <v>9.1999999999999993</v>
      </c>
      <c r="H924" s="16">
        <v>80</v>
      </c>
      <c r="I924" s="18">
        <v>4.6239999999999997</v>
      </c>
      <c r="J924" s="13">
        <v>0.4</v>
      </c>
      <c r="K924" s="13"/>
      <c r="L924" s="17">
        <f>G924-J924</f>
        <v>8.7999999999999989</v>
      </c>
      <c r="M924" s="18">
        <f>L924*(H924*H924)*0.7854/10000</f>
        <v>4.4233727999999992</v>
      </c>
      <c r="N924" s="5" t="s">
        <v>53</v>
      </c>
      <c r="O924" s="8" t="s">
        <v>19</v>
      </c>
    </row>
    <row r="925" spans="1:15" s="14" customFormat="1" x14ac:dyDescent="0.25">
      <c r="A925" s="13">
        <v>954</v>
      </c>
      <c r="B925" s="16">
        <v>954</v>
      </c>
      <c r="C925" s="13" t="s">
        <v>3756</v>
      </c>
      <c r="D925" s="6" t="s">
        <v>1879</v>
      </c>
      <c r="E925" s="13" t="s">
        <v>2931</v>
      </c>
      <c r="F925" s="13"/>
      <c r="G925" s="17">
        <v>10.1</v>
      </c>
      <c r="H925" s="16">
        <v>99</v>
      </c>
      <c r="I925" s="18">
        <v>7.7750000000000004</v>
      </c>
      <c r="J925" s="13"/>
      <c r="K925" s="13"/>
      <c r="L925" s="17">
        <f>G925-J925</f>
        <v>10.1</v>
      </c>
      <c r="M925" s="18">
        <f>L925*(H925*H925)*0.7854/10000</f>
        <v>7.7746824539999988</v>
      </c>
      <c r="N925" s="5"/>
      <c r="O925" s="8" t="s">
        <v>19</v>
      </c>
    </row>
    <row r="926" spans="1:15" s="14" customFormat="1" x14ac:dyDescent="0.25">
      <c r="A926" s="13">
        <v>955</v>
      </c>
      <c r="B926" s="16">
        <v>955</v>
      </c>
      <c r="C926" s="13" t="s">
        <v>3757</v>
      </c>
      <c r="D926" s="6" t="s">
        <v>1882</v>
      </c>
      <c r="E926" s="13" t="s">
        <v>2931</v>
      </c>
      <c r="F926" s="13"/>
      <c r="G926" s="17">
        <v>5.7</v>
      </c>
      <c r="H926" s="16">
        <v>95</v>
      </c>
      <c r="I926" s="18">
        <v>4.04</v>
      </c>
      <c r="J926" s="13"/>
      <c r="K926" s="13"/>
      <c r="L926" s="17">
        <f>G926-J926</f>
        <v>5.7</v>
      </c>
      <c r="M926" s="18">
        <f>L926*(H926*H926)*0.7854/10000</f>
        <v>4.0402939499999997</v>
      </c>
      <c r="N926" s="5"/>
      <c r="O926" s="8" t="s">
        <v>30</v>
      </c>
    </row>
    <row r="927" spans="1:15" s="14" customFormat="1" x14ac:dyDescent="0.25">
      <c r="A927" s="13">
        <v>956</v>
      </c>
      <c r="B927" s="16">
        <v>956</v>
      </c>
      <c r="C927" s="13" t="s">
        <v>3758</v>
      </c>
      <c r="D927" s="6" t="s">
        <v>1885</v>
      </c>
      <c r="E927" s="13" t="s">
        <v>2931</v>
      </c>
      <c r="F927" s="13"/>
      <c r="G927" s="17">
        <v>5.7</v>
      </c>
      <c r="H927" s="16">
        <v>80</v>
      </c>
      <c r="I927" s="18">
        <v>2.8650000000000002</v>
      </c>
      <c r="J927" s="13"/>
      <c r="K927" s="13"/>
      <c r="L927" s="17">
        <f>G927-J927</f>
        <v>5.7</v>
      </c>
      <c r="M927" s="18">
        <f>L927*(H927*H927)*0.7854/10000</f>
        <v>2.8651391999999998</v>
      </c>
      <c r="N927" s="5"/>
      <c r="O927" s="8" t="s">
        <v>19</v>
      </c>
    </row>
    <row r="928" spans="1:15" s="14" customFormat="1" x14ac:dyDescent="0.25">
      <c r="A928" s="13">
        <v>957</v>
      </c>
      <c r="B928" s="16">
        <v>957</v>
      </c>
      <c r="C928" s="13" t="s">
        <v>3759</v>
      </c>
      <c r="D928" s="6">
        <v>5133</v>
      </c>
      <c r="E928" s="13" t="s">
        <v>2931</v>
      </c>
      <c r="F928" s="13"/>
      <c r="G928" s="17">
        <v>10.9</v>
      </c>
      <c r="H928" s="16">
        <v>98</v>
      </c>
      <c r="I928" s="18">
        <v>8.2219999999999995</v>
      </c>
      <c r="J928" s="13"/>
      <c r="K928" s="13"/>
      <c r="L928" s="17">
        <f>G928-J928</f>
        <v>10.9</v>
      </c>
      <c r="M928" s="18">
        <f>L928*(H928*H928)*0.7854/10000</f>
        <v>8.2218499440000006</v>
      </c>
      <c r="N928" s="5"/>
      <c r="O928" s="8" t="s">
        <v>19</v>
      </c>
    </row>
    <row r="929" spans="1:15" s="14" customFormat="1" x14ac:dyDescent="0.25">
      <c r="A929" s="13">
        <v>958</v>
      </c>
      <c r="B929" s="16">
        <v>958</v>
      </c>
      <c r="C929" s="13" t="s">
        <v>3760</v>
      </c>
      <c r="D929" s="6" t="s">
        <v>1890</v>
      </c>
      <c r="E929" s="13" t="s">
        <v>2931</v>
      </c>
      <c r="F929" s="13"/>
      <c r="G929" s="17">
        <v>10.1</v>
      </c>
      <c r="H929" s="16">
        <v>101</v>
      </c>
      <c r="I929" s="18">
        <v>8.0920000000000005</v>
      </c>
      <c r="J929" s="13"/>
      <c r="K929" s="13"/>
      <c r="L929" s="17">
        <f>G929-J929</f>
        <v>10.1</v>
      </c>
      <c r="M929" s="18">
        <f>L929*(H929*H929)*0.7854/10000</f>
        <v>8.0919840539999992</v>
      </c>
      <c r="N929" s="5" t="s">
        <v>35</v>
      </c>
      <c r="O929" s="8" t="s">
        <v>30</v>
      </c>
    </row>
    <row r="930" spans="1:15" s="14" customFormat="1" x14ac:dyDescent="0.25">
      <c r="A930" s="13">
        <v>959</v>
      </c>
      <c r="B930" s="16">
        <v>959</v>
      </c>
      <c r="C930" s="13" t="s">
        <v>3761</v>
      </c>
      <c r="D930" s="6" t="s">
        <v>1893</v>
      </c>
      <c r="E930" s="13" t="s">
        <v>2931</v>
      </c>
      <c r="F930" s="13"/>
      <c r="G930" s="17">
        <v>6.7</v>
      </c>
      <c r="H930" s="16">
        <v>90</v>
      </c>
      <c r="I930" s="18">
        <v>4.2619999999999996</v>
      </c>
      <c r="J930" s="13"/>
      <c r="K930" s="13"/>
      <c r="L930" s="17">
        <f>G930-J930</f>
        <v>6.7</v>
      </c>
      <c r="M930" s="18">
        <f>L930*(H930*H930)*0.7854/10000</f>
        <v>4.2623657999999995</v>
      </c>
      <c r="N930" s="5"/>
      <c r="O930" s="8" t="s">
        <v>19</v>
      </c>
    </row>
    <row r="931" spans="1:15" s="14" customFormat="1" x14ac:dyDescent="0.25">
      <c r="A931" s="13">
        <v>960</v>
      </c>
      <c r="B931" s="16">
        <v>960</v>
      </c>
      <c r="C931" s="13" t="s">
        <v>3762</v>
      </c>
      <c r="D931" s="6" t="s">
        <v>1896</v>
      </c>
      <c r="E931" s="13" t="s">
        <v>2931</v>
      </c>
      <c r="F931" s="13"/>
      <c r="G931" s="17">
        <v>5.9</v>
      </c>
      <c r="H931" s="16">
        <v>96</v>
      </c>
      <c r="I931" s="18">
        <v>4.2709999999999999</v>
      </c>
      <c r="J931" s="13"/>
      <c r="K931" s="13"/>
      <c r="L931" s="17">
        <f>G931-J931</f>
        <v>5.9</v>
      </c>
      <c r="M931" s="18">
        <f>L931*(H931*H931)*0.7854/10000</f>
        <v>4.2705653760000004</v>
      </c>
      <c r="N931" s="5"/>
      <c r="O931" s="8" t="s">
        <v>19</v>
      </c>
    </row>
    <row r="932" spans="1:15" s="14" customFormat="1" x14ac:dyDescent="0.25">
      <c r="A932" s="13">
        <v>961</v>
      </c>
      <c r="B932" s="16">
        <v>961</v>
      </c>
      <c r="C932" s="13" t="s">
        <v>3763</v>
      </c>
      <c r="D932" s="6" t="s">
        <v>1899</v>
      </c>
      <c r="E932" s="13" t="s">
        <v>2931</v>
      </c>
      <c r="F932" s="13"/>
      <c r="G932" s="17">
        <v>10.4</v>
      </c>
      <c r="H932" s="16">
        <v>131</v>
      </c>
      <c r="I932" s="18">
        <v>14.016999999999999</v>
      </c>
      <c r="J932" s="13"/>
      <c r="K932" s="13"/>
      <c r="L932" s="17">
        <f>G932-J932</f>
        <v>10.4</v>
      </c>
      <c r="M932" s="18">
        <f>L932*(H932*H932)*0.7854/10000</f>
        <v>14.017379375999999</v>
      </c>
      <c r="N932" s="5"/>
      <c r="O932" s="8" t="s">
        <v>19</v>
      </c>
    </row>
    <row r="933" spans="1:15" s="14" customFormat="1" x14ac:dyDescent="0.25">
      <c r="A933" s="13">
        <v>962</v>
      </c>
      <c r="B933" s="16">
        <v>962</v>
      </c>
      <c r="C933" s="13" t="s">
        <v>3764</v>
      </c>
      <c r="D933" s="6" t="s">
        <v>1902</v>
      </c>
      <c r="E933" s="13" t="s">
        <v>2931</v>
      </c>
      <c r="F933" s="13"/>
      <c r="G933" s="17">
        <v>10.5</v>
      </c>
      <c r="H933" s="16">
        <v>97</v>
      </c>
      <c r="I933" s="18">
        <v>7.7590000000000003</v>
      </c>
      <c r="J933" s="13"/>
      <c r="K933" s="13"/>
      <c r="L933" s="17">
        <f>G933-J933</f>
        <v>10.5</v>
      </c>
      <c r="M933" s="18">
        <f>L933*(H933*H933)*0.7854/10000</f>
        <v>7.7593200299999996</v>
      </c>
      <c r="N933" s="5" t="s">
        <v>1007</v>
      </c>
      <c r="O933" s="8" t="s">
        <v>19</v>
      </c>
    </row>
    <row r="934" spans="1:15" s="14" customFormat="1" x14ac:dyDescent="0.25">
      <c r="A934" s="13">
        <v>963</v>
      </c>
      <c r="B934" s="16">
        <v>963</v>
      </c>
      <c r="C934" s="13" t="s">
        <v>3765</v>
      </c>
      <c r="D934" s="6" t="s">
        <v>1905</v>
      </c>
      <c r="E934" s="13" t="s">
        <v>2931</v>
      </c>
      <c r="F934" s="13"/>
      <c r="G934" s="17">
        <v>11.5</v>
      </c>
      <c r="H934" s="16">
        <v>138</v>
      </c>
      <c r="I934" s="18">
        <v>17.201000000000001</v>
      </c>
      <c r="J934" s="13">
        <v>0.3</v>
      </c>
      <c r="K934" s="13"/>
      <c r="L934" s="17">
        <f>G934-J934</f>
        <v>11.2</v>
      </c>
      <c r="M934" s="18">
        <f>L934*(H934*H934)*0.7854/10000</f>
        <v>16.752016511999997</v>
      </c>
      <c r="N934" s="5"/>
      <c r="O934" s="8" t="s">
        <v>19</v>
      </c>
    </row>
    <row r="935" spans="1:15" s="14" customFormat="1" x14ac:dyDescent="0.25">
      <c r="A935" s="13">
        <v>964</v>
      </c>
      <c r="B935" s="16">
        <v>964</v>
      </c>
      <c r="C935" s="13" t="s">
        <v>3766</v>
      </c>
      <c r="D935" s="6" t="s">
        <v>1908</v>
      </c>
      <c r="E935" s="13" t="s">
        <v>2931</v>
      </c>
      <c r="F935" s="13"/>
      <c r="G935" s="17">
        <v>5.7</v>
      </c>
      <c r="H935" s="16">
        <v>133</v>
      </c>
      <c r="I935" s="18">
        <v>7.9189999999999996</v>
      </c>
      <c r="J935" s="13"/>
      <c r="K935" s="13"/>
      <c r="L935" s="17">
        <f>G935-J935</f>
        <v>5.7</v>
      </c>
      <c r="M935" s="18">
        <f>L935*(H935*H935)*0.7854/10000</f>
        <v>7.9189761419999991</v>
      </c>
      <c r="N935" s="5" t="s">
        <v>21</v>
      </c>
      <c r="O935" s="8" t="s">
        <v>19</v>
      </c>
    </row>
    <row r="936" spans="1:15" s="14" customFormat="1" x14ac:dyDescent="0.25">
      <c r="A936" s="13">
        <v>965</v>
      </c>
      <c r="B936" s="16">
        <v>965</v>
      </c>
      <c r="C936" s="13" t="s">
        <v>3767</v>
      </c>
      <c r="D936" s="6" t="s">
        <v>1911</v>
      </c>
      <c r="E936" s="13" t="s">
        <v>2931</v>
      </c>
      <c r="F936" s="13"/>
      <c r="G936" s="17">
        <v>6.5</v>
      </c>
      <c r="H936" s="16">
        <v>122</v>
      </c>
      <c r="I936" s="18">
        <v>7.5979999999999999</v>
      </c>
      <c r="J936" s="13"/>
      <c r="K936" s="13"/>
      <c r="L936" s="17">
        <f>G936-J936</f>
        <v>6.5</v>
      </c>
      <c r="M936" s="18">
        <f>L936*(H936*H936)*0.7854/10000</f>
        <v>7.5984308399999998</v>
      </c>
      <c r="N936" s="5" t="s">
        <v>35</v>
      </c>
      <c r="O936" s="8" t="s">
        <v>19</v>
      </c>
    </row>
    <row r="937" spans="1:15" s="14" customFormat="1" x14ac:dyDescent="0.25">
      <c r="A937" s="13">
        <v>966</v>
      </c>
      <c r="B937" s="16">
        <v>966</v>
      </c>
      <c r="C937" s="13" t="s">
        <v>3768</v>
      </c>
      <c r="D937" s="6">
        <v>743</v>
      </c>
      <c r="E937" s="13" t="s">
        <v>2931</v>
      </c>
      <c r="F937" s="13"/>
      <c r="G937" s="17">
        <v>14.3</v>
      </c>
      <c r="H937" s="16">
        <v>76</v>
      </c>
      <c r="I937" s="18">
        <v>6.4870000000000001</v>
      </c>
      <c r="J937" s="13">
        <v>0.3</v>
      </c>
      <c r="K937" s="13"/>
      <c r="L937" s="17">
        <f>G937-J937</f>
        <v>14</v>
      </c>
      <c r="M937" s="18">
        <f>L937*(H937*H937)*0.7854/10000</f>
        <v>6.3510585600000002</v>
      </c>
      <c r="N937" s="5" t="s">
        <v>21</v>
      </c>
      <c r="O937" s="8" t="s">
        <v>19</v>
      </c>
    </row>
    <row r="938" spans="1:15" s="14" customFormat="1" x14ac:dyDescent="0.25">
      <c r="A938" s="13">
        <v>967</v>
      </c>
      <c r="B938" s="16">
        <v>967</v>
      </c>
      <c r="C938" s="13" t="s">
        <v>3769</v>
      </c>
      <c r="D938" s="6" t="s">
        <v>1916</v>
      </c>
      <c r="E938" s="13" t="s">
        <v>2931</v>
      </c>
      <c r="F938" s="13"/>
      <c r="G938" s="17">
        <v>10.4</v>
      </c>
      <c r="H938" s="16">
        <v>67</v>
      </c>
      <c r="I938" s="18">
        <v>3.6669999999999998</v>
      </c>
      <c r="J938" s="13">
        <v>0.5</v>
      </c>
      <c r="K938" s="13"/>
      <c r="L938" s="17">
        <f>G938-J938</f>
        <v>9.9</v>
      </c>
      <c r="M938" s="18">
        <f>L938*(H938*H938)*0.7854/10000</f>
        <v>3.4904039939999993</v>
      </c>
      <c r="N938" s="5"/>
      <c r="O938" s="8" t="s">
        <v>30</v>
      </c>
    </row>
    <row r="939" spans="1:15" s="14" customFormat="1" x14ac:dyDescent="0.25">
      <c r="A939" s="13">
        <v>968</v>
      </c>
      <c r="B939" s="16">
        <v>968</v>
      </c>
      <c r="C939" s="13" t="s">
        <v>3770</v>
      </c>
      <c r="D939" s="6" t="s">
        <v>1919</v>
      </c>
      <c r="E939" s="13" t="s">
        <v>2931</v>
      </c>
      <c r="F939" s="13"/>
      <c r="G939" s="17">
        <v>11.5</v>
      </c>
      <c r="H939" s="16">
        <v>109</v>
      </c>
      <c r="I939" s="18">
        <v>10.731</v>
      </c>
      <c r="J939" s="13">
        <v>0.5</v>
      </c>
      <c r="K939" s="13"/>
      <c r="L939" s="17">
        <f>G939-J939</f>
        <v>11</v>
      </c>
      <c r="M939" s="18">
        <f>L939*(H939*H939)*0.7854/10000</f>
        <v>10.264471139999999</v>
      </c>
      <c r="N939" s="5" t="s">
        <v>157</v>
      </c>
      <c r="O939" s="8" t="s">
        <v>19</v>
      </c>
    </row>
    <row r="940" spans="1:15" s="14" customFormat="1" x14ac:dyDescent="0.25">
      <c r="A940" s="13">
        <v>969</v>
      </c>
      <c r="B940" s="16">
        <v>969</v>
      </c>
      <c r="C940" s="13" t="s">
        <v>3771</v>
      </c>
      <c r="D940" s="6" t="s">
        <v>1922</v>
      </c>
      <c r="E940" s="13" t="s">
        <v>2931</v>
      </c>
      <c r="F940" s="13"/>
      <c r="G940" s="17">
        <v>7.2</v>
      </c>
      <c r="H940" s="16">
        <v>100</v>
      </c>
      <c r="I940" s="18">
        <v>5.6550000000000002</v>
      </c>
      <c r="J940" s="13">
        <v>0.5</v>
      </c>
      <c r="K940" s="13"/>
      <c r="L940" s="17">
        <f>G940-J940</f>
        <v>6.7</v>
      </c>
      <c r="M940" s="18">
        <f>L940*(H940*H940)*0.7854/10000</f>
        <v>5.2621799999999999</v>
      </c>
      <c r="N940" s="5"/>
      <c r="O940" s="8" t="s">
        <v>19</v>
      </c>
    </row>
    <row r="941" spans="1:15" s="14" customFormat="1" x14ac:dyDescent="0.25">
      <c r="A941" s="13">
        <v>970</v>
      </c>
      <c r="B941" s="16">
        <v>970</v>
      </c>
      <c r="C941" s="13" t="s">
        <v>3772</v>
      </c>
      <c r="D941" s="6" t="s">
        <v>1925</v>
      </c>
      <c r="E941" s="13" t="s">
        <v>2931</v>
      </c>
      <c r="F941" s="13"/>
      <c r="G941" s="17">
        <v>10.7</v>
      </c>
      <c r="H941" s="16">
        <v>80</v>
      </c>
      <c r="I941" s="18">
        <v>5.3780000000000001</v>
      </c>
      <c r="J941" s="13">
        <v>0.5</v>
      </c>
      <c r="K941" s="13"/>
      <c r="L941" s="17">
        <f>G941-J941</f>
        <v>10.199999999999999</v>
      </c>
      <c r="M941" s="18">
        <f>L941*(H941*H941)*0.7854/10000</f>
        <v>5.1270911999999997</v>
      </c>
      <c r="N941" s="5"/>
      <c r="O941" s="8" t="s">
        <v>30</v>
      </c>
    </row>
    <row r="942" spans="1:15" s="14" customFormat="1" x14ac:dyDescent="0.25">
      <c r="A942" s="13">
        <v>971</v>
      </c>
      <c r="B942" s="16">
        <v>971</v>
      </c>
      <c r="C942" s="13" t="s">
        <v>3773</v>
      </c>
      <c r="D942" s="6" t="s">
        <v>1928</v>
      </c>
      <c r="E942" s="13" t="s">
        <v>2931</v>
      </c>
      <c r="F942" s="13"/>
      <c r="G942" s="17">
        <v>10</v>
      </c>
      <c r="H942" s="16">
        <v>85</v>
      </c>
      <c r="I942" s="18">
        <v>5.6749999999999998</v>
      </c>
      <c r="J942" s="13"/>
      <c r="K942" s="13"/>
      <c r="L942" s="17">
        <f>G942-J942</f>
        <v>10</v>
      </c>
      <c r="M942" s="18">
        <f>L942*(H942*H942)*0.7854/10000</f>
        <v>5.6745150000000004</v>
      </c>
      <c r="N942" s="5" t="s">
        <v>21</v>
      </c>
      <c r="O942" s="8" t="s">
        <v>19</v>
      </c>
    </row>
    <row r="943" spans="1:15" s="14" customFormat="1" x14ac:dyDescent="0.25">
      <c r="A943" s="13">
        <v>972</v>
      </c>
      <c r="B943" s="16">
        <v>972</v>
      </c>
      <c r="C943" s="13" t="s">
        <v>3774</v>
      </c>
      <c r="D943" s="6" t="s">
        <v>1931</v>
      </c>
      <c r="E943" s="13" t="s">
        <v>2931</v>
      </c>
      <c r="F943" s="13"/>
      <c r="G943" s="17">
        <v>10.1</v>
      </c>
      <c r="H943" s="16">
        <v>114</v>
      </c>
      <c r="I943" s="18">
        <v>10.308999999999999</v>
      </c>
      <c r="J943" s="13"/>
      <c r="K943" s="13"/>
      <c r="L943" s="17">
        <f>G943-J943</f>
        <v>10.1</v>
      </c>
      <c r="M943" s="18">
        <f>L943*(H943*H943)*0.7854/10000</f>
        <v>10.309128983999999</v>
      </c>
      <c r="N943" s="5"/>
      <c r="O943" s="8" t="s">
        <v>19</v>
      </c>
    </row>
    <row r="944" spans="1:15" s="14" customFormat="1" x14ac:dyDescent="0.25">
      <c r="A944" s="13">
        <v>973</v>
      </c>
      <c r="B944" s="16">
        <v>973</v>
      </c>
      <c r="C944" s="13" t="s">
        <v>3775</v>
      </c>
      <c r="D944" s="6" t="s">
        <v>269</v>
      </c>
      <c r="E944" s="13" t="s">
        <v>2931</v>
      </c>
      <c r="F944" s="13"/>
      <c r="G944" s="17">
        <v>5.6</v>
      </c>
      <c r="H944" s="16">
        <v>76</v>
      </c>
      <c r="I944" s="18">
        <v>2.54</v>
      </c>
      <c r="J944" s="13"/>
      <c r="K944" s="13"/>
      <c r="L944" s="17">
        <f>G944-J944</f>
        <v>5.6</v>
      </c>
      <c r="M944" s="18">
        <f>L944*(H944*H944)*0.7854/10000</f>
        <v>2.5404234239999997</v>
      </c>
      <c r="N944" s="5"/>
      <c r="O944" s="8" t="s">
        <v>30</v>
      </c>
    </row>
    <row r="945" spans="1:15" s="14" customFormat="1" x14ac:dyDescent="0.25">
      <c r="A945" s="13">
        <v>974</v>
      </c>
      <c r="B945" s="16">
        <v>974</v>
      </c>
      <c r="C945" s="13" t="s">
        <v>3776</v>
      </c>
      <c r="D945" s="6" t="s">
        <v>1936</v>
      </c>
      <c r="E945" s="13" t="s">
        <v>2931</v>
      </c>
      <c r="F945" s="13"/>
      <c r="G945" s="17">
        <v>6.1</v>
      </c>
      <c r="H945" s="16">
        <v>84</v>
      </c>
      <c r="I945" s="18">
        <v>3.38</v>
      </c>
      <c r="J945" s="13"/>
      <c r="K945" s="13"/>
      <c r="L945" s="17">
        <f>G945-J945</f>
        <v>6.1</v>
      </c>
      <c r="M945" s="18">
        <f>L945*(H945*H945)*0.7854/10000</f>
        <v>3.3804872640000001</v>
      </c>
      <c r="N945" s="5"/>
      <c r="O945" s="8" t="s">
        <v>19</v>
      </c>
    </row>
    <row r="946" spans="1:15" s="14" customFormat="1" x14ac:dyDescent="0.25">
      <c r="A946" s="13">
        <v>975</v>
      </c>
      <c r="B946" s="16">
        <v>975</v>
      </c>
      <c r="C946" s="13" t="s">
        <v>3777</v>
      </c>
      <c r="D946" s="6" t="s">
        <v>1939</v>
      </c>
      <c r="E946" s="13" t="s">
        <v>2931</v>
      </c>
      <c r="F946" s="13"/>
      <c r="G946" s="17">
        <v>5.8</v>
      </c>
      <c r="H946" s="16">
        <v>104</v>
      </c>
      <c r="I946" s="18">
        <v>4.9269999999999996</v>
      </c>
      <c r="J946" s="13">
        <v>0.3</v>
      </c>
      <c r="K946" s="13"/>
      <c r="L946" s="17">
        <f>G946-J946</f>
        <v>5.5</v>
      </c>
      <c r="M946" s="18">
        <f>L946*(H946*H946)*0.7854/10000</f>
        <v>4.6721875200000005</v>
      </c>
      <c r="N946" s="5"/>
      <c r="O946" s="8" t="s">
        <v>19</v>
      </c>
    </row>
    <row r="947" spans="1:15" s="14" customFormat="1" x14ac:dyDescent="0.25">
      <c r="A947" s="13">
        <v>976</v>
      </c>
      <c r="B947" s="16">
        <v>976</v>
      </c>
      <c r="C947" s="13" t="s">
        <v>3778</v>
      </c>
      <c r="D947" s="6">
        <v>5138</v>
      </c>
      <c r="E947" s="13" t="s">
        <v>2931</v>
      </c>
      <c r="F947" s="13"/>
      <c r="G947" s="17">
        <v>13.9</v>
      </c>
      <c r="H947" s="16">
        <v>79</v>
      </c>
      <c r="I947" s="18">
        <v>6.8129999999999997</v>
      </c>
      <c r="J947" s="13">
        <v>0.3</v>
      </c>
      <c r="K947" s="13"/>
      <c r="L947" s="17">
        <f>G947-J947</f>
        <v>13.6</v>
      </c>
      <c r="M947" s="18">
        <f>L947*(H947*H947)*0.7854/10000</f>
        <v>6.666286704</v>
      </c>
      <c r="N947" s="5" t="s">
        <v>35</v>
      </c>
      <c r="O947" s="8" t="s">
        <v>19</v>
      </c>
    </row>
    <row r="948" spans="1:15" s="14" customFormat="1" x14ac:dyDescent="0.25">
      <c r="A948" s="13">
        <v>977</v>
      </c>
      <c r="B948" s="16">
        <v>977</v>
      </c>
      <c r="C948" s="13" t="s">
        <v>3779</v>
      </c>
      <c r="D948" s="6">
        <v>4898</v>
      </c>
      <c r="E948" s="13" t="s">
        <v>2931</v>
      </c>
      <c r="F948" s="13"/>
      <c r="G948" s="17">
        <v>9.6999999999999993</v>
      </c>
      <c r="H948" s="16">
        <v>85</v>
      </c>
      <c r="I948" s="18">
        <v>5.5039999999999996</v>
      </c>
      <c r="J948" s="13"/>
      <c r="K948" s="13"/>
      <c r="L948" s="17">
        <f>G948-J948</f>
        <v>9.6999999999999993</v>
      </c>
      <c r="M948" s="18">
        <f>L948*(H948*H948)*0.7854/10000</f>
        <v>5.5042795499999997</v>
      </c>
      <c r="N948" s="5"/>
      <c r="O948" s="8" t="s">
        <v>19</v>
      </c>
    </row>
    <row r="949" spans="1:15" s="14" customFormat="1" x14ac:dyDescent="0.25">
      <c r="A949" s="13">
        <v>978</v>
      </c>
      <c r="B949" s="16">
        <v>978</v>
      </c>
      <c r="C949" s="13" t="s">
        <v>3780</v>
      </c>
      <c r="D949" s="6">
        <v>5139</v>
      </c>
      <c r="E949" s="13" t="s">
        <v>2931</v>
      </c>
      <c r="F949" s="13"/>
      <c r="G949" s="17">
        <v>5.2</v>
      </c>
      <c r="H949" s="16">
        <v>85</v>
      </c>
      <c r="I949" s="18">
        <v>2.9510000000000001</v>
      </c>
      <c r="J949" s="13">
        <v>0.3</v>
      </c>
      <c r="K949" s="13"/>
      <c r="L949" s="17">
        <f>G949-J949</f>
        <v>4.9000000000000004</v>
      </c>
      <c r="M949" s="18">
        <f>L949*(H949*H949)*0.7854/10000</f>
        <v>2.78051235</v>
      </c>
      <c r="N949" s="5"/>
      <c r="O949" s="8" t="s">
        <v>19</v>
      </c>
    </row>
    <row r="950" spans="1:15" s="14" customFormat="1" x14ac:dyDescent="0.25">
      <c r="A950" s="13">
        <v>979</v>
      </c>
      <c r="B950" s="16">
        <v>979</v>
      </c>
      <c r="C950" s="13" t="s">
        <v>3781</v>
      </c>
      <c r="D950" s="6">
        <v>4899</v>
      </c>
      <c r="E950" s="13" t="s">
        <v>2931</v>
      </c>
      <c r="F950" s="13"/>
      <c r="G950" s="17">
        <v>13.4</v>
      </c>
      <c r="H950" s="16">
        <v>99</v>
      </c>
      <c r="I950" s="18">
        <v>10.315</v>
      </c>
      <c r="J950" s="13"/>
      <c r="K950" s="13"/>
      <c r="L950" s="17">
        <f>G950-J950</f>
        <v>13.4</v>
      </c>
      <c r="M950" s="18">
        <f>L950*(H950*H950)*0.7854/10000</f>
        <v>10.314925236000001</v>
      </c>
      <c r="N950" s="5" t="s">
        <v>53</v>
      </c>
      <c r="O950" s="8" t="s">
        <v>19</v>
      </c>
    </row>
    <row r="951" spans="1:15" s="14" customFormat="1" x14ac:dyDescent="0.25">
      <c r="A951" s="13">
        <v>980</v>
      </c>
      <c r="B951" s="16">
        <v>980</v>
      </c>
      <c r="C951" s="13" t="s">
        <v>3782</v>
      </c>
      <c r="D951" s="6" t="s">
        <v>1950</v>
      </c>
      <c r="E951" s="13" t="s">
        <v>2931</v>
      </c>
      <c r="F951" s="13"/>
      <c r="G951" s="17">
        <v>8.9</v>
      </c>
      <c r="H951" s="16">
        <v>84</v>
      </c>
      <c r="I951" s="18">
        <v>4.9320000000000004</v>
      </c>
      <c r="J951" s="13">
        <v>0.3</v>
      </c>
      <c r="K951" s="13"/>
      <c r="L951" s="17">
        <f>G951-J951</f>
        <v>8.6</v>
      </c>
      <c r="M951" s="18">
        <f>L951*(H951*H951)*0.7854/10000</f>
        <v>4.7659328639999998</v>
      </c>
      <c r="N951" s="5"/>
      <c r="O951" s="8" t="s">
        <v>19</v>
      </c>
    </row>
    <row r="952" spans="1:15" s="14" customFormat="1" x14ac:dyDescent="0.25">
      <c r="A952" s="13">
        <v>981</v>
      </c>
      <c r="B952" s="16">
        <v>981</v>
      </c>
      <c r="C952" s="13" t="s">
        <v>3783</v>
      </c>
      <c r="D952" s="6">
        <v>4900</v>
      </c>
      <c r="E952" s="13" t="s">
        <v>2931</v>
      </c>
      <c r="F952" s="13"/>
      <c r="G952" s="17">
        <v>10.8</v>
      </c>
      <c r="H952" s="16">
        <v>89</v>
      </c>
      <c r="I952" s="18">
        <v>6.7190000000000003</v>
      </c>
      <c r="J952" s="13">
        <v>0.3</v>
      </c>
      <c r="K952" s="13"/>
      <c r="L952" s="17">
        <f>G952-J952</f>
        <v>10.5</v>
      </c>
      <c r="M952" s="18">
        <f>L952*(H952*H952)*0.7854/10000</f>
        <v>6.5322110699999998</v>
      </c>
      <c r="N952" s="5"/>
      <c r="O952" s="8" t="s">
        <v>19</v>
      </c>
    </row>
    <row r="953" spans="1:15" s="14" customFormat="1" x14ac:dyDescent="0.25">
      <c r="A953" s="13">
        <v>982</v>
      </c>
      <c r="B953" s="16">
        <v>982</v>
      </c>
      <c r="C953" s="13" t="s">
        <v>3784</v>
      </c>
      <c r="D953" s="6" t="s">
        <v>1955</v>
      </c>
      <c r="E953" s="13" t="s">
        <v>2931</v>
      </c>
      <c r="F953" s="13"/>
      <c r="G953" s="17">
        <v>5.6</v>
      </c>
      <c r="H953" s="16">
        <v>88</v>
      </c>
      <c r="I953" s="18">
        <v>3.4060000000000001</v>
      </c>
      <c r="J953" s="13"/>
      <c r="K953" s="13"/>
      <c r="L953" s="17">
        <f>G953-J953</f>
        <v>5.6</v>
      </c>
      <c r="M953" s="18">
        <f>L953*(H953*H953)*0.7854/10000</f>
        <v>3.4059970559999995</v>
      </c>
      <c r="N953" s="5"/>
      <c r="O953" s="8" t="s">
        <v>30</v>
      </c>
    </row>
    <row r="954" spans="1:15" s="14" customFormat="1" x14ac:dyDescent="0.25">
      <c r="A954" s="13">
        <v>983</v>
      </c>
      <c r="B954" s="16">
        <v>983</v>
      </c>
      <c r="C954" s="13" t="s">
        <v>3785</v>
      </c>
      <c r="D954" s="6" t="s">
        <v>1958</v>
      </c>
      <c r="E954" s="13" t="s">
        <v>2931</v>
      </c>
      <c r="F954" s="13"/>
      <c r="G954" s="17">
        <v>4.0999999999999996</v>
      </c>
      <c r="H954" s="16">
        <v>80</v>
      </c>
      <c r="I954" s="18">
        <v>2.0609999999999999</v>
      </c>
      <c r="J954" s="13"/>
      <c r="K954" s="13"/>
      <c r="L954" s="17">
        <f>G954-J954</f>
        <v>4.0999999999999996</v>
      </c>
      <c r="M954" s="18">
        <f>L954*(H954*H954)*0.7854/10000</f>
        <v>2.0608895999999999</v>
      </c>
      <c r="N954" s="5" t="s">
        <v>1007</v>
      </c>
      <c r="O954" s="8" t="s">
        <v>19</v>
      </c>
    </row>
    <row r="955" spans="1:15" s="14" customFormat="1" x14ac:dyDescent="0.25">
      <c r="A955" s="13">
        <v>984</v>
      </c>
      <c r="B955" s="16">
        <v>984</v>
      </c>
      <c r="C955" s="13" t="s">
        <v>3786</v>
      </c>
      <c r="D955" s="6" t="s">
        <v>1961</v>
      </c>
      <c r="E955" s="13" t="s">
        <v>2931</v>
      </c>
      <c r="F955" s="13"/>
      <c r="G955" s="17">
        <v>10</v>
      </c>
      <c r="H955" s="16">
        <v>81</v>
      </c>
      <c r="I955" s="18">
        <v>5.1529999999999996</v>
      </c>
      <c r="J955" s="13"/>
      <c r="K955" s="13"/>
      <c r="L955" s="17">
        <f>G955-J955</f>
        <v>10</v>
      </c>
      <c r="M955" s="18">
        <f>L955*(H955*H955)*0.7854/10000</f>
        <v>5.1530093999999993</v>
      </c>
      <c r="N955" s="5"/>
      <c r="O955" s="8" t="s">
        <v>19</v>
      </c>
    </row>
    <row r="956" spans="1:15" s="14" customFormat="1" x14ac:dyDescent="0.25">
      <c r="A956" s="13">
        <v>985</v>
      </c>
      <c r="B956" s="16">
        <v>985</v>
      </c>
      <c r="C956" s="13" t="s">
        <v>3787</v>
      </c>
      <c r="D956" s="6" t="s">
        <v>1964</v>
      </c>
      <c r="E956" s="13" t="s">
        <v>2931</v>
      </c>
      <c r="F956" s="13"/>
      <c r="G956" s="17">
        <v>9.1999999999999993</v>
      </c>
      <c r="H956" s="16">
        <v>114</v>
      </c>
      <c r="I956" s="18">
        <v>9.39</v>
      </c>
      <c r="J956" s="13"/>
      <c r="K956" s="13"/>
      <c r="L956" s="17">
        <f>G956-J956</f>
        <v>9.1999999999999993</v>
      </c>
      <c r="M956" s="18">
        <f>L956*(H956*H956)*0.7854/10000</f>
        <v>9.3904937279999992</v>
      </c>
      <c r="N956" s="5"/>
      <c r="O956" s="8" t="s">
        <v>30</v>
      </c>
    </row>
    <row r="957" spans="1:15" s="14" customFormat="1" x14ac:dyDescent="0.25">
      <c r="A957" s="13">
        <v>986</v>
      </c>
      <c r="B957" s="16">
        <v>986</v>
      </c>
      <c r="C957" s="13" t="s">
        <v>3788</v>
      </c>
      <c r="D957" s="6" t="s">
        <v>1967</v>
      </c>
      <c r="E957" s="13" t="s">
        <v>2931</v>
      </c>
      <c r="F957" s="13"/>
      <c r="G957" s="17">
        <v>5.9</v>
      </c>
      <c r="H957" s="16">
        <v>73</v>
      </c>
      <c r="I957" s="18">
        <v>2.4689999999999999</v>
      </c>
      <c r="J957" s="13"/>
      <c r="K957" s="13"/>
      <c r="L957" s="17">
        <f>G957-J957</f>
        <v>5.9</v>
      </c>
      <c r="M957" s="18">
        <f>L957*(H957*H957)*0.7854/10000</f>
        <v>2.4693839940000002</v>
      </c>
      <c r="N957" s="5"/>
      <c r="O957" s="8" t="s">
        <v>19</v>
      </c>
    </row>
    <row r="958" spans="1:15" s="14" customFormat="1" x14ac:dyDescent="0.25">
      <c r="A958" s="13">
        <v>987</v>
      </c>
      <c r="B958" s="16">
        <v>987</v>
      </c>
      <c r="C958" s="13" t="s">
        <v>3789</v>
      </c>
      <c r="D958" s="6" t="s">
        <v>1970</v>
      </c>
      <c r="E958" s="13" t="s">
        <v>2931</v>
      </c>
      <c r="F958" s="13"/>
      <c r="G958" s="17">
        <v>5.3</v>
      </c>
      <c r="H958" s="16">
        <v>108</v>
      </c>
      <c r="I958" s="18">
        <v>4.8550000000000004</v>
      </c>
      <c r="J958" s="13"/>
      <c r="K958" s="13"/>
      <c r="L958" s="17">
        <f>G958-J958</f>
        <v>5.3</v>
      </c>
      <c r="M958" s="18">
        <f>L958*(H958*H958)*0.7854/10000</f>
        <v>4.8552799679999996</v>
      </c>
      <c r="N958" s="5"/>
      <c r="O958" s="8" t="s">
        <v>19</v>
      </c>
    </row>
    <row r="959" spans="1:15" s="14" customFormat="1" x14ac:dyDescent="0.25">
      <c r="A959" s="13">
        <v>988</v>
      </c>
      <c r="B959" s="16">
        <v>988</v>
      </c>
      <c r="C959" s="13" t="s">
        <v>3790</v>
      </c>
      <c r="D959" s="6" t="s">
        <v>1973</v>
      </c>
      <c r="E959" s="13" t="s">
        <v>2931</v>
      </c>
      <c r="F959" s="13"/>
      <c r="G959" s="17">
        <v>11.2</v>
      </c>
      <c r="H959" s="16">
        <v>109</v>
      </c>
      <c r="I959" s="18">
        <v>10.451000000000001</v>
      </c>
      <c r="J959" s="13"/>
      <c r="K959" s="13"/>
      <c r="L959" s="17">
        <f>G959-J959</f>
        <v>11.2</v>
      </c>
      <c r="M959" s="18">
        <f>L959*(H959*H959)*0.7854/10000</f>
        <v>10.451097887999998</v>
      </c>
      <c r="N959" s="5" t="s">
        <v>21</v>
      </c>
      <c r="O959" s="8" t="s">
        <v>30</v>
      </c>
    </row>
    <row r="960" spans="1:15" s="14" customFormat="1" x14ac:dyDescent="0.25">
      <c r="A960" s="13">
        <v>989</v>
      </c>
      <c r="B960" s="16">
        <v>989</v>
      </c>
      <c r="C960" s="13" t="s">
        <v>3791</v>
      </c>
      <c r="D960" s="6" t="s">
        <v>1976</v>
      </c>
      <c r="E960" s="13" t="s">
        <v>2931</v>
      </c>
      <c r="F960" s="13"/>
      <c r="G960" s="17">
        <v>9.8000000000000007</v>
      </c>
      <c r="H960" s="16">
        <v>78</v>
      </c>
      <c r="I960" s="18">
        <v>4.6829999999999998</v>
      </c>
      <c r="J960" s="13"/>
      <c r="K960" s="13"/>
      <c r="L960" s="17">
        <f>G960-J960</f>
        <v>9.8000000000000007</v>
      </c>
      <c r="M960" s="18">
        <f>L960*(H960*H960)*0.7854/10000</f>
        <v>4.6828061280000002</v>
      </c>
      <c r="N960" s="5" t="s">
        <v>53</v>
      </c>
      <c r="O960" s="8" t="s">
        <v>19</v>
      </c>
    </row>
    <row r="961" spans="1:15" s="14" customFormat="1" x14ac:dyDescent="0.25">
      <c r="A961" s="13">
        <v>990</v>
      </c>
      <c r="B961" s="16">
        <v>990</v>
      </c>
      <c r="C961" s="13" t="s">
        <v>3792</v>
      </c>
      <c r="D961" s="6">
        <v>252</v>
      </c>
      <c r="E961" s="13" t="s">
        <v>2931</v>
      </c>
      <c r="F961" s="13"/>
      <c r="G961" s="17">
        <v>11.6</v>
      </c>
      <c r="H961" s="16">
        <v>91</v>
      </c>
      <c r="I961" s="18">
        <v>7.5449999999999999</v>
      </c>
      <c r="J961" s="13"/>
      <c r="K961" s="13"/>
      <c r="L961" s="17">
        <f>G961-J961</f>
        <v>11.6</v>
      </c>
      <c r="M961" s="18">
        <f>L961*(H961*H961)*0.7854/10000</f>
        <v>7.5445209839999992</v>
      </c>
      <c r="N961" s="5" t="s">
        <v>53</v>
      </c>
      <c r="O961" s="8" t="s">
        <v>19</v>
      </c>
    </row>
    <row r="962" spans="1:15" s="14" customFormat="1" x14ac:dyDescent="0.25">
      <c r="A962" s="13">
        <v>991</v>
      </c>
      <c r="B962" s="16">
        <v>991</v>
      </c>
      <c r="C962" s="13" t="s">
        <v>3793</v>
      </c>
      <c r="D962" s="6" t="s">
        <v>1981</v>
      </c>
      <c r="E962" s="13" t="s">
        <v>2931</v>
      </c>
      <c r="F962" s="13"/>
      <c r="G962" s="17">
        <v>8.3000000000000007</v>
      </c>
      <c r="H962" s="16">
        <v>97</v>
      </c>
      <c r="I962" s="18">
        <v>6.1340000000000003</v>
      </c>
      <c r="J962" s="13"/>
      <c r="K962" s="13"/>
      <c r="L962" s="17">
        <f>G962-J962</f>
        <v>8.3000000000000007</v>
      </c>
      <c r="M962" s="18">
        <f>L962*(H962*H962)*0.7854/10000</f>
        <v>6.1335577380000013</v>
      </c>
      <c r="N962" s="5"/>
      <c r="O962" s="8" t="s">
        <v>19</v>
      </c>
    </row>
    <row r="963" spans="1:15" s="14" customFormat="1" x14ac:dyDescent="0.25">
      <c r="A963" s="13">
        <v>992</v>
      </c>
      <c r="B963" s="16">
        <v>992</v>
      </c>
      <c r="C963" s="13" t="s">
        <v>3794</v>
      </c>
      <c r="D963" s="6" t="s">
        <v>1984</v>
      </c>
      <c r="E963" s="13" t="s">
        <v>2931</v>
      </c>
      <c r="F963" s="13"/>
      <c r="G963" s="17">
        <v>4.9000000000000004</v>
      </c>
      <c r="H963" s="16">
        <v>74</v>
      </c>
      <c r="I963" s="18">
        <v>2.1070000000000002</v>
      </c>
      <c r="J963" s="13"/>
      <c r="K963" s="13"/>
      <c r="L963" s="17">
        <f>G963-J963</f>
        <v>4.9000000000000004</v>
      </c>
      <c r="M963" s="18">
        <f>L963*(H963*H963)*0.7854/10000</f>
        <v>2.107416696</v>
      </c>
      <c r="N963" s="5"/>
      <c r="O963" s="8" t="s">
        <v>19</v>
      </c>
    </row>
    <row r="964" spans="1:15" s="14" customFormat="1" x14ac:dyDescent="0.25">
      <c r="A964" s="13">
        <v>993</v>
      </c>
      <c r="B964" s="16">
        <v>993</v>
      </c>
      <c r="C964" s="13" t="s">
        <v>3795</v>
      </c>
      <c r="D964" s="6" t="s">
        <v>1987</v>
      </c>
      <c r="E964" s="13" t="s">
        <v>2931</v>
      </c>
      <c r="F964" s="13"/>
      <c r="G964" s="17">
        <v>11.8</v>
      </c>
      <c r="H964" s="16">
        <v>96</v>
      </c>
      <c r="I964" s="18">
        <v>8.5410000000000004</v>
      </c>
      <c r="J964" s="13"/>
      <c r="K964" s="13"/>
      <c r="L964" s="17">
        <f>G964-J964</f>
        <v>11.8</v>
      </c>
      <c r="M964" s="18">
        <f>L964*(H964*H964)*0.7854/10000</f>
        <v>8.5411307520000008</v>
      </c>
      <c r="N964" s="5" t="s">
        <v>157</v>
      </c>
      <c r="O964" s="8" t="s">
        <v>19</v>
      </c>
    </row>
    <row r="965" spans="1:15" s="14" customFormat="1" x14ac:dyDescent="0.25">
      <c r="A965" s="13">
        <v>994</v>
      </c>
      <c r="B965" s="16">
        <v>994</v>
      </c>
      <c r="C965" s="13" t="s">
        <v>3796</v>
      </c>
      <c r="D965" s="6" t="s">
        <v>1990</v>
      </c>
      <c r="E965" s="13" t="s">
        <v>2931</v>
      </c>
      <c r="F965" s="13"/>
      <c r="G965" s="17">
        <v>12.4</v>
      </c>
      <c r="H965" s="16">
        <v>113</v>
      </c>
      <c r="I965" s="18">
        <v>12.436</v>
      </c>
      <c r="J965" s="13"/>
      <c r="K965" s="13"/>
      <c r="L965" s="17">
        <f>G965-J965</f>
        <v>12.4</v>
      </c>
      <c r="M965" s="18">
        <f>L965*(H965*H965)*0.7854/10000</f>
        <v>12.435678024000001</v>
      </c>
      <c r="N965" s="5"/>
      <c r="O965" s="8" t="s">
        <v>19</v>
      </c>
    </row>
    <row r="966" spans="1:15" s="14" customFormat="1" x14ac:dyDescent="0.25">
      <c r="A966" s="13">
        <v>995</v>
      </c>
      <c r="B966" s="16">
        <v>995</v>
      </c>
      <c r="C966" s="13" t="s">
        <v>3797</v>
      </c>
      <c r="D966" s="6" t="s">
        <v>1993</v>
      </c>
      <c r="E966" s="13" t="s">
        <v>2931</v>
      </c>
      <c r="F966" s="13"/>
      <c r="G966" s="17">
        <v>6.7</v>
      </c>
      <c r="H966" s="16">
        <v>94</v>
      </c>
      <c r="I966" s="18">
        <v>4.6500000000000004</v>
      </c>
      <c r="J966" s="13"/>
      <c r="K966" s="13"/>
      <c r="L966" s="17">
        <f>G966-J966</f>
        <v>6.7</v>
      </c>
      <c r="M966" s="18">
        <f>L966*(H966*H966)*0.7854/10000</f>
        <v>4.6496622480000003</v>
      </c>
      <c r="N966" s="5"/>
      <c r="O966" s="8" t="s">
        <v>19</v>
      </c>
    </row>
    <row r="967" spans="1:15" s="14" customFormat="1" x14ac:dyDescent="0.25">
      <c r="A967" s="13">
        <v>996</v>
      </c>
      <c r="B967" s="16">
        <v>996</v>
      </c>
      <c r="C967" s="13" t="s">
        <v>3798</v>
      </c>
      <c r="D967" s="6" t="s">
        <v>1996</v>
      </c>
      <c r="E967" s="13" t="s">
        <v>2931</v>
      </c>
      <c r="F967" s="13"/>
      <c r="G967" s="17">
        <v>5.2</v>
      </c>
      <c r="H967" s="16">
        <v>109</v>
      </c>
      <c r="I967" s="18">
        <v>4.8520000000000003</v>
      </c>
      <c r="J967" s="13"/>
      <c r="K967" s="13"/>
      <c r="L967" s="17">
        <f>G967-J967</f>
        <v>5.2</v>
      </c>
      <c r="M967" s="18">
        <f>L967*(H967*H967)*0.7854/10000</f>
        <v>4.8522954480000005</v>
      </c>
      <c r="N967" s="5"/>
      <c r="O967" s="8" t="s">
        <v>19</v>
      </c>
    </row>
    <row r="968" spans="1:15" s="14" customFormat="1" x14ac:dyDescent="0.25">
      <c r="A968" s="13">
        <v>997</v>
      </c>
      <c r="B968" s="16">
        <v>997</v>
      </c>
      <c r="C968" s="13" t="s">
        <v>3799</v>
      </c>
      <c r="D968" s="6" t="s">
        <v>1999</v>
      </c>
      <c r="E968" s="13" t="s">
        <v>2931</v>
      </c>
      <c r="F968" s="13"/>
      <c r="G968" s="17">
        <v>11.6</v>
      </c>
      <c r="H968" s="16">
        <v>79</v>
      </c>
      <c r="I968" s="18">
        <v>5.6859999999999999</v>
      </c>
      <c r="J968" s="13"/>
      <c r="K968" s="13"/>
      <c r="L968" s="17">
        <f>G968-J968</f>
        <v>11.6</v>
      </c>
      <c r="M968" s="18">
        <f>L968*(H968*H968)*0.7854/10000</f>
        <v>5.6859504239999996</v>
      </c>
      <c r="N968" s="5"/>
      <c r="O968" s="8" t="s">
        <v>30</v>
      </c>
    </row>
    <row r="969" spans="1:15" s="14" customFormat="1" x14ac:dyDescent="0.25">
      <c r="A969" s="13">
        <v>998</v>
      </c>
      <c r="B969" s="16">
        <v>998</v>
      </c>
      <c r="C969" s="13" t="s">
        <v>3800</v>
      </c>
      <c r="D969" s="6" t="s">
        <v>2002</v>
      </c>
      <c r="E969" s="13" t="s">
        <v>2931</v>
      </c>
      <c r="F969" s="13"/>
      <c r="G969" s="17">
        <v>10</v>
      </c>
      <c r="H969" s="16">
        <v>121</v>
      </c>
      <c r="I969" s="18">
        <v>11.499000000000001</v>
      </c>
      <c r="J969" s="13"/>
      <c r="K969" s="13"/>
      <c r="L969" s="17">
        <f>G969-J969</f>
        <v>10</v>
      </c>
      <c r="M969" s="18">
        <f>L969*(H969*H969)*0.7854/10000</f>
        <v>11.499041400000001</v>
      </c>
      <c r="N969" s="5"/>
      <c r="O969" s="8" t="s">
        <v>19</v>
      </c>
    </row>
    <row r="970" spans="1:15" s="14" customFormat="1" x14ac:dyDescent="0.25">
      <c r="A970" s="13">
        <v>999</v>
      </c>
      <c r="B970" s="16">
        <v>999</v>
      </c>
      <c r="C970" s="13" t="s">
        <v>3801</v>
      </c>
      <c r="D970" s="6">
        <v>752</v>
      </c>
      <c r="E970" s="13" t="s">
        <v>2931</v>
      </c>
      <c r="F970" s="13"/>
      <c r="G970" s="17">
        <v>10.9</v>
      </c>
      <c r="H970" s="16">
        <v>88</v>
      </c>
      <c r="I970" s="18">
        <v>6.63</v>
      </c>
      <c r="J970" s="13">
        <v>0.5</v>
      </c>
      <c r="K970" s="13"/>
      <c r="L970" s="17">
        <f>G970-J970</f>
        <v>10.4</v>
      </c>
      <c r="M970" s="18">
        <f>L970*(H970*H970)*0.7854/10000</f>
        <v>6.3254231040000004</v>
      </c>
      <c r="N970" s="5"/>
      <c r="O970" s="8" t="s">
        <v>19</v>
      </c>
    </row>
    <row r="971" spans="1:15" s="14" customFormat="1" x14ac:dyDescent="0.25">
      <c r="A971" s="13">
        <v>1000</v>
      </c>
      <c r="B971" s="16">
        <v>1000</v>
      </c>
      <c r="C971" s="13" t="s">
        <v>3802</v>
      </c>
      <c r="D971" s="6" t="s">
        <v>2007</v>
      </c>
      <c r="E971" s="13" t="s">
        <v>2931</v>
      </c>
      <c r="F971" s="13"/>
      <c r="G971" s="17">
        <v>4.9000000000000004</v>
      </c>
      <c r="H971" s="16">
        <v>72</v>
      </c>
      <c r="I971" s="18">
        <v>1.9950000000000001</v>
      </c>
      <c r="J971" s="13"/>
      <c r="K971" s="13"/>
      <c r="L971" s="17">
        <f>G971-J971</f>
        <v>4.9000000000000004</v>
      </c>
      <c r="M971" s="18">
        <f>L971*(H971*H971)*0.7854/10000</f>
        <v>1.9950416640000004</v>
      </c>
      <c r="N971" s="5" t="s">
        <v>53</v>
      </c>
      <c r="O971" s="8" t="s">
        <v>30</v>
      </c>
    </row>
    <row r="972" spans="1:15" s="14" customFormat="1" x14ac:dyDescent="0.25">
      <c r="A972" s="13">
        <v>1001</v>
      </c>
      <c r="B972" s="16">
        <v>1001</v>
      </c>
      <c r="C972" s="13" t="s">
        <v>3803</v>
      </c>
      <c r="D972" s="6" t="s">
        <v>2010</v>
      </c>
      <c r="E972" s="13" t="s">
        <v>2931</v>
      </c>
      <c r="F972" s="13"/>
      <c r="G972" s="17">
        <v>5.4</v>
      </c>
      <c r="H972" s="16">
        <v>115</v>
      </c>
      <c r="I972" s="18">
        <v>5.609</v>
      </c>
      <c r="J972" s="13"/>
      <c r="K972" s="13"/>
      <c r="L972" s="17">
        <f>G972-J972</f>
        <v>5.4</v>
      </c>
      <c r="M972" s="18">
        <f>L972*(H972*H972)*0.7854/10000</f>
        <v>5.6089340999999999</v>
      </c>
      <c r="N972" s="5"/>
      <c r="O972" s="8" t="s">
        <v>19</v>
      </c>
    </row>
    <row r="973" spans="1:15" s="14" customFormat="1" x14ac:dyDescent="0.25">
      <c r="A973" s="13">
        <v>1003</v>
      </c>
      <c r="B973" s="16">
        <v>1003</v>
      </c>
      <c r="C973" s="13" t="s">
        <v>3804</v>
      </c>
      <c r="D973" s="6" t="s">
        <v>2013</v>
      </c>
      <c r="E973" s="13" t="s">
        <v>2931</v>
      </c>
      <c r="F973" s="13"/>
      <c r="G973" s="17">
        <v>9.8000000000000007</v>
      </c>
      <c r="H973" s="16">
        <v>74</v>
      </c>
      <c r="I973" s="18">
        <v>4.2149999999999999</v>
      </c>
      <c r="J973" s="13"/>
      <c r="K973" s="13"/>
      <c r="L973" s="17">
        <f>G973-J973</f>
        <v>9.8000000000000007</v>
      </c>
      <c r="M973" s="18">
        <f>L973*(H973*H973)*0.7854/10000</f>
        <v>4.2148333920000001</v>
      </c>
      <c r="N973" s="5"/>
      <c r="O973" s="8" t="s">
        <v>19</v>
      </c>
    </row>
    <row r="974" spans="1:15" s="14" customFormat="1" x14ac:dyDescent="0.25">
      <c r="A974" s="13">
        <v>1004</v>
      </c>
      <c r="B974" s="16">
        <v>1004</v>
      </c>
      <c r="C974" s="13" t="s">
        <v>3805</v>
      </c>
      <c r="D974" s="6" t="s">
        <v>2016</v>
      </c>
      <c r="E974" s="13" t="s">
        <v>2931</v>
      </c>
      <c r="F974" s="13"/>
      <c r="G974" s="17">
        <v>10.9</v>
      </c>
      <c r="H974" s="16">
        <v>117</v>
      </c>
      <c r="I974" s="18">
        <v>11.718999999999999</v>
      </c>
      <c r="J974" s="13">
        <v>0.5</v>
      </c>
      <c r="K974" s="13"/>
      <c r="L974" s="17">
        <f>G974-J974</f>
        <v>10.4</v>
      </c>
      <c r="M974" s="18">
        <f>L974*(H974*H974)*0.7854/10000</f>
        <v>11.181394224</v>
      </c>
      <c r="N974" s="5" t="s">
        <v>53</v>
      </c>
      <c r="O974" s="8" t="s">
        <v>30</v>
      </c>
    </row>
    <row r="975" spans="1:15" s="14" customFormat="1" x14ac:dyDescent="0.25">
      <c r="A975" s="13">
        <v>1005</v>
      </c>
      <c r="B975" s="16">
        <v>1005</v>
      </c>
      <c r="C975" s="13" t="s">
        <v>3806</v>
      </c>
      <c r="D975" s="6" t="s">
        <v>2019</v>
      </c>
      <c r="E975" s="13" t="s">
        <v>2931</v>
      </c>
      <c r="F975" s="13"/>
      <c r="G975" s="17">
        <v>10.7</v>
      </c>
      <c r="H975" s="16">
        <v>118</v>
      </c>
      <c r="I975" s="18">
        <v>11.701000000000001</v>
      </c>
      <c r="J975" s="13"/>
      <c r="K975" s="13"/>
      <c r="L975" s="17">
        <f>G975-J975</f>
        <v>10.7</v>
      </c>
      <c r="M975" s="18">
        <f>L975*(H975*H975)*0.7854/10000</f>
        <v>11.701423271999998</v>
      </c>
      <c r="N975" s="5" t="s">
        <v>21</v>
      </c>
      <c r="O975" s="8" t="s">
        <v>19</v>
      </c>
    </row>
    <row r="976" spans="1:15" s="14" customFormat="1" x14ac:dyDescent="0.25">
      <c r="A976" s="13">
        <v>1006</v>
      </c>
      <c r="B976" s="16">
        <v>1006</v>
      </c>
      <c r="C976" s="13" t="s">
        <v>3807</v>
      </c>
      <c r="D976" s="6" t="s">
        <v>2022</v>
      </c>
      <c r="E976" s="13" t="s">
        <v>2931</v>
      </c>
      <c r="F976" s="13"/>
      <c r="G976" s="17">
        <v>9.4</v>
      </c>
      <c r="H976" s="16">
        <v>84</v>
      </c>
      <c r="I976" s="18">
        <v>5.2089999999999996</v>
      </c>
      <c r="J976" s="13"/>
      <c r="K976" s="13"/>
      <c r="L976" s="17">
        <f>G976-J976</f>
        <v>9.4</v>
      </c>
      <c r="M976" s="18">
        <f>L976*(H976*H976)*0.7854/10000</f>
        <v>5.2092754560000012</v>
      </c>
      <c r="N976" s="5" t="s">
        <v>1007</v>
      </c>
      <c r="O976" s="8" t="s">
        <v>19</v>
      </c>
    </row>
    <row r="977" spans="1:15" s="14" customFormat="1" x14ac:dyDescent="0.25">
      <c r="A977" s="13">
        <v>1007</v>
      </c>
      <c r="B977" s="16">
        <v>1007</v>
      </c>
      <c r="C977" s="13" t="s">
        <v>3808</v>
      </c>
      <c r="D977" s="6">
        <v>1567</v>
      </c>
      <c r="E977" s="13" t="s">
        <v>2931</v>
      </c>
      <c r="F977" s="13"/>
      <c r="G977" s="17">
        <v>13.6</v>
      </c>
      <c r="H977" s="16">
        <v>65</v>
      </c>
      <c r="I977" s="18">
        <v>4.5129999999999999</v>
      </c>
      <c r="J977" s="13"/>
      <c r="K977" s="13"/>
      <c r="L977" s="17">
        <f>G977-J977</f>
        <v>13.6</v>
      </c>
      <c r="M977" s="18">
        <f>L977*(H977*H977)*0.7854/10000</f>
        <v>4.5129084000000006</v>
      </c>
      <c r="N977" s="5"/>
      <c r="O977" s="8" t="s">
        <v>19</v>
      </c>
    </row>
    <row r="978" spans="1:15" s="14" customFormat="1" x14ac:dyDescent="0.25">
      <c r="A978" s="13">
        <v>1008</v>
      </c>
      <c r="B978" s="16">
        <v>1008</v>
      </c>
      <c r="C978" s="13" t="s">
        <v>3809</v>
      </c>
      <c r="D978" s="6" t="s">
        <v>2027</v>
      </c>
      <c r="E978" s="13" t="s">
        <v>2931</v>
      </c>
      <c r="F978" s="13"/>
      <c r="G978" s="17">
        <v>5.2</v>
      </c>
      <c r="H978" s="16">
        <v>111</v>
      </c>
      <c r="I978" s="18">
        <v>5.032</v>
      </c>
      <c r="J978" s="13">
        <v>0.5</v>
      </c>
      <c r="K978" s="13"/>
      <c r="L978" s="17">
        <f>G978-J978</f>
        <v>4.7</v>
      </c>
      <c r="M978" s="18">
        <f>L978*(H978*H978)*0.7854/10000</f>
        <v>4.5481492980000002</v>
      </c>
      <c r="N978" s="5"/>
      <c r="O978" s="8" t="s">
        <v>19</v>
      </c>
    </row>
    <row r="979" spans="1:15" s="14" customFormat="1" x14ac:dyDescent="0.25">
      <c r="A979" s="13">
        <v>1009</v>
      </c>
      <c r="B979" s="16">
        <v>1009</v>
      </c>
      <c r="C979" s="13" t="s">
        <v>3810</v>
      </c>
      <c r="D979" s="6" t="s">
        <v>2030</v>
      </c>
      <c r="E979" s="13" t="s">
        <v>2931</v>
      </c>
      <c r="F979" s="13"/>
      <c r="G979" s="17">
        <v>4.9000000000000004</v>
      </c>
      <c r="H979" s="16">
        <v>114</v>
      </c>
      <c r="I979" s="18">
        <v>5.0010000000000003</v>
      </c>
      <c r="J979" s="13"/>
      <c r="K979" s="13"/>
      <c r="L979" s="17">
        <f>G979-J979</f>
        <v>4.9000000000000004</v>
      </c>
      <c r="M979" s="18">
        <f>L979*(H979*H979)*0.7854/10000</f>
        <v>5.0014586159999999</v>
      </c>
      <c r="N979" s="5"/>
      <c r="O979" s="8" t="s">
        <v>19</v>
      </c>
    </row>
    <row r="980" spans="1:15" s="14" customFormat="1" x14ac:dyDescent="0.25">
      <c r="A980" s="13">
        <v>1010</v>
      </c>
      <c r="B980" s="16">
        <v>1010</v>
      </c>
      <c r="C980" s="13" t="s">
        <v>3811</v>
      </c>
      <c r="D980" s="6" t="s">
        <v>2033</v>
      </c>
      <c r="E980" s="13" t="s">
        <v>2931</v>
      </c>
      <c r="F980" s="13"/>
      <c r="G980" s="17">
        <v>4.2</v>
      </c>
      <c r="H980" s="16">
        <v>81</v>
      </c>
      <c r="I980" s="18">
        <v>2.1640000000000001</v>
      </c>
      <c r="J980" s="13"/>
      <c r="K980" s="13"/>
      <c r="L980" s="17">
        <f>G980-J980</f>
        <v>4.2</v>
      </c>
      <c r="M980" s="18">
        <f>L980*(H980*H980)*0.7854/10000</f>
        <v>2.1642639480000003</v>
      </c>
      <c r="N980" s="5"/>
      <c r="O980" s="8" t="s">
        <v>19</v>
      </c>
    </row>
    <row r="981" spans="1:15" s="14" customFormat="1" x14ac:dyDescent="0.25">
      <c r="A981" s="13">
        <v>1011</v>
      </c>
      <c r="B981" s="16">
        <v>1011</v>
      </c>
      <c r="C981" s="13" t="s">
        <v>3812</v>
      </c>
      <c r="D981" s="6" t="s">
        <v>2036</v>
      </c>
      <c r="E981" s="13" t="s">
        <v>2931</v>
      </c>
      <c r="F981" s="13"/>
      <c r="G981" s="17">
        <v>12.1</v>
      </c>
      <c r="H981" s="16">
        <v>80</v>
      </c>
      <c r="I981" s="18">
        <v>6.0819999999999999</v>
      </c>
      <c r="J981" s="13"/>
      <c r="K981" s="13"/>
      <c r="L981" s="17">
        <f>G981-J981</f>
        <v>12.1</v>
      </c>
      <c r="M981" s="18">
        <f>L981*(H981*H981)*0.7854/10000</f>
        <v>6.0821375999999994</v>
      </c>
      <c r="N981" s="5"/>
      <c r="O981" s="8" t="s">
        <v>19</v>
      </c>
    </row>
    <row r="982" spans="1:15" s="14" customFormat="1" x14ac:dyDescent="0.25">
      <c r="A982" s="13">
        <v>1012</v>
      </c>
      <c r="B982" s="16">
        <v>1012</v>
      </c>
      <c r="C982" s="13" t="s">
        <v>3813</v>
      </c>
      <c r="D982" s="6" t="s">
        <v>2039</v>
      </c>
      <c r="E982" s="13" t="s">
        <v>2931</v>
      </c>
      <c r="F982" s="13"/>
      <c r="G982" s="17">
        <v>10.8</v>
      </c>
      <c r="H982" s="16">
        <v>76</v>
      </c>
      <c r="I982" s="18">
        <v>4.899</v>
      </c>
      <c r="J982" s="13"/>
      <c r="K982" s="13"/>
      <c r="L982" s="17">
        <f>G982-J982</f>
        <v>10.8</v>
      </c>
      <c r="M982" s="18">
        <f>L982*(H982*H982)*0.7854/10000</f>
        <v>4.8993880320000001</v>
      </c>
      <c r="N982" s="5"/>
      <c r="O982" s="8" t="s">
        <v>19</v>
      </c>
    </row>
    <row r="983" spans="1:15" s="14" customFormat="1" x14ac:dyDescent="0.25">
      <c r="A983" s="13">
        <v>1013</v>
      </c>
      <c r="B983" s="16">
        <v>1013</v>
      </c>
      <c r="C983" s="13" t="s">
        <v>3814</v>
      </c>
      <c r="D983" s="6" t="s">
        <v>2042</v>
      </c>
      <c r="E983" s="13" t="s">
        <v>2931</v>
      </c>
      <c r="F983" s="13"/>
      <c r="G983" s="17">
        <v>10.8</v>
      </c>
      <c r="H983" s="16">
        <v>107</v>
      </c>
      <c r="I983" s="18">
        <v>9.7110000000000003</v>
      </c>
      <c r="J983" s="13"/>
      <c r="K983" s="13"/>
      <c r="L983" s="17">
        <f>G983-J983</f>
        <v>10.8</v>
      </c>
      <c r="M983" s="18">
        <f>L983*(H983*H983)*0.7854/10000</f>
        <v>9.7114081680000002</v>
      </c>
      <c r="N983" s="5" t="s">
        <v>21</v>
      </c>
      <c r="O983" s="8" t="s">
        <v>30</v>
      </c>
    </row>
    <row r="984" spans="1:15" s="14" customFormat="1" x14ac:dyDescent="0.25">
      <c r="A984" s="13">
        <v>1014</v>
      </c>
      <c r="B984" s="16">
        <v>1014</v>
      </c>
      <c r="C984" s="13" t="s">
        <v>3815</v>
      </c>
      <c r="D984" s="6" t="s">
        <v>2045</v>
      </c>
      <c r="E984" s="13" t="s">
        <v>2931</v>
      </c>
      <c r="F984" s="13"/>
      <c r="G984" s="17">
        <v>9.4</v>
      </c>
      <c r="H984" s="16">
        <v>87</v>
      </c>
      <c r="I984" s="18">
        <v>5.5880000000000001</v>
      </c>
      <c r="J984" s="13"/>
      <c r="K984" s="13"/>
      <c r="L984" s="17">
        <f>G984-J984</f>
        <v>9.4</v>
      </c>
      <c r="M984" s="18">
        <f>L984*(H984*H984)*0.7854/10000</f>
        <v>5.5880110440000008</v>
      </c>
      <c r="N984" s="5" t="s">
        <v>53</v>
      </c>
      <c r="O984" s="8" t="s">
        <v>19</v>
      </c>
    </row>
    <row r="985" spans="1:15" s="14" customFormat="1" x14ac:dyDescent="0.25">
      <c r="A985" s="13">
        <v>1015</v>
      </c>
      <c r="B985" s="16">
        <v>1015</v>
      </c>
      <c r="C985" s="13" t="s">
        <v>3816</v>
      </c>
      <c r="D985" s="6" t="s">
        <v>2048</v>
      </c>
      <c r="E985" s="13" t="s">
        <v>2931</v>
      </c>
      <c r="F985" s="13"/>
      <c r="G985" s="17">
        <v>7.3</v>
      </c>
      <c r="H985" s="16">
        <v>76</v>
      </c>
      <c r="I985" s="18">
        <v>3.3119999999999998</v>
      </c>
      <c r="J985" s="13"/>
      <c r="K985" s="13"/>
      <c r="L985" s="17">
        <f>G985-J985</f>
        <v>7.3</v>
      </c>
      <c r="M985" s="18">
        <f>L985*(H985*H985)*0.7854/10000</f>
        <v>3.311623392</v>
      </c>
      <c r="N985" s="5"/>
      <c r="O985" s="8" t="s">
        <v>19</v>
      </c>
    </row>
    <row r="986" spans="1:15" s="14" customFormat="1" x14ac:dyDescent="0.25">
      <c r="A986" s="13">
        <v>1016</v>
      </c>
      <c r="B986" s="16">
        <v>1016</v>
      </c>
      <c r="C986" s="13" t="s">
        <v>3817</v>
      </c>
      <c r="D986" s="6" t="s">
        <v>2051</v>
      </c>
      <c r="E986" s="13" t="s">
        <v>2931</v>
      </c>
      <c r="F986" s="13"/>
      <c r="G986" s="17">
        <v>4.7</v>
      </c>
      <c r="H986" s="16">
        <v>77</v>
      </c>
      <c r="I986" s="18">
        <v>2.1890000000000001</v>
      </c>
      <c r="J986" s="13"/>
      <c r="K986" s="13"/>
      <c r="L986" s="17">
        <f>G986-J986</f>
        <v>4.7</v>
      </c>
      <c r="M986" s="18">
        <f>L986*(H986*H986)*0.7854/10000</f>
        <v>2.1886192019999999</v>
      </c>
      <c r="N986" s="5"/>
      <c r="O986" s="8" t="s">
        <v>30</v>
      </c>
    </row>
    <row r="987" spans="1:15" s="14" customFormat="1" x14ac:dyDescent="0.25">
      <c r="A987" s="13">
        <v>1017</v>
      </c>
      <c r="B987" s="16">
        <v>1017</v>
      </c>
      <c r="C987" s="13" t="s">
        <v>3818</v>
      </c>
      <c r="D987" s="6" t="s">
        <v>2054</v>
      </c>
      <c r="E987" s="13" t="s">
        <v>2931</v>
      </c>
      <c r="F987" s="13"/>
      <c r="G987" s="17">
        <v>6</v>
      </c>
      <c r="H987" s="16">
        <v>100</v>
      </c>
      <c r="I987" s="18">
        <v>4.7119999999999997</v>
      </c>
      <c r="J987" s="13">
        <v>0.3</v>
      </c>
      <c r="K987" s="13"/>
      <c r="L987" s="17">
        <f>G987-J987</f>
        <v>5.7</v>
      </c>
      <c r="M987" s="18">
        <f>L987*(H987*H987)*0.7854/10000</f>
        <v>4.4767799999999998</v>
      </c>
      <c r="N987" s="5" t="s">
        <v>21</v>
      </c>
      <c r="O987" s="8" t="s">
        <v>19</v>
      </c>
    </row>
    <row r="988" spans="1:15" s="14" customFormat="1" x14ac:dyDescent="0.25">
      <c r="A988" s="13">
        <v>1018</v>
      </c>
      <c r="B988" s="16">
        <v>1018</v>
      </c>
      <c r="C988" s="13" t="s">
        <v>3819</v>
      </c>
      <c r="D988" s="6" t="s">
        <v>2057</v>
      </c>
      <c r="E988" s="13" t="s">
        <v>2931</v>
      </c>
      <c r="F988" s="13"/>
      <c r="G988" s="17">
        <v>5.9</v>
      </c>
      <c r="H988" s="16">
        <v>85</v>
      </c>
      <c r="I988" s="18">
        <v>3.3479999999999999</v>
      </c>
      <c r="J988" s="13">
        <v>0.3</v>
      </c>
      <c r="K988" s="13"/>
      <c r="L988" s="17">
        <f>G988-J988</f>
        <v>5.6000000000000005</v>
      </c>
      <c r="M988" s="18">
        <f>L988*(H988*H988)*0.7854/10000</f>
        <v>3.1777284000000008</v>
      </c>
      <c r="N988" s="5" t="s">
        <v>1007</v>
      </c>
      <c r="O988" s="8" t="s">
        <v>19</v>
      </c>
    </row>
    <row r="989" spans="1:15" s="14" customFormat="1" x14ac:dyDescent="0.25">
      <c r="A989" s="13">
        <v>1019</v>
      </c>
      <c r="B989" s="16">
        <v>1019</v>
      </c>
      <c r="C989" s="13" t="s">
        <v>3820</v>
      </c>
      <c r="D989" s="6" t="s">
        <v>2060</v>
      </c>
      <c r="E989" s="13" t="s">
        <v>2931</v>
      </c>
      <c r="F989" s="13"/>
      <c r="G989" s="17">
        <v>11.8</v>
      </c>
      <c r="H989" s="16">
        <v>100</v>
      </c>
      <c r="I989" s="18">
        <v>9.2680000000000007</v>
      </c>
      <c r="J989" s="13"/>
      <c r="K989" s="13"/>
      <c r="L989" s="17">
        <f>G989-J989</f>
        <v>11.8</v>
      </c>
      <c r="M989" s="18">
        <f>L989*(H989*H989)*0.7854/10000</f>
        <v>9.2677199999999988</v>
      </c>
      <c r="N989" s="5" t="s">
        <v>1007</v>
      </c>
      <c r="O989" s="8" t="s">
        <v>30</v>
      </c>
    </row>
    <row r="990" spans="1:15" s="14" customFormat="1" x14ac:dyDescent="0.25">
      <c r="A990" s="13">
        <v>1020</v>
      </c>
      <c r="B990" s="16">
        <v>1020</v>
      </c>
      <c r="C990" s="13" t="s">
        <v>3821</v>
      </c>
      <c r="D990" s="6">
        <v>1595</v>
      </c>
      <c r="E990" s="13" t="s">
        <v>2931</v>
      </c>
      <c r="F990" s="13"/>
      <c r="G990" s="17">
        <v>10.5</v>
      </c>
      <c r="H990" s="16">
        <v>71</v>
      </c>
      <c r="I990" s="18">
        <v>4.157</v>
      </c>
      <c r="J990" s="13"/>
      <c r="K990" s="13"/>
      <c r="L990" s="17">
        <f>G990-J990</f>
        <v>10.5</v>
      </c>
      <c r="M990" s="18">
        <f>L990*(H990*H990)*0.7854/10000</f>
        <v>4.1571614700000001</v>
      </c>
      <c r="N990" s="5"/>
      <c r="O990" s="8" t="s">
        <v>19</v>
      </c>
    </row>
    <row r="991" spans="1:15" s="14" customFormat="1" x14ac:dyDescent="0.25">
      <c r="A991" s="13">
        <v>1021</v>
      </c>
      <c r="B991" s="16">
        <v>1021</v>
      </c>
      <c r="C991" s="13" t="s">
        <v>3822</v>
      </c>
      <c r="D991" s="6" t="s">
        <v>2065</v>
      </c>
      <c r="E991" s="13" t="s">
        <v>2931</v>
      </c>
      <c r="F991" s="13"/>
      <c r="G991" s="17">
        <v>10.199999999999999</v>
      </c>
      <c r="H991" s="16">
        <v>106</v>
      </c>
      <c r="I991" s="18">
        <v>9.0009999999999994</v>
      </c>
      <c r="J991" s="13"/>
      <c r="K991" s="13"/>
      <c r="L991" s="17">
        <f>G991-J991</f>
        <v>10.199999999999999</v>
      </c>
      <c r="M991" s="18">
        <f>L991*(H991*H991)*0.7854/10000</f>
        <v>9.0012494879999991</v>
      </c>
      <c r="N991" s="5" t="s">
        <v>21</v>
      </c>
      <c r="O991" s="8" t="s">
        <v>19</v>
      </c>
    </row>
    <row r="992" spans="1:15" s="14" customFormat="1" x14ac:dyDescent="0.25">
      <c r="A992" s="13">
        <v>1022</v>
      </c>
      <c r="B992" s="16">
        <v>1022</v>
      </c>
      <c r="C992" s="13" t="s">
        <v>3823</v>
      </c>
      <c r="D992" s="6" t="s">
        <v>2068</v>
      </c>
      <c r="E992" s="13" t="s">
        <v>2931</v>
      </c>
      <c r="F992" s="13"/>
      <c r="G992" s="17">
        <v>9.6999999999999993</v>
      </c>
      <c r="H992" s="16">
        <v>90</v>
      </c>
      <c r="I992" s="18">
        <v>6.1710000000000003</v>
      </c>
      <c r="J992" s="13"/>
      <c r="K992" s="13"/>
      <c r="L992" s="17">
        <f>G992-J992</f>
        <v>9.6999999999999993</v>
      </c>
      <c r="M992" s="18">
        <f>L992*(H992*H992)*0.7854/10000</f>
        <v>6.1708878</v>
      </c>
      <c r="N992" s="5"/>
      <c r="O992" s="8" t="s">
        <v>19</v>
      </c>
    </row>
    <row r="993" spans="1:15" s="14" customFormat="1" x14ac:dyDescent="0.25">
      <c r="A993" s="13">
        <v>1023</v>
      </c>
      <c r="B993" s="16">
        <v>1023</v>
      </c>
      <c r="C993" s="13" t="s">
        <v>3824</v>
      </c>
      <c r="D993" s="6" t="s">
        <v>2071</v>
      </c>
      <c r="E993" s="13" t="s">
        <v>2931</v>
      </c>
      <c r="F993" s="13"/>
      <c r="G993" s="17">
        <v>8.1999999999999993</v>
      </c>
      <c r="H993" s="16">
        <v>100</v>
      </c>
      <c r="I993" s="18">
        <v>6.44</v>
      </c>
      <c r="J993" s="13"/>
      <c r="K993" s="13"/>
      <c r="L993" s="17">
        <f>G993-J993</f>
        <v>8.1999999999999993</v>
      </c>
      <c r="M993" s="18">
        <f>L993*(H993*H993)*0.7854/10000</f>
        <v>6.4402799999999996</v>
      </c>
      <c r="N993" s="5"/>
      <c r="O993" s="8" t="s">
        <v>19</v>
      </c>
    </row>
    <row r="994" spans="1:15" s="14" customFormat="1" x14ac:dyDescent="0.25">
      <c r="A994" s="13">
        <v>1024</v>
      </c>
      <c r="B994" s="16">
        <v>1024</v>
      </c>
      <c r="C994" s="13" t="s">
        <v>3825</v>
      </c>
      <c r="D994" s="6">
        <v>796</v>
      </c>
      <c r="E994" s="13" t="s">
        <v>2931</v>
      </c>
      <c r="F994" s="13"/>
      <c r="G994" s="17">
        <v>11.8</v>
      </c>
      <c r="H994" s="16">
        <v>112</v>
      </c>
      <c r="I994" s="18">
        <v>11.625</v>
      </c>
      <c r="J994" s="13"/>
      <c r="K994" s="13"/>
      <c r="L994" s="17">
        <f>G994-J994</f>
        <v>11.8</v>
      </c>
      <c r="M994" s="18">
        <f>L994*(H994*H994)*0.7854/10000</f>
        <v>11.625427968</v>
      </c>
      <c r="N994" s="5" t="s">
        <v>21</v>
      </c>
      <c r="O994" s="8" t="s">
        <v>19</v>
      </c>
    </row>
    <row r="995" spans="1:15" s="14" customFormat="1" x14ac:dyDescent="0.25">
      <c r="A995" s="13">
        <v>1025</v>
      </c>
      <c r="B995" s="16">
        <v>1025</v>
      </c>
      <c r="C995" s="13" t="s">
        <v>3826</v>
      </c>
      <c r="D995" s="6" t="s">
        <v>2076</v>
      </c>
      <c r="E995" s="13" t="s">
        <v>2931</v>
      </c>
      <c r="F995" s="13"/>
      <c r="G995" s="17">
        <v>11.3</v>
      </c>
      <c r="H995" s="16">
        <v>101</v>
      </c>
      <c r="I995" s="18">
        <v>9.0530000000000008</v>
      </c>
      <c r="J995" s="13">
        <v>0.5</v>
      </c>
      <c r="K995" s="13"/>
      <c r="L995" s="17">
        <f>G995-J995</f>
        <v>10.8</v>
      </c>
      <c r="M995" s="18">
        <f>L995*(H995*H995)*0.7854/10000</f>
        <v>8.6528146320000001</v>
      </c>
      <c r="N995" s="5" t="s">
        <v>21</v>
      </c>
      <c r="O995" s="8" t="s">
        <v>19</v>
      </c>
    </row>
    <row r="996" spans="1:15" s="14" customFormat="1" x14ac:dyDescent="0.25">
      <c r="A996" s="13">
        <v>1026</v>
      </c>
      <c r="B996" s="16">
        <v>1026</v>
      </c>
      <c r="C996" s="13" t="s">
        <v>3827</v>
      </c>
      <c r="D996" s="6" t="s">
        <v>2079</v>
      </c>
      <c r="E996" s="13" t="s">
        <v>2931</v>
      </c>
      <c r="F996" s="13"/>
      <c r="G996" s="17">
        <v>10.6</v>
      </c>
      <c r="H996" s="16">
        <v>77</v>
      </c>
      <c r="I996" s="18">
        <v>4.9359999999999999</v>
      </c>
      <c r="J996" s="13"/>
      <c r="K996" s="13"/>
      <c r="L996" s="17">
        <f>G996-J996</f>
        <v>10.6</v>
      </c>
      <c r="M996" s="18">
        <f>L996*(H996*H996)*0.7854/10000</f>
        <v>4.9360347959999995</v>
      </c>
      <c r="N996" s="5"/>
      <c r="O996" s="8" t="s">
        <v>19</v>
      </c>
    </row>
    <row r="997" spans="1:15" s="14" customFormat="1" x14ac:dyDescent="0.25">
      <c r="A997" s="13">
        <v>1027</v>
      </c>
      <c r="B997" s="16">
        <v>1027</v>
      </c>
      <c r="C997" s="13" t="s">
        <v>3828</v>
      </c>
      <c r="D997" s="6" t="s">
        <v>2082</v>
      </c>
      <c r="E997" s="13" t="s">
        <v>2931</v>
      </c>
      <c r="F997" s="13"/>
      <c r="G997" s="17">
        <v>10.199999999999999</v>
      </c>
      <c r="H997" s="16">
        <v>84</v>
      </c>
      <c r="I997" s="18">
        <v>5.6529999999999996</v>
      </c>
      <c r="J997" s="13"/>
      <c r="K997" s="13"/>
      <c r="L997" s="17">
        <f>G997-J997</f>
        <v>10.199999999999999</v>
      </c>
      <c r="M997" s="18">
        <f>L997*(H997*H997)*0.7854/10000</f>
        <v>5.6526180479999999</v>
      </c>
      <c r="N997" s="5" t="s">
        <v>1007</v>
      </c>
      <c r="O997" s="8" t="s">
        <v>19</v>
      </c>
    </row>
    <row r="998" spans="1:15" s="14" customFormat="1" x14ac:dyDescent="0.25">
      <c r="A998" s="13">
        <v>1028</v>
      </c>
      <c r="B998" s="16">
        <v>1028</v>
      </c>
      <c r="C998" s="13" t="s">
        <v>3829</v>
      </c>
      <c r="D998" s="6" t="s">
        <v>2085</v>
      </c>
      <c r="E998" s="13" t="s">
        <v>2931</v>
      </c>
      <c r="F998" s="13"/>
      <c r="G998" s="17">
        <v>5.9</v>
      </c>
      <c r="H998" s="16">
        <v>97</v>
      </c>
      <c r="I998" s="18">
        <v>4.3600000000000003</v>
      </c>
      <c r="J998" s="13"/>
      <c r="K998" s="13"/>
      <c r="L998" s="17">
        <f>G998-J998</f>
        <v>5.9</v>
      </c>
      <c r="M998" s="18">
        <f>L998*(H998*H998)*0.7854/10000</f>
        <v>4.3599988740000004</v>
      </c>
      <c r="N998" s="5" t="s">
        <v>1007</v>
      </c>
      <c r="O998" s="8" t="s">
        <v>30</v>
      </c>
    </row>
    <row r="999" spans="1:15" s="14" customFormat="1" x14ac:dyDescent="0.25">
      <c r="A999" s="13">
        <v>1029</v>
      </c>
      <c r="B999" s="16">
        <v>1029</v>
      </c>
      <c r="C999" s="13" t="s">
        <v>3830</v>
      </c>
      <c r="D999" s="6" t="s">
        <v>2088</v>
      </c>
      <c r="E999" s="13" t="s">
        <v>2931</v>
      </c>
      <c r="F999" s="13"/>
      <c r="G999" s="17">
        <v>4.4000000000000004</v>
      </c>
      <c r="H999" s="16">
        <v>68</v>
      </c>
      <c r="I999" s="18">
        <v>1.5980000000000001</v>
      </c>
      <c r="J999" s="13"/>
      <c r="K999" s="13"/>
      <c r="L999" s="17">
        <f>G999-J999</f>
        <v>4.4000000000000004</v>
      </c>
      <c r="M999" s="18">
        <f>L999*(H999*H999)*0.7854/10000</f>
        <v>1.5979434240000003</v>
      </c>
      <c r="N999" s="5"/>
      <c r="O999" s="8" t="s">
        <v>19</v>
      </c>
    </row>
    <row r="1000" spans="1:15" s="14" customFormat="1" x14ac:dyDescent="0.25">
      <c r="A1000" s="13">
        <v>1030</v>
      </c>
      <c r="B1000" s="16">
        <v>1030</v>
      </c>
      <c r="C1000" s="13" t="s">
        <v>3831</v>
      </c>
      <c r="D1000" s="6" t="s">
        <v>2091</v>
      </c>
      <c r="E1000" s="13" t="s">
        <v>2931</v>
      </c>
      <c r="F1000" s="13"/>
      <c r="G1000" s="17">
        <v>6.4</v>
      </c>
      <c r="H1000" s="16">
        <v>79</v>
      </c>
      <c r="I1000" s="18">
        <v>3.137</v>
      </c>
      <c r="J1000" s="13">
        <v>0.3</v>
      </c>
      <c r="K1000" s="13"/>
      <c r="L1000" s="17">
        <f>G1000-J1000</f>
        <v>6.1000000000000005</v>
      </c>
      <c r="M1000" s="18">
        <f>L1000*(H1000*H1000)*0.7854/10000</f>
        <v>2.9900256540000005</v>
      </c>
      <c r="N1000" s="5" t="s">
        <v>1007</v>
      </c>
      <c r="O1000" s="8" t="s">
        <v>19</v>
      </c>
    </row>
    <row r="1001" spans="1:15" s="14" customFormat="1" x14ac:dyDescent="0.25">
      <c r="A1001" s="13">
        <v>1031</v>
      </c>
      <c r="B1001" s="16">
        <v>1031</v>
      </c>
      <c r="C1001" s="13" t="s">
        <v>3832</v>
      </c>
      <c r="D1001" s="6" t="s">
        <v>2094</v>
      </c>
      <c r="E1001" s="13" t="s">
        <v>2931</v>
      </c>
      <c r="F1001" s="13"/>
      <c r="G1001" s="17">
        <v>10.9</v>
      </c>
      <c r="H1001" s="16">
        <v>78</v>
      </c>
      <c r="I1001" s="18">
        <v>5.2080000000000002</v>
      </c>
      <c r="J1001" s="13"/>
      <c r="K1001" s="13"/>
      <c r="L1001" s="17">
        <f>G1001-J1001</f>
        <v>10.9</v>
      </c>
      <c r="M1001" s="18">
        <f>L1001*(H1001*H1001)*0.7854/10000</f>
        <v>5.2084272240000002</v>
      </c>
      <c r="N1001" s="5" t="s">
        <v>1007</v>
      </c>
      <c r="O1001" s="8" t="s">
        <v>30</v>
      </c>
    </row>
    <row r="1002" spans="1:15" s="14" customFormat="1" x14ac:dyDescent="0.25">
      <c r="A1002" s="13">
        <v>1032</v>
      </c>
      <c r="B1002" s="16">
        <v>1032</v>
      </c>
      <c r="C1002" s="13" t="s">
        <v>3833</v>
      </c>
      <c r="D1002" s="6" t="s">
        <v>2097</v>
      </c>
      <c r="E1002" s="13" t="s">
        <v>2931</v>
      </c>
      <c r="F1002" s="13"/>
      <c r="G1002" s="17">
        <v>11.9</v>
      </c>
      <c r="H1002" s="16">
        <v>103</v>
      </c>
      <c r="I1002" s="18">
        <v>9.9149999999999991</v>
      </c>
      <c r="J1002" s="13">
        <v>0.3</v>
      </c>
      <c r="K1002" s="13"/>
      <c r="L1002" s="17">
        <f>G1002-J1002</f>
        <v>11.6</v>
      </c>
      <c r="M1002" s="18">
        <f>L1002*(H1002*H1002)*0.7854/10000</f>
        <v>9.6654779759999983</v>
      </c>
      <c r="N1002" s="5"/>
      <c r="O1002" s="8" t="s">
        <v>19</v>
      </c>
    </row>
    <row r="1003" spans="1:15" s="14" customFormat="1" x14ac:dyDescent="0.25">
      <c r="A1003" s="13">
        <v>1033</v>
      </c>
      <c r="B1003" s="16">
        <v>1033</v>
      </c>
      <c r="C1003" s="13" t="s">
        <v>3834</v>
      </c>
      <c r="D1003" s="6" t="s">
        <v>2100</v>
      </c>
      <c r="E1003" s="13" t="s">
        <v>2931</v>
      </c>
      <c r="F1003" s="13"/>
      <c r="G1003" s="17">
        <v>4.2</v>
      </c>
      <c r="H1003" s="16">
        <v>73</v>
      </c>
      <c r="I1003" s="18">
        <v>1.758</v>
      </c>
      <c r="J1003" s="13"/>
      <c r="K1003" s="13"/>
      <c r="L1003" s="17">
        <f>G1003-J1003</f>
        <v>4.2</v>
      </c>
      <c r="M1003" s="18">
        <f>L1003*(H1003*H1003)*0.7854/10000</f>
        <v>1.7578665720000002</v>
      </c>
      <c r="N1003" s="5"/>
      <c r="O1003" s="8" t="s">
        <v>19</v>
      </c>
    </row>
    <row r="1004" spans="1:15" s="14" customFormat="1" x14ac:dyDescent="0.25">
      <c r="A1004" s="13">
        <v>1034</v>
      </c>
      <c r="B1004" s="16">
        <v>1034</v>
      </c>
      <c r="C1004" s="13" t="s">
        <v>3835</v>
      </c>
      <c r="D1004" s="6" t="s">
        <v>2103</v>
      </c>
      <c r="E1004" s="13" t="s">
        <v>2931</v>
      </c>
      <c r="F1004" s="13"/>
      <c r="G1004" s="17">
        <v>6</v>
      </c>
      <c r="H1004" s="16">
        <v>90</v>
      </c>
      <c r="I1004" s="18">
        <v>3.8170000000000002</v>
      </c>
      <c r="J1004" s="13"/>
      <c r="K1004" s="13"/>
      <c r="L1004" s="17">
        <f>G1004-J1004</f>
        <v>6</v>
      </c>
      <c r="M1004" s="18">
        <f>L1004*(H1004*H1004)*0.7854/10000</f>
        <v>3.8170440000000001</v>
      </c>
      <c r="N1004" s="5"/>
      <c r="O1004" s="8" t="s">
        <v>30</v>
      </c>
    </row>
    <row r="1005" spans="1:15" s="14" customFormat="1" x14ac:dyDescent="0.25">
      <c r="A1005" s="13">
        <v>1035</v>
      </c>
      <c r="B1005" s="16">
        <v>1035</v>
      </c>
      <c r="C1005" s="13" t="s">
        <v>3836</v>
      </c>
      <c r="D1005" s="6" t="s">
        <v>2106</v>
      </c>
      <c r="E1005" s="13" t="s">
        <v>2931</v>
      </c>
      <c r="F1005" s="13"/>
      <c r="G1005" s="17">
        <v>12.1</v>
      </c>
      <c r="H1005" s="16">
        <v>97</v>
      </c>
      <c r="I1005" s="18">
        <v>8.9420000000000002</v>
      </c>
      <c r="J1005" s="13"/>
      <c r="K1005" s="13"/>
      <c r="L1005" s="17">
        <f>G1005-J1005</f>
        <v>12.1</v>
      </c>
      <c r="M1005" s="18">
        <f>L1005*(H1005*H1005)*0.7854/10000</f>
        <v>8.9416926060000002</v>
      </c>
      <c r="N1005" s="5" t="s">
        <v>53</v>
      </c>
      <c r="O1005" s="8" t="s">
        <v>19</v>
      </c>
    </row>
    <row r="1006" spans="1:15" s="14" customFormat="1" x14ac:dyDescent="0.25">
      <c r="A1006" s="13">
        <v>1036</v>
      </c>
      <c r="B1006" s="16">
        <v>1036</v>
      </c>
      <c r="C1006" s="13" t="s">
        <v>3837</v>
      </c>
      <c r="D1006" s="6" t="s">
        <v>2109</v>
      </c>
      <c r="E1006" s="13" t="s">
        <v>2931</v>
      </c>
      <c r="F1006" s="13"/>
      <c r="G1006" s="17">
        <v>12</v>
      </c>
      <c r="H1006" s="16">
        <v>94</v>
      </c>
      <c r="I1006" s="18">
        <v>8.3279999999999994</v>
      </c>
      <c r="J1006" s="13"/>
      <c r="K1006" s="13"/>
      <c r="L1006" s="17">
        <f>G1006-J1006</f>
        <v>12</v>
      </c>
      <c r="M1006" s="18">
        <f>L1006*(H1006*H1006)*0.7854/10000</f>
        <v>8.3277532799999996</v>
      </c>
      <c r="N1006" s="5"/>
      <c r="O1006" s="8" t="s">
        <v>19</v>
      </c>
    </row>
    <row r="1007" spans="1:15" s="14" customFormat="1" x14ac:dyDescent="0.25">
      <c r="A1007" s="13">
        <v>1037</v>
      </c>
      <c r="B1007" s="16">
        <v>1037</v>
      </c>
      <c r="C1007" s="13" t="s">
        <v>3838</v>
      </c>
      <c r="D1007" s="6">
        <v>5150</v>
      </c>
      <c r="E1007" s="13" t="s">
        <v>2931</v>
      </c>
      <c r="F1007" s="13"/>
      <c r="G1007" s="17">
        <v>10.8</v>
      </c>
      <c r="H1007" s="16">
        <v>113</v>
      </c>
      <c r="I1007" s="18">
        <v>10.831</v>
      </c>
      <c r="J1007" s="13">
        <v>0.5</v>
      </c>
      <c r="K1007" s="13"/>
      <c r="L1007" s="17">
        <f>G1007-J1007</f>
        <v>10.3</v>
      </c>
      <c r="M1007" s="18">
        <f>L1007*(H1007*H1007)*0.7854/10000</f>
        <v>10.329635778</v>
      </c>
      <c r="N1007" s="5"/>
      <c r="O1007" s="8" t="s">
        <v>19</v>
      </c>
    </row>
    <row r="1008" spans="1:15" s="14" customFormat="1" x14ac:dyDescent="0.25">
      <c r="A1008" s="13">
        <v>1038</v>
      </c>
      <c r="B1008" s="16">
        <v>1038</v>
      </c>
      <c r="C1008" s="13" t="s">
        <v>3839</v>
      </c>
      <c r="D1008" s="6">
        <v>1484</v>
      </c>
      <c r="E1008" s="13" t="s">
        <v>2931</v>
      </c>
      <c r="F1008" s="13"/>
      <c r="G1008" s="17">
        <v>11</v>
      </c>
      <c r="H1008" s="16">
        <v>112</v>
      </c>
      <c r="I1008" s="18">
        <v>10.837</v>
      </c>
      <c r="J1008" s="13"/>
      <c r="K1008" s="13"/>
      <c r="L1008" s="17">
        <f>G1008-J1008</f>
        <v>11</v>
      </c>
      <c r="M1008" s="18">
        <f>L1008*(H1008*H1008)*0.7854/10000</f>
        <v>10.83726336</v>
      </c>
      <c r="N1008" s="5"/>
      <c r="O1008" s="8" t="s">
        <v>19</v>
      </c>
    </row>
    <row r="1009" spans="1:15" s="14" customFormat="1" x14ac:dyDescent="0.25">
      <c r="A1009" s="13">
        <v>1039</v>
      </c>
      <c r="B1009" s="16">
        <v>1039</v>
      </c>
      <c r="C1009" s="13" t="s">
        <v>3840</v>
      </c>
      <c r="D1009" s="6" t="s">
        <v>2116</v>
      </c>
      <c r="E1009" s="13" t="s">
        <v>2931</v>
      </c>
      <c r="F1009" s="13"/>
      <c r="G1009" s="17">
        <v>10.199999999999999</v>
      </c>
      <c r="H1009" s="16">
        <v>89</v>
      </c>
      <c r="I1009" s="18">
        <v>6.3460000000000001</v>
      </c>
      <c r="J1009" s="13"/>
      <c r="K1009" s="13"/>
      <c r="L1009" s="17">
        <f>G1009-J1009</f>
        <v>10.199999999999999</v>
      </c>
      <c r="M1009" s="18">
        <f>L1009*(H1009*H1009)*0.7854/10000</f>
        <v>6.345576468</v>
      </c>
      <c r="N1009" s="5" t="s">
        <v>1007</v>
      </c>
      <c r="O1009" s="8" t="s">
        <v>19</v>
      </c>
    </row>
    <row r="1010" spans="1:15" s="14" customFormat="1" x14ac:dyDescent="0.25">
      <c r="A1010" s="13">
        <v>1040</v>
      </c>
      <c r="B1010" s="16">
        <v>1040</v>
      </c>
      <c r="C1010" s="13" t="s">
        <v>3841</v>
      </c>
      <c r="D1010" s="6" t="s">
        <v>2119</v>
      </c>
      <c r="E1010" s="13" t="s">
        <v>2931</v>
      </c>
      <c r="F1010" s="13"/>
      <c r="G1010" s="17">
        <v>11.8</v>
      </c>
      <c r="H1010" s="16">
        <v>95</v>
      </c>
      <c r="I1010" s="18">
        <v>8.3640000000000008</v>
      </c>
      <c r="J1010" s="13"/>
      <c r="K1010" s="13"/>
      <c r="L1010" s="17">
        <f>G1010-J1010</f>
        <v>11.8</v>
      </c>
      <c r="M1010" s="18">
        <f>L1010*(H1010*H1010)*0.7854/10000</f>
        <v>8.3641173000000002</v>
      </c>
      <c r="N1010" s="5"/>
      <c r="O1010" s="8" t="s">
        <v>19</v>
      </c>
    </row>
    <row r="1011" spans="1:15" s="14" customFormat="1" x14ac:dyDescent="0.25">
      <c r="A1011" s="13">
        <v>1041</v>
      </c>
      <c r="B1011" s="16">
        <v>1041</v>
      </c>
      <c r="C1011" s="13" t="s">
        <v>3842</v>
      </c>
      <c r="D1011" s="6" t="s">
        <v>2122</v>
      </c>
      <c r="E1011" s="13" t="s">
        <v>2931</v>
      </c>
      <c r="F1011" s="13"/>
      <c r="G1011" s="17">
        <v>5.8</v>
      </c>
      <c r="H1011" s="16">
        <v>81</v>
      </c>
      <c r="I1011" s="18">
        <v>2.9889999999999999</v>
      </c>
      <c r="J1011" s="13"/>
      <c r="K1011" s="13"/>
      <c r="L1011" s="17">
        <f>G1011-J1011</f>
        <v>5.8</v>
      </c>
      <c r="M1011" s="18">
        <f>L1011*(H1011*H1011)*0.7854/10000</f>
        <v>2.9887454519999994</v>
      </c>
      <c r="N1011" s="5"/>
      <c r="O1011" s="8" t="s">
        <v>19</v>
      </c>
    </row>
    <row r="1012" spans="1:15" s="14" customFormat="1" x14ac:dyDescent="0.25">
      <c r="A1012" s="13">
        <v>1042</v>
      </c>
      <c r="B1012" s="16">
        <v>1042</v>
      </c>
      <c r="C1012" s="13" t="s">
        <v>3843</v>
      </c>
      <c r="D1012" s="6" t="s">
        <v>2125</v>
      </c>
      <c r="E1012" s="13" t="s">
        <v>2931</v>
      </c>
      <c r="F1012" s="13"/>
      <c r="G1012" s="17">
        <v>7.6</v>
      </c>
      <c r="H1012" s="16">
        <v>92</v>
      </c>
      <c r="I1012" s="18">
        <v>5.0519999999999996</v>
      </c>
      <c r="J1012" s="13"/>
      <c r="K1012" s="13"/>
      <c r="L1012" s="17">
        <f>G1012-J1012</f>
        <v>7.6</v>
      </c>
      <c r="M1012" s="18">
        <f>L1012*(H1012*H1012)*0.7854/10000</f>
        <v>5.0521954559999989</v>
      </c>
      <c r="N1012" s="5" t="s">
        <v>21</v>
      </c>
      <c r="O1012" s="8" t="s">
        <v>19</v>
      </c>
    </row>
    <row r="1013" spans="1:15" s="14" customFormat="1" x14ac:dyDescent="0.25">
      <c r="A1013" s="13">
        <v>1043</v>
      </c>
      <c r="B1013" s="16">
        <v>1043</v>
      </c>
      <c r="C1013" s="13" t="s">
        <v>3844</v>
      </c>
      <c r="D1013" s="6">
        <v>4881</v>
      </c>
      <c r="E1013" s="13" t="s">
        <v>2931</v>
      </c>
      <c r="F1013" s="13"/>
      <c r="G1013" s="17">
        <v>10</v>
      </c>
      <c r="H1013" s="16">
        <v>102</v>
      </c>
      <c r="I1013" s="18">
        <v>8.1709999999999994</v>
      </c>
      <c r="J1013" s="13">
        <v>0.3</v>
      </c>
      <c r="K1013" s="13"/>
      <c r="L1013" s="17">
        <f>G1013-J1013</f>
        <v>9.6999999999999993</v>
      </c>
      <c r="M1013" s="18">
        <f>L1013*(H1013*H1013)*0.7854/10000</f>
        <v>7.9261625519999983</v>
      </c>
      <c r="N1013" s="5"/>
      <c r="O1013" s="8" t="s">
        <v>30</v>
      </c>
    </row>
    <row r="1014" spans="1:15" s="14" customFormat="1" x14ac:dyDescent="0.25">
      <c r="A1014" s="13">
        <v>1044</v>
      </c>
      <c r="B1014" s="16">
        <v>1044</v>
      </c>
      <c r="C1014" s="13" t="s">
        <v>3845</v>
      </c>
      <c r="D1014" s="6">
        <v>1486</v>
      </c>
      <c r="E1014" s="13" t="s">
        <v>2931</v>
      </c>
      <c r="F1014" s="13"/>
      <c r="G1014" s="17">
        <v>12.4</v>
      </c>
      <c r="H1014" s="16">
        <v>73</v>
      </c>
      <c r="I1014" s="18">
        <v>5.19</v>
      </c>
      <c r="J1014" s="13"/>
      <c r="K1014" s="13"/>
      <c r="L1014" s="17">
        <f>G1014-J1014</f>
        <v>12.4</v>
      </c>
      <c r="M1014" s="18">
        <f>L1014*(H1014*H1014)*0.7854/10000</f>
        <v>5.1898917840000003</v>
      </c>
      <c r="N1014" s="5" t="s">
        <v>21</v>
      </c>
      <c r="O1014" s="8" t="s">
        <v>19</v>
      </c>
    </row>
    <row r="1015" spans="1:15" s="14" customFormat="1" x14ac:dyDescent="0.25">
      <c r="A1015" s="13">
        <v>1045</v>
      </c>
      <c r="B1015" s="16">
        <v>1045</v>
      </c>
      <c r="C1015" s="13" t="s">
        <v>3846</v>
      </c>
      <c r="D1015" s="6" t="s">
        <v>2132</v>
      </c>
      <c r="E1015" s="13" t="s">
        <v>2931</v>
      </c>
      <c r="F1015" s="13"/>
      <c r="G1015" s="17">
        <v>10.3</v>
      </c>
      <c r="H1015" s="16">
        <v>112</v>
      </c>
      <c r="I1015" s="18">
        <v>10.148</v>
      </c>
      <c r="J1015" s="13">
        <v>0.3</v>
      </c>
      <c r="K1015" s="13"/>
      <c r="L1015" s="17">
        <f>G1015-J1015</f>
        <v>10</v>
      </c>
      <c r="M1015" s="18">
        <f>L1015*(H1015*H1015)*0.7854/10000</f>
        <v>9.8520576000000002</v>
      </c>
      <c r="N1015" s="5"/>
      <c r="O1015" s="8" t="s">
        <v>19</v>
      </c>
    </row>
    <row r="1016" spans="1:15" s="14" customFormat="1" x14ac:dyDescent="0.25">
      <c r="A1016" s="13">
        <v>1046</v>
      </c>
      <c r="B1016" s="16">
        <v>1046</v>
      </c>
      <c r="C1016" s="13" t="s">
        <v>3847</v>
      </c>
      <c r="D1016" s="6" t="s">
        <v>2135</v>
      </c>
      <c r="E1016" s="13" t="s">
        <v>2931</v>
      </c>
      <c r="F1016" s="13"/>
      <c r="G1016" s="17">
        <v>10.5</v>
      </c>
      <c r="H1016" s="16">
        <v>81</v>
      </c>
      <c r="I1016" s="18">
        <v>5.4109999999999996</v>
      </c>
      <c r="J1016" s="13">
        <v>0.5</v>
      </c>
      <c r="K1016" s="13"/>
      <c r="L1016" s="17">
        <f>G1016-J1016</f>
        <v>10</v>
      </c>
      <c r="M1016" s="18">
        <f>L1016*(H1016*H1016)*0.7854/10000</f>
        <v>5.1530093999999993</v>
      </c>
      <c r="N1016" s="5"/>
      <c r="O1016" s="8" t="s">
        <v>30</v>
      </c>
    </row>
    <row r="1017" spans="1:15" s="14" customFormat="1" x14ac:dyDescent="0.25">
      <c r="A1017" s="13">
        <v>1047</v>
      </c>
      <c r="B1017" s="16">
        <v>1047</v>
      </c>
      <c r="C1017" s="13" t="s">
        <v>3848</v>
      </c>
      <c r="D1017" s="6" t="s">
        <v>2138</v>
      </c>
      <c r="E1017" s="13" t="s">
        <v>2931</v>
      </c>
      <c r="F1017" s="13"/>
      <c r="G1017" s="17">
        <v>5</v>
      </c>
      <c r="H1017" s="16">
        <v>107</v>
      </c>
      <c r="I1017" s="18">
        <v>4.4960000000000004</v>
      </c>
      <c r="J1017" s="13"/>
      <c r="K1017" s="13"/>
      <c r="L1017" s="17">
        <f>G1017-J1017</f>
        <v>5</v>
      </c>
      <c r="M1017" s="18">
        <f>L1017*(H1017*H1017)*0.7854/10000</f>
        <v>4.4960222999999999</v>
      </c>
      <c r="N1017" s="5"/>
      <c r="O1017" s="8" t="s">
        <v>19</v>
      </c>
    </row>
    <row r="1018" spans="1:15" s="14" customFormat="1" x14ac:dyDescent="0.25">
      <c r="A1018" s="13">
        <v>1048</v>
      </c>
      <c r="B1018" s="16">
        <v>1048</v>
      </c>
      <c r="C1018" s="13" t="s">
        <v>3849</v>
      </c>
      <c r="D1018" s="6" t="s">
        <v>2141</v>
      </c>
      <c r="E1018" s="13" t="s">
        <v>2931</v>
      </c>
      <c r="F1018" s="13"/>
      <c r="G1018" s="17">
        <v>6.2</v>
      </c>
      <c r="H1018" s="16">
        <v>66</v>
      </c>
      <c r="I1018" s="18">
        <v>2.121</v>
      </c>
      <c r="J1018" s="13">
        <v>0.4</v>
      </c>
      <c r="K1018" s="13"/>
      <c r="L1018" s="17">
        <f>G1018-J1018</f>
        <v>5.8</v>
      </c>
      <c r="M1018" s="18">
        <f>L1018*(H1018*H1018)*0.7854/10000</f>
        <v>1.984297392</v>
      </c>
      <c r="N1018" s="5"/>
      <c r="O1018" s="8" t="s">
        <v>19</v>
      </c>
    </row>
    <row r="1019" spans="1:15" s="14" customFormat="1" x14ac:dyDescent="0.25">
      <c r="A1019" s="13">
        <v>1049</v>
      </c>
      <c r="B1019" s="16">
        <v>1049</v>
      </c>
      <c r="C1019" s="13" t="s">
        <v>3850</v>
      </c>
      <c r="D1019" s="6" t="s">
        <v>2144</v>
      </c>
      <c r="E1019" s="13" t="s">
        <v>2931</v>
      </c>
      <c r="F1019" s="13"/>
      <c r="G1019" s="17">
        <v>9.5</v>
      </c>
      <c r="H1019" s="16">
        <v>69</v>
      </c>
      <c r="I1019" s="18">
        <v>3.552</v>
      </c>
      <c r="J1019" s="13"/>
      <c r="K1019" s="13"/>
      <c r="L1019" s="17">
        <f>G1019-J1019</f>
        <v>9.5</v>
      </c>
      <c r="M1019" s="18">
        <f>L1019*(H1019*H1019)*0.7854/10000</f>
        <v>3.5523249299999997</v>
      </c>
      <c r="N1019" s="5"/>
      <c r="O1019" s="8" t="s">
        <v>30</v>
      </c>
    </row>
    <row r="1020" spans="1:15" s="14" customFormat="1" x14ac:dyDescent="0.25">
      <c r="A1020" s="13">
        <v>1050</v>
      </c>
      <c r="B1020" s="16">
        <v>1050</v>
      </c>
      <c r="C1020" s="13" t="s">
        <v>3851</v>
      </c>
      <c r="D1020" s="6" t="s">
        <v>2147</v>
      </c>
      <c r="E1020" s="13" t="s">
        <v>2931</v>
      </c>
      <c r="F1020" s="13"/>
      <c r="G1020" s="17">
        <v>11.8</v>
      </c>
      <c r="H1020" s="16">
        <v>81</v>
      </c>
      <c r="I1020" s="18">
        <v>6.0810000000000004</v>
      </c>
      <c r="J1020" s="13"/>
      <c r="K1020" s="13"/>
      <c r="L1020" s="17">
        <f>G1020-J1020</f>
        <v>11.8</v>
      </c>
      <c r="M1020" s="18">
        <f>L1020*(H1020*H1020)*0.7854/10000</f>
        <v>6.0805510920000003</v>
      </c>
      <c r="N1020" s="5"/>
      <c r="O1020" s="8" t="s">
        <v>19</v>
      </c>
    </row>
    <row r="1021" spans="1:15" s="14" customFormat="1" x14ac:dyDescent="0.25">
      <c r="A1021" s="13">
        <v>1051</v>
      </c>
      <c r="B1021" s="16">
        <v>1051</v>
      </c>
      <c r="C1021" s="13" t="s">
        <v>3852</v>
      </c>
      <c r="D1021" s="6">
        <v>4884</v>
      </c>
      <c r="E1021" s="13" t="s">
        <v>2931</v>
      </c>
      <c r="F1021" s="13"/>
      <c r="G1021" s="17">
        <v>9.8000000000000007</v>
      </c>
      <c r="H1021" s="16">
        <v>111</v>
      </c>
      <c r="I1021" s="18">
        <v>9.4830000000000005</v>
      </c>
      <c r="J1021" s="13"/>
      <c r="K1021" s="13"/>
      <c r="L1021" s="17">
        <f>G1021-J1021</f>
        <v>9.8000000000000007</v>
      </c>
      <c r="M1021" s="18">
        <f>L1021*(H1021*H1021)*0.7854/10000</f>
        <v>9.483375131999999</v>
      </c>
      <c r="N1021" s="5"/>
      <c r="O1021" s="8" t="s">
        <v>19</v>
      </c>
    </row>
    <row r="1022" spans="1:15" s="14" customFormat="1" x14ac:dyDescent="0.25">
      <c r="A1022" s="13">
        <v>1052</v>
      </c>
      <c r="B1022" s="16">
        <v>1052</v>
      </c>
      <c r="C1022" s="13" t="s">
        <v>3853</v>
      </c>
      <c r="D1022" s="6" t="s">
        <v>2152</v>
      </c>
      <c r="E1022" s="13" t="s">
        <v>2931</v>
      </c>
      <c r="F1022" s="13"/>
      <c r="G1022" s="17">
        <v>5.7</v>
      </c>
      <c r="H1022" s="16">
        <v>77</v>
      </c>
      <c r="I1022" s="18">
        <v>2.6539999999999999</v>
      </c>
      <c r="J1022" s="13"/>
      <c r="K1022" s="13"/>
      <c r="L1022" s="17">
        <f>G1022-J1022</f>
        <v>5.7</v>
      </c>
      <c r="M1022" s="18">
        <f>L1022*(H1022*H1022)*0.7854/10000</f>
        <v>2.6542828620000001</v>
      </c>
      <c r="N1022" s="5" t="s">
        <v>35</v>
      </c>
      <c r="O1022" s="8" t="s">
        <v>19</v>
      </c>
    </row>
    <row r="1023" spans="1:15" s="14" customFormat="1" x14ac:dyDescent="0.25">
      <c r="A1023" s="13">
        <v>1053</v>
      </c>
      <c r="B1023" s="16">
        <v>1053</v>
      </c>
      <c r="C1023" s="13" t="s">
        <v>3854</v>
      </c>
      <c r="D1023" s="6" t="s">
        <v>2155</v>
      </c>
      <c r="E1023" s="13" t="s">
        <v>2931</v>
      </c>
      <c r="F1023" s="13"/>
      <c r="G1023" s="17">
        <v>7.2</v>
      </c>
      <c r="H1023" s="16">
        <v>98</v>
      </c>
      <c r="I1023" s="18">
        <v>5.431</v>
      </c>
      <c r="J1023" s="13"/>
      <c r="K1023" s="13"/>
      <c r="L1023" s="17">
        <f>G1023-J1023</f>
        <v>7.2</v>
      </c>
      <c r="M1023" s="18">
        <f>L1023*(H1023*H1023)*0.7854/10000</f>
        <v>5.4309467519999997</v>
      </c>
      <c r="N1023" s="5"/>
      <c r="O1023" s="8" t="s">
        <v>19</v>
      </c>
    </row>
    <row r="1024" spans="1:15" s="14" customFormat="1" x14ac:dyDescent="0.25">
      <c r="A1024" s="13">
        <v>1054</v>
      </c>
      <c r="B1024" s="16">
        <v>1054</v>
      </c>
      <c r="C1024" s="13" t="s">
        <v>3855</v>
      </c>
      <c r="D1024" s="6" t="s">
        <v>2158</v>
      </c>
      <c r="E1024" s="13" t="s">
        <v>2931</v>
      </c>
      <c r="F1024" s="13"/>
      <c r="G1024" s="17">
        <v>10.8</v>
      </c>
      <c r="H1024" s="16">
        <v>136</v>
      </c>
      <c r="I1024" s="18">
        <v>15.689</v>
      </c>
      <c r="J1024" s="13"/>
      <c r="K1024" s="13"/>
      <c r="L1024" s="17">
        <f>G1024-J1024</f>
        <v>10.8</v>
      </c>
      <c r="M1024" s="18">
        <f>L1024*(H1024*H1024)*0.7854/10000</f>
        <v>15.688899072</v>
      </c>
      <c r="N1024" s="5"/>
      <c r="O1024" s="8" t="s">
        <v>19</v>
      </c>
    </row>
    <row r="1025" spans="1:15" s="14" customFormat="1" x14ac:dyDescent="0.25">
      <c r="A1025" s="13">
        <v>1055</v>
      </c>
      <c r="B1025" s="16">
        <v>1055</v>
      </c>
      <c r="C1025" s="13" t="s">
        <v>3856</v>
      </c>
      <c r="D1025" s="6">
        <v>1491</v>
      </c>
      <c r="E1025" s="13" t="s">
        <v>2931</v>
      </c>
      <c r="F1025" s="13"/>
      <c r="G1025" s="17">
        <v>12.3</v>
      </c>
      <c r="H1025" s="16">
        <v>56</v>
      </c>
      <c r="I1025" s="18">
        <v>3.03</v>
      </c>
      <c r="J1025" s="13"/>
      <c r="K1025" s="13"/>
      <c r="L1025" s="17">
        <f>G1025-J1025</f>
        <v>12.3</v>
      </c>
      <c r="M1025" s="18">
        <f>L1025*(H1025*H1025)*0.7854/10000</f>
        <v>3.029507712</v>
      </c>
      <c r="N1025" s="5"/>
      <c r="O1025" s="8" t="s">
        <v>19</v>
      </c>
    </row>
    <row r="1026" spans="1:15" s="14" customFormat="1" x14ac:dyDescent="0.25">
      <c r="A1026" s="13">
        <v>1056</v>
      </c>
      <c r="B1026" s="16">
        <v>1056</v>
      </c>
      <c r="C1026" s="13" t="s">
        <v>3857</v>
      </c>
      <c r="D1026" s="6" t="s">
        <v>2163</v>
      </c>
      <c r="E1026" s="13" t="s">
        <v>2931</v>
      </c>
      <c r="F1026" s="13"/>
      <c r="G1026" s="17">
        <v>6</v>
      </c>
      <c r="H1026" s="16">
        <v>130</v>
      </c>
      <c r="I1026" s="18">
        <v>7.9640000000000004</v>
      </c>
      <c r="J1026" s="13"/>
      <c r="K1026" s="13"/>
      <c r="L1026" s="17">
        <f>G1026-J1026</f>
        <v>6</v>
      </c>
      <c r="M1026" s="18">
        <f>L1026*(H1026*H1026)*0.7854/10000</f>
        <v>7.9639559999999996</v>
      </c>
      <c r="N1026" s="5" t="s">
        <v>53</v>
      </c>
      <c r="O1026" s="8" t="s">
        <v>19</v>
      </c>
    </row>
    <row r="1027" spans="1:15" s="14" customFormat="1" x14ac:dyDescent="0.25">
      <c r="A1027" s="13">
        <v>1057</v>
      </c>
      <c r="B1027" s="16">
        <v>1057</v>
      </c>
      <c r="C1027" s="13" t="s">
        <v>3858</v>
      </c>
      <c r="D1027" s="6">
        <v>1492</v>
      </c>
      <c r="E1027" s="13" t="s">
        <v>2931</v>
      </c>
      <c r="F1027" s="13"/>
      <c r="G1027" s="17">
        <v>13</v>
      </c>
      <c r="H1027" s="16">
        <v>103</v>
      </c>
      <c r="I1027" s="18">
        <v>10.832000000000001</v>
      </c>
      <c r="J1027" s="13"/>
      <c r="K1027" s="13"/>
      <c r="L1027" s="17">
        <f>G1027-J1027</f>
        <v>13</v>
      </c>
      <c r="M1027" s="18">
        <f>L1027*(H1027*H1027)*0.7854/10000</f>
        <v>10.832001179999999</v>
      </c>
      <c r="N1027" s="5"/>
      <c r="O1027" s="8" t="s">
        <v>19</v>
      </c>
    </row>
    <row r="1028" spans="1:15" s="14" customFormat="1" x14ac:dyDescent="0.25">
      <c r="A1028" s="13">
        <v>1058</v>
      </c>
      <c r="B1028" s="16">
        <v>1058</v>
      </c>
      <c r="C1028" s="13" t="s">
        <v>3859</v>
      </c>
      <c r="D1028" s="6" t="s">
        <v>2168</v>
      </c>
      <c r="E1028" s="13" t="s">
        <v>2931</v>
      </c>
      <c r="F1028" s="13"/>
      <c r="G1028" s="17">
        <v>12.7</v>
      </c>
      <c r="H1028" s="16">
        <v>139</v>
      </c>
      <c r="I1028" s="18">
        <v>19.271999999999998</v>
      </c>
      <c r="J1028" s="13"/>
      <c r="K1028" s="13"/>
      <c r="L1028" s="17">
        <f>G1028-J1028</f>
        <v>12.7</v>
      </c>
      <c r="M1028" s="18">
        <f>L1028*(H1028*H1028)*0.7854/10000</f>
        <v>19.271886018</v>
      </c>
      <c r="N1028" s="5"/>
      <c r="O1028" s="8" t="s">
        <v>30</v>
      </c>
    </row>
    <row r="1029" spans="1:15" s="14" customFormat="1" x14ac:dyDescent="0.25">
      <c r="A1029" s="13">
        <v>1059</v>
      </c>
      <c r="B1029" s="16">
        <v>1059</v>
      </c>
      <c r="C1029" s="13" t="s">
        <v>3860</v>
      </c>
      <c r="D1029" s="6">
        <v>4886</v>
      </c>
      <c r="E1029" s="13" t="s">
        <v>2931</v>
      </c>
      <c r="F1029" s="13"/>
      <c r="G1029" s="17">
        <v>10</v>
      </c>
      <c r="H1029" s="16">
        <v>63</v>
      </c>
      <c r="I1029" s="18">
        <v>3.117</v>
      </c>
      <c r="J1029" s="13"/>
      <c r="K1029" s="13"/>
      <c r="L1029" s="17">
        <f>G1029-J1029</f>
        <v>10</v>
      </c>
      <c r="M1029" s="18">
        <f>L1029*(H1029*H1029)*0.7854/10000</f>
        <v>3.1172525999999996</v>
      </c>
      <c r="N1029" s="5"/>
      <c r="O1029" s="8" t="s">
        <v>19</v>
      </c>
    </row>
    <row r="1030" spans="1:15" s="14" customFormat="1" x14ac:dyDescent="0.25">
      <c r="A1030" s="13">
        <v>1060</v>
      </c>
      <c r="B1030" s="16">
        <v>1060</v>
      </c>
      <c r="C1030" s="13" t="s">
        <v>3861</v>
      </c>
      <c r="D1030" s="6" t="s">
        <v>2173</v>
      </c>
      <c r="E1030" s="13" t="s">
        <v>2931</v>
      </c>
      <c r="F1030" s="13"/>
      <c r="G1030" s="17">
        <v>10</v>
      </c>
      <c r="H1030" s="16">
        <v>127</v>
      </c>
      <c r="I1030" s="18">
        <v>12.667999999999999</v>
      </c>
      <c r="J1030" s="13"/>
      <c r="K1030" s="13"/>
      <c r="L1030" s="17">
        <f>G1030-J1030</f>
        <v>10</v>
      </c>
      <c r="M1030" s="18">
        <f>L1030*(H1030*H1030)*0.7854/10000</f>
        <v>12.6677166</v>
      </c>
      <c r="N1030" s="5" t="s">
        <v>53</v>
      </c>
      <c r="O1030" s="8" t="s">
        <v>19</v>
      </c>
    </row>
    <row r="1031" spans="1:15" s="14" customFormat="1" x14ac:dyDescent="0.25">
      <c r="A1031" s="13">
        <v>1061</v>
      </c>
      <c r="B1031" s="16">
        <v>1061</v>
      </c>
      <c r="C1031" s="13" t="s">
        <v>3862</v>
      </c>
      <c r="D1031" s="6" t="s">
        <v>2176</v>
      </c>
      <c r="E1031" s="13" t="s">
        <v>2931</v>
      </c>
      <c r="F1031" s="13"/>
      <c r="G1031" s="17">
        <v>10.5</v>
      </c>
      <c r="H1031" s="16">
        <v>125</v>
      </c>
      <c r="I1031" s="18">
        <v>12.885</v>
      </c>
      <c r="J1031" s="13"/>
      <c r="K1031" s="13"/>
      <c r="L1031" s="17">
        <f>G1031-J1031</f>
        <v>10.5</v>
      </c>
      <c r="M1031" s="18">
        <f>L1031*(H1031*H1031)*0.7854/10000</f>
        <v>12.885468749999999</v>
      </c>
      <c r="N1031" s="5"/>
      <c r="O1031" s="8" t="s">
        <v>30</v>
      </c>
    </row>
    <row r="1032" spans="1:15" s="14" customFormat="1" x14ac:dyDescent="0.25">
      <c r="A1032" s="13">
        <v>1062</v>
      </c>
      <c r="B1032" s="16">
        <v>1062</v>
      </c>
      <c r="C1032" s="13" t="s">
        <v>3863</v>
      </c>
      <c r="D1032" s="6" t="s">
        <v>2179</v>
      </c>
      <c r="E1032" s="13" t="s">
        <v>2931</v>
      </c>
      <c r="F1032" s="13"/>
      <c r="G1032" s="17">
        <v>12</v>
      </c>
      <c r="H1032" s="16">
        <v>116</v>
      </c>
      <c r="I1032" s="18">
        <v>12.682</v>
      </c>
      <c r="J1032" s="13"/>
      <c r="K1032" s="13"/>
      <c r="L1032" s="17">
        <f>G1032-J1032</f>
        <v>12</v>
      </c>
      <c r="M1032" s="18">
        <f>L1032*(H1032*H1032)*0.7854/10000</f>
        <v>12.68201088</v>
      </c>
      <c r="N1032" s="5" t="s">
        <v>1007</v>
      </c>
      <c r="O1032" s="8" t="s">
        <v>19</v>
      </c>
    </row>
    <row r="1033" spans="1:15" s="14" customFormat="1" x14ac:dyDescent="0.25">
      <c r="A1033" s="13">
        <v>1063</v>
      </c>
      <c r="B1033" s="16">
        <v>1063</v>
      </c>
      <c r="C1033" s="13" t="s">
        <v>3864</v>
      </c>
      <c r="D1033" s="6" t="s">
        <v>2182</v>
      </c>
      <c r="E1033" s="13" t="s">
        <v>2931</v>
      </c>
      <c r="F1033" s="13"/>
      <c r="G1033" s="17">
        <v>4.8</v>
      </c>
      <c r="H1033" s="16">
        <v>77</v>
      </c>
      <c r="I1033" s="18">
        <v>2.2349999999999999</v>
      </c>
      <c r="J1033" s="13"/>
      <c r="K1033" s="13"/>
      <c r="L1033" s="17">
        <f>G1033-J1033</f>
        <v>4.8</v>
      </c>
      <c r="M1033" s="18">
        <f>L1033*(H1033*H1033)*0.7854/10000</f>
        <v>2.2351855679999999</v>
      </c>
      <c r="N1033" s="5"/>
      <c r="O1033" s="8" t="s">
        <v>19</v>
      </c>
    </row>
    <row r="1034" spans="1:15" s="14" customFormat="1" x14ac:dyDescent="0.25">
      <c r="A1034" s="13">
        <v>1064</v>
      </c>
      <c r="B1034" s="16">
        <v>1064</v>
      </c>
      <c r="C1034" s="13" t="s">
        <v>3865</v>
      </c>
      <c r="D1034" s="6" t="s">
        <v>2185</v>
      </c>
      <c r="E1034" s="13" t="s">
        <v>2931</v>
      </c>
      <c r="F1034" s="13"/>
      <c r="G1034" s="17">
        <v>8.1999999999999993</v>
      </c>
      <c r="H1034" s="16">
        <v>109</v>
      </c>
      <c r="I1034" s="18">
        <v>7.6520000000000001</v>
      </c>
      <c r="J1034" s="13"/>
      <c r="K1034" s="13"/>
      <c r="L1034" s="17">
        <f>G1034-J1034</f>
        <v>8.1999999999999993</v>
      </c>
      <c r="M1034" s="18">
        <f>L1034*(H1034*H1034)*0.7854/10000</f>
        <v>7.6516966679999996</v>
      </c>
      <c r="N1034" s="5" t="s">
        <v>53</v>
      </c>
      <c r="O1034" s="8" t="s">
        <v>30</v>
      </c>
    </row>
    <row r="1035" spans="1:15" s="14" customFormat="1" x14ac:dyDescent="0.25">
      <c r="A1035" s="13">
        <v>1065</v>
      </c>
      <c r="B1035" s="16">
        <v>1065</v>
      </c>
      <c r="C1035" s="13" t="s">
        <v>3866</v>
      </c>
      <c r="D1035" s="6" t="s">
        <v>2188</v>
      </c>
      <c r="E1035" s="13" t="s">
        <v>2931</v>
      </c>
      <c r="F1035" s="13"/>
      <c r="G1035" s="17">
        <v>5.9</v>
      </c>
      <c r="H1035" s="16">
        <v>101</v>
      </c>
      <c r="I1035" s="18">
        <v>4.7270000000000003</v>
      </c>
      <c r="J1035" s="13"/>
      <c r="K1035" s="13"/>
      <c r="L1035" s="17">
        <f>G1035-J1035</f>
        <v>5.9</v>
      </c>
      <c r="M1035" s="18">
        <f>L1035*(H1035*H1035)*0.7854/10000</f>
        <v>4.7270005859999999</v>
      </c>
      <c r="N1035" s="5" t="s">
        <v>53</v>
      </c>
      <c r="O1035" s="8" t="s">
        <v>19</v>
      </c>
    </row>
    <row r="1036" spans="1:15" s="14" customFormat="1" x14ac:dyDescent="0.25">
      <c r="A1036" s="13">
        <v>1066</v>
      </c>
      <c r="B1036" s="16">
        <v>1066</v>
      </c>
      <c r="C1036" s="13" t="s">
        <v>3867</v>
      </c>
      <c r="D1036" s="6" t="s">
        <v>2191</v>
      </c>
      <c r="E1036" s="13" t="s">
        <v>2931</v>
      </c>
      <c r="F1036" s="13"/>
      <c r="G1036" s="17">
        <v>9</v>
      </c>
      <c r="H1036" s="16">
        <v>120</v>
      </c>
      <c r="I1036" s="18">
        <v>10.179</v>
      </c>
      <c r="J1036" s="13"/>
      <c r="K1036" s="13"/>
      <c r="L1036" s="17">
        <f>G1036-J1036</f>
        <v>9</v>
      </c>
      <c r="M1036" s="18">
        <f>L1036*(H1036*H1036)*0.7854/10000</f>
        <v>10.178784</v>
      </c>
      <c r="N1036" s="5"/>
      <c r="O1036" s="8" t="s">
        <v>19</v>
      </c>
    </row>
    <row r="1037" spans="1:15" s="14" customFormat="1" x14ac:dyDescent="0.25">
      <c r="A1037" s="13">
        <v>1067</v>
      </c>
      <c r="B1037" s="16">
        <v>1067</v>
      </c>
      <c r="C1037" s="13" t="s">
        <v>3868</v>
      </c>
      <c r="D1037" s="6" t="s">
        <v>2168</v>
      </c>
      <c r="E1037" s="13" t="s">
        <v>2931</v>
      </c>
      <c r="F1037" s="13"/>
      <c r="G1037" s="17">
        <v>11.1</v>
      </c>
      <c r="H1037" s="16">
        <v>97</v>
      </c>
      <c r="I1037" s="18">
        <v>8.2029999999999994</v>
      </c>
      <c r="J1037" s="13"/>
      <c r="K1037" s="13"/>
      <c r="L1037" s="17">
        <f>G1037-J1037</f>
        <v>11.1</v>
      </c>
      <c r="M1037" s="18">
        <f>L1037*(H1037*H1037)*0.7854/10000</f>
        <v>8.2027097459999982</v>
      </c>
      <c r="N1037" s="5" t="s">
        <v>21</v>
      </c>
      <c r="O1037" s="8" t="s">
        <v>19</v>
      </c>
    </row>
    <row r="1038" spans="1:15" s="14" customFormat="1" x14ac:dyDescent="0.25">
      <c r="A1038" s="13">
        <v>1068</v>
      </c>
      <c r="B1038" s="16">
        <v>1068</v>
      </c>
      <c r="C1038" s="13" t="s">
        <v>3869</v>
      </c>
      <c r="D1038" s="6" t="s">
        <v>2196</v>
      </c>
      <c r="E1038" s="13" t="s">
        <v>2931</v>
      </c>
      <c r="F1038" s="13"/>
      <c r="G1038" s="17">
        <v>4.3</v>
      </c>
      <c r="H1038" s="16">
        <v>111</v>
      </c>
      <c r="I1038" s="18">
        <v>4.1609999999999996</v>
      </c>
      <c r="J1038" s="13"/>
      <c r="K1038" s="13"/>
      <c r="L1038" s="17">
        <f>G1038-J1038</f>
        <v>4.3</v>
      </c>
      <c r="M1038" s="18">
        <f>L1038*(H1038*H1038)*0.7854/10000</f>
        <v>4.1610727619999999</v>
      </c>
      <c r="N1038" s="5"/>
      <c r="O1038" s="8" t="s">
        <v>19</v>
      </c>
    </row>
    <row r="1039" spans="1:15" s="14" customFormat="1" x14ac:dyDescent="0.25">
      <c r="A1039" s="13">
        <v>1069</v>
      </c>
      <c r="B1039" s="16">
        <v>1069</v>
      </c>
      <c r="C1039" s="13" t="s">
        <v>3870</v>
      </c>
      <c r="D1039" s="6" t="s">
        <v>2199</v>
      </c>
      <c r="E1039" s="13" t="s">
        <v>2931</v>
      </c>
      <c r="F1039" s="13"/>
      <c r="G1039" s="17">
        <v>7.6</v>
      </c>
      <c r="H1039" s="16">
        <v>87</v>
      </c>
      <c r="I1039" s="18">
        <v>4.5179999999999998</v>
      </c>
      <c r="J1039" s="13"/>
      <c r="K1039" s="13"/>
      <c r="L1039" s="17">
        <f>G1039-J1039</f>
        <v>7.6</v>
      </c>
      <c r="M1039" s="18">
        <f>L1039*(H1039*H1039)*0.7854/10000</f>
        <v>4.5179663759999995</v>
      </c>
      <c r="N1039" s="5"/>
      <c r="O1039" s="8" t="s">
        <v>19</v>
      </c>
    </row>
    <row r="1040" spans="1:15" s="14" customFormat="1" x14ac:dyDescent="0.25">
      <c r="A1040" s="13">
        <v>1070</v>
      </c>
      <c r="B1040" s="16">
        <v>1070</v>
      </c>
      <c r="C1040" s="13" t="s">
        <v>3871</v>
      </c>
      <c r="D1040" s="6" t="s">
        <v>2202</v>
      </c>
      <c r="E1040" s="13" t="s">
        <v>2931</v>
      </c>
      <c r="F1040" s="13"/>
      <c r="G1040" s="17">
        <v>7.9</v>
      </c>
      <c r="H1040" s="16">
        <v>82</v>
      </c>
      <c r="I1040" s="18">
        <v>4.1719999999999997</v>
      </c>
      <c r="J1040" s="13">
        <v>0.3</v>
      </c>
      <c r="K1040" s="13"/>
      <c r="L1040" s="17">
        <f>G1040-J1040</f>
        <v>7.6000000000000005</v>
      </c>
      <c r="M1040" s="18">
        <f>L1040*(H1040*H1040)*0.7854/10000</f>
        <v>4.0135824959999997</v>
      </c>
      <c r="N1040" s="5" t="s">
        <v>35</v>
      </c>
      <c r="O1040" s="8" t="s">
        <v>19</v>
      </c>
    </row>
    <row r="1041" spans="1:15" s="14" customFormat="1" x14ac:dyDescent="0.25">
      <c r="A1041" s="13">
        <v>1071</v>
      </c>
      <c r="B1041" s="16">
        <v>1071</v>
      </c>
      <c r="C1041" s="13" t="s">
        <v>3872</v>
      </c>
      <c r="D1041" s="6" t="s">
        <v>2205</v>
      </c>
      <c r="E1041" s="13" t="s">
        <v>2931</v>
      </c>
      <c r="F1041" s="13"/>
      <c r="G1041" s="17">
        <v>11</v>
      </c>
      <c r="H1041" s="16">
        <v>113</v>
      </c>
      <c r="I1041" s="18">
        <v>11.032</v>
      </c>
      <c r="J1041" s="13">
        <v>0.3</v>
      </c>
      <c r="K1041" s="13"/>
      <c r="L1041" s="17">
        <f>G1041-J1041</f>
        <v>10.7</v>
      </c>
      <c r="M1041" s="18">
        <f>L1041*(H1041*H1041)*0.7854/10000</f>
        <v>10.730786682</v>
      </c>
      <c r="N1041" s="5"/>
      <c r="O1041" s="8" t="s">
        <v>19</v>
      </c>
    </row>
    <row r="1042" spans="1:15" s="14" customFormat="1" x14ac:dyDescent="0.25">
      <c r="A1042" s="13">
        <v>1072</v>
      </c>
      <c r="B1042" s="16">
        <v>1072</v>
      </c>
      <c r="C1042" s="13" t="s">
        <v>3873</v>
      </c>
      <c r="D1042" s="6">
        <v>4890</v>
      </c>
      <c r="E1042" s="13" t="s">
        <v>2931</v>
      </c>
      <c r="F1042" s="13"/>
      <c r="G1042" s="17">
        <v>12.9</v>
      </c>
      <c r="H1042" s="16">
        <v>99</v>
      </c>
      <c r="I1042" s="18">
        <v>9.93</v>
      </c>
      <c r="J1042" s="13">
        <v>0.3</v>
      </c>
      <c r="K1042" s="13"/>
      <c r="L1042" s="17">
        <f>G1042-J1042</f>
        <v>12.6</v>
      </c>
      <c r="M1042" s="18">
        <f>L1042*(H1042*H1042)*0.7854/10000</f>
        <v>9.699108803999998</v>
      </c>
      <c r="N1042" s="5"/>
      <c r="O1042" s="8" t="s">
        <v>19</v>
      </c>
    </row>
    <row r="1043" spans="1:15" s="14" customFormat="1" x14ac:dyDescent="0.25">
      <c r="A1043" s="13">
        <v>1073</v>
      </c>
      <c r="B1043" s="16">
        <v>1073</v>
      </c>
      <c r="C1043" s="13" t="s">
        <v>3874</v>
      </c>
      <c r="D1043" s="6">
        <v>1496</v>
      </c>
      <c r="E1043" s="13" t="s">
        <v>2931</v>
      </c>
      <c r="F1043" s="13"/>
      <c r="G1043" s="17">
        <v>12</v>
      </c>
      <c r="H1043" s="16">
        <v>102</v>
      </c>
      <c r="I1043" s="18">
        <v>9.8059999999999992</v>
      </c>
      <c r="J1043" s="13"/>
      <c r="K1043" s="13"/>
      <c r="L1043" s="17">
        <f>G1043-J1043</f>
        <v>12</v>
      </c>
      <c r="M1043" s="18">
        <f>L1043*(H1043*H1043)*0.7854/10000</f>
        <v>9.8055619200000006</v>
      </c>
      <c r="N1043" s="5" t="s">
        <v>1007</v>
      </c>
      <c r="O1043" s="8" t="s">
        <v>30</v>
      </c>
    </row>
    <row r="1044" spans="1:15" s="14" customFormat="1" x14ac:dyDescent="0.25">
      <c r="A1044" s="13">
        <v>1074</v>
      </c>
      <c r="B1044" s="16">
        <v>1074</v>
      </c>
      <c r="C1044" s="13" t="s">
        <v>3875</v>
      </c>
      <c r="D1044" s="6" t="s">
        <v>2212</v>
      </c>
      <c r="E1044" s="13" t="s">
        <v>2931</v>
      </c>
      <c r="F1044" s="13"/>
      <c r="G1044" s="17">
        <v>9.5</v>
      </c>
      <c r="H1044" s="16">
        <v>95</v>
      </c>
      <c r="I1044" s="18">
        <v>6.734</v>
      </c>
      <c r="J1044" s="13"/>
      <c r="K1044" s="13"/>
      <c r="L1044" s="17">
        <f>G1044-J1044</f>
        <v>9.5</v>
      </c>
      <c r="M1044" s="18">
        <f>L1044*(H1044*H1044)*0.7854/10000</f>
        <v>6.7338232499999995</v>
      </c>
      <c r="N1044" s="5"/>
      <c r="O1044" s="8" t="s">
        <v>19</v>
      </c>
    </row>
    <row r="1045" spans="1:15" s="14" customFormat="1" x14ac:dyDescent="0.25">
      <c r="A1045" s="13">
        <v>1075</v>
      </c>
      <c r="B1045" s="16">
        <v>1075</v>
      </c>
      <c r="C1045" s="13" t="s">
        <v>3876</v>
      </c>
      <c r="D1045" s="6" t="s">
        <v>2215</v>
      </c>
      <c r="E1045" s="13" t="s">
        <v>2931</v>
      </c>
      <c r="F1045" s="13"/>
      <c r="G1045" s="17">
        <v>10.4</v>
      </c>
      <c r="H1045" s="16">
        <v>102</v>
      </c>
      <c r="I1045" s="18">
        <v>8.4979999999999993</v>
      </c>
      <c r="J1045" s="13"/>
      <c r="K1045" s="13"/>
      <c r="L1045" s="17">
        <f>G1045-J1045</f>
        <v>10.4</v>
      </c>
      <c r="M1045" s="18">
        <f>L1045*(H1045*H1045)*0.7854/10000</f>
        <v>8.4981536640000002</v>
      </c>
      <c r="N1045" s="5"/>
      <c r="O1045" s="8" t="s">
        <v>19</v>
      </c>
    </row>
    <row r="1046" spans="1:15" s="14" customFormat="1" x14ac:dyDescent="0.25">
      <c r="A1046" s="13">
        <v>1076</v>
      </c>
      <c r="B1046" s="16">
        <v>1076</v>
      </c>
      <c r="C1046" s="13" t="s">
        <v>3877</v>
      </c>
      <c r="D1046" s="6" t="s">
        <v>2218</v>
      </c>
      <c r="E1046" s="13" t="s">
        <v>2931</v>
      </c>
      <c r="F1046" s="13"/>
      <c r="G1046" s="17">
        <v>10.9</v>
      </c>
      <c r="H1046" s="16">
        <v>109</v>
      </c>
      <c r="I1046" s="18">
        <v>10.170999999999999</v>
      </c>
      <c r="J1046" s="13"/>
      <c r="K1046" s="13"/>
      <c r="L1046" s="17">
        <f>G1046-J1046</f>
        <v>10.9</v>
      </c>
      <c r="M1046" s="18">
        <f>L1046*(H1046*H1046)*0.7854/10000</f>
        <v>10.171157766</v>
      </c>
      <c r="N1046" s="5"/>
      <c r="O1046" s="8" t="s">
        <v>30</v>
      </c>
    </row>
    <row r="1047" spans="1:15" s="14" customFormat="1" x14ac:dyDescent="0.25">
      <c r="A1047" s="13">
        <v>1077</v>
      </c>
      <c r="B1047" s="16">
        <v>1077</v>
      </c>
      <c r="C1047" s="13" t="s">
        <v>3878</v>
      </c>
      <c r="D1047" s="6" t="s">
        <v>2221</v>
      </c>
      <c r="E1047" s="13" t="s">
        <v>2931</v>
      </c>
      <c r="F1047" s="13"/>
      <c r="G1047" s="17">
        <v>5.6</v>
      </c>
      <c r="H1047" s="16">
        <v>92</v>
      </c>
      <c r="I1047" s="18">
        <v>3.7229999999999999</v>
      </c>
      <c r="J1047" s="13"/>
      <c r="K1047" s="13"/>
      <c r="L1047" s="17">
        <f>G1047-J1047</f>
        <v>5.6</v>
      </c>
      <c r="M1047" s="18">
        <f>L1047*(H1047*H1047)*0.7854/10000</f>
        <v>3.7226703359999993</v>
      </c>
      <c r="N1047" s="5" t="s">
        <v>53</v>
      </c>
      <c r="O1047" s="8" t="s">
        <v>19</v>
      </c>
    </row>
    <row r="1048" spans="1:15" s="14" customFormat="1" x14ac:dyDescent="0.25">
      <c r="A1048" s="13">
        <v>1078</v>
      </c>
      <c r="B1048" s="16">
        <v>1078</v>
      </c>
      <c r="C1048" s="13" t="s">
        <v>3879</v>
      </c>
      <c r="D1048" s="6" t="s">
        <v>2224</v>
      </c>
      <c r="E1048" s="13" t="s">
        <v>2931</v>
      </c>
      <c r="F1048" s="13"/>
      <c r="G1048" s="17">
        <v>4.9000000000000004</v>
      </c>
      <c r="H1048" s="16">
        <v>93</v>
      </c>
      <c r="I1048" s="18">
        <v>3.3290000000000002</v>
      </c>
      <c r="J1048" s="13">
        <v>0.3</v>
      </c>
      <c r="K1048" s="13"/>
      <c r="L1048" s="17">
        <f>G1048-J1048</f>
        <v>4.6000000000000005</v>
      </c>
      <c r="M1048" s="18">
        <f>L1048*(H1048*H1048)*0.7854/10000</f>
        <v>3.1247453160000003</v>
      </c>
      <c r="N1048" s="5"/>
      <c r="O1048" s="8" t="s">
        <v>19</v>
      </c>
    </row>
    <row r="1049" spans="1:15" s="14" customFormat="1" x14ac:dyDescent="0.25">
      <c r="A1049" s="13">
        <v>1079</v>
      </c>
      <c r="B1049" s="16">
        <v>1079</v>
      </c>
      <c r="C1049" s="13" t="s">
        <v>3880</v>
      </c>
      <c r="D1049" s="6" t="s">
        <v>2227</v>
      </c>
      <c r="E1049" s="13" t="s">
        <v>2931</v>
      </c>
      <c r="F1049" s="13"/>
      <c r="G1049" s="17">
        <v>5.5</v>
      </c>
      <c r="H1049" s="16">
        <v>105</v>
      </c>
      <c r="I1049" s="18">
        <v>4.7619999999999996</v>
      </c>
      <c r="J1049" s="13"/>
      <c r="K1049" s="13"/>
      <c r="L1049" s="17">
        <f>G1049-J1049</f>
        <v>5.5</v>
      </c>
      <c r="M1049" s="18">
        <f>L1049*(H1049*H1049)*0.7854/10000</f>
        <v>4.7624692499999997</v>
      </c>
      <c r="N1049" s="5"/>
      <c r="O1049" s="8" t="s">
        <v>30</v>
      </c>
    </row>
    <row r="1050" spans="1:15" s="14" customFormat="1" x14ac:dyDescent="0.25">
      <c r="A1050" s="13">
        <v>1080</v>
      </c>
      <c r="B1050" s="16">
        <v>1080</v>
      </c>
      <c r="C1050" s="13" t="s">
        <v>3881</v>
      </c>
      <c r="D1050" s="6" t="s">
        <v>2212</v>
      </c>
      <c r="E1050" s="13" t="s">
        <v>2931</v>
      </c>
      <c r="F1050" s="13"/>
      <c r="G1050" s="17">
        <v>10.8</v>
      </c>
      <c r="H1050" s="16">
        <v>123</v>
      </c>
      <c r="I1050" s="18">
        <v>12.833</v>
      </c>
      <c r="J1050" s="13">
        <v>0.5</v>
      </c>
      <c r="K1050" s="13"/>
      <c r="L1050" s="17">
        <f>G1050-J1050</f>
        <v>10.3</v>
      </c>
      <c r="M1050" s="18">
        <f>L1050*(H1050*H1050)*0.7854/10000</f>
        <v>12.238786098000002</v>
      </c>
      <c r="N1050" s="5"/>
      <c r="O1050" s="8" t="s">
        <v>19</v>
      </c>
    </row>
    <row r="1051" spans="1:15" s="14" customFormat="1" x14ac:dyDescent="0.25">
      <c r="A1051" s="13">
        <v>1081</v>
      </c>
      <c r="B1051" s="16">
        <v>1081</v>
      </c>
      <c r="C1051" s="13" t="s">
        <v>3882</v>
      </c>
      <c r="D1051" s="6">
        <v>4868</v>
      </c>
      <c r="E1051" s="13" t="s">
        <v>2931</v>
      </c>
      <c r="F1051" s="13"/>
      <c r="G1051" s="17">
        <v>13.5</v>
      </c>
      <c r="H1051" s="16">
        <v>116</v>
      </c>
      <c r="I1051" s="18">
        <v>14.266999999999999</v>
      </c>
      <c r="J1051" s="13"/>
      <c r="K1051" s="13"/>
      <c r="L1051" s="17">
        <f>G1051-J1051</f>
        <v>13.5</v>
      </c>
      <c r="M1051" s="18">
        <f>L1051*(H1051*H1051)*0.7854/10000</f>
        <v>14.267262239999999</v>
      </c>
      <c r="N1051" s="5"/>
      <c r="O1051" s="8" t="s">
        <v>19</v>
      </c>
    </row>
    <row r="1052" spans="1:15" s="14" customFormat="1" x14ac:dyDescent="0.25">
      <c r="A1052" s="13">
        <v>1082</v>
      </c>
      <c r="B1052" s="16">
        <v>1082</v>
      </c>
      <c r="C1052" s="13" t="s">
        <v>3883</v>
      </c>
      <c r="D1052" s="6">
        <v>1498</v>
      </c>
      <c r="E1052" s="13" t="s">
        <v>2931</v>
      </c>
      <c r="F1052" s="13"/>
      <c r="G1052" s="17">
        <v>12.6</v>
      </c>
      <c r="H1052" s="16">
        <v>100</v>
      </c>
      <c r="I1052" s="18">
        <v>9.8960000000000008</v>
      </c>
      <c r="J1052" s="13"/>
      <c r="K1052" s="13"/>
      <c r="L1052" s="17">
        <f>G1052-J1052</f>
        <v>12.6</v>
      </c>
      <c r="M1052" s="18">
        <f>L1052*(H1052*H1052)*0.7854/10000</f>
        <v>9.8960399999999993</v>
      </c>
      <c r="N1052" s="5" t="s">
        <v>21</v>
      </c>
      <c r="O1052" s="8" t="s">
        <v>19</v>
      </c>
    </row>
    <row r="1053" spans="1:15" s="14" customFormat="1" x14ac:dyDescent="0.25">
      <c r="A1053" s="13">
        <v>1083</v>
      </c>
      <c r="B1053" s="16">
        <v>1083</v>
      </c>
      <c r="C1053" s="13" t="s">
        <v>3884</v>
      </c>
      <c r="D1053" s="6" t="s">
        <v>2236</v>
      </c>
      <c r="E1053" s="13" t="s">
        <v>2931</v>
      </c>
      <c r="F1053" s="13"/>
      <c r="G1053" s="17">
        <v>5.6</v>
      </c>
      <c r="H1053" s="16">
        <v>115</v>
      </c>
      <c r="I1053" s="18">
        <v>5.8170000000000002</v>
      </c>
      <c r="J1053" s="13">
        <v>0.5</v>
      </c>
      <c r="K1053" s="13"/>
      <c r="L1053" s="17">
        <f>G1053-J1053</f>
        <v>5.0999999999999996</v>
      </c>
      <c r="M1053" s="18">
        <f>L1053*(H1053*H1053)*0.7854/10000</f>
        <v>5.2973266499999996</v>
      </c>
      <c r="N1053" s="5"/>
      <c r="O1053" s="8" t="s">
        <v>19</v>
      </c>
    </row>
    <row r="1054" spans="1:15" s="14" customFormat="1" x14ac:dyDescent="0.25">
      <c r="A1054" s="13">
        <v>1084</v>
      </c>
      <c r="B1054" s="16">
        <v>1084</v>
      </c>
      <c r="C1054" s="13" t="s">
        <v>3885</v>
      </c>
      <c r="D1054" s="6" t="s">
        <v>2239</v>
      </c>
      <c r="E1054" s="13" t="s">
        <v>2931</v>
      </c>
      <c r="F1054" s="13"/>
      <c r="G1054" s="17">
        <v>11.4</v>
      </c>
      <c r="H1054" s="16">
        <v>121</v>
      </c>
      <c r="I1054" s="18">
        <v>13.109</v>
      </c>
      <c r="J1054" s="13"/>
      <c r="K1054" s="13"/>
      <c r="L1054" s="17">
        <f>G1054-J1054</f>
        <v>11.4</v>
      </c>
      <c r="M1054" s="18">
        <f>L1054*(H1054*H1054)*0.7854/10000</f>
        <v>13.108907196000001</v>
      </c>
      <c r="N1054" s="5" t="s">
        <v>1007</v>
      </c>
      <c r="O1054" s="8" t="s">
        <v>19</v>
      </c>
    </row>
    <row r="1055" spans="1:15" s="14" customFormat="1" x14ac:dyDescent="0.25">
      <c r="A1055" s="13">
        <v>1085</v>
      </c>
      <c r="B1055" s="16">
        <v>1085</v>
      </c>
      <c r="C1055" s="13" t="s">
        <v>3886</v>
      </c>
      <c r="D1055" s="6">
        <v>1499</v>
      </c>
      <c r="E1055" s="13" t="s">
        <v>2931</v>
      </c>
      <c r="F1055" s="13"/>
      <c r="G1055" s="17">
        <v>10.8</v>
      </c>
      <c r="H1055" s="16">
        <v>85</v>
      </c>
      <c r="I1055" s="18">
        <v>6.1280000000000001</v>
      </c>
      <c r="J1055" s="13"/>
      <c r="K1055" s="13"/>
      <c r="L1055" s="17">
        <f>G1055-J1055</f>
        <v>10.8</v>
      </c>
      <c r="M1055" s="18">
        <f>L1055*(H1055*H1055)*0.7854/10000</f>
        <v>6.1284762000000006</v>
      </c>
      <c r="N1055" s="5"/>
      <c r="O1055" s="8" t="s">
        <v>19</v>
      </c>
    </row>
    <row r="1056" spans="1:15" s="14" customFormat="1" x14ac:dyDescent="0.25">
      <c r="A1056" s="13">
        <v>1086</v>
      </c>
      <c r="B1056" s="16">
        <v>1086</v>
      </c>
      <c r="C1056" s="13" t="s">
        <v>3887</v>
      </c>
      <c r="D1056" s="6" t="s">
        <v>2244</v>
      </c>
      <c r="E1056" s="13" t="s">
        <v>2931</v>
      </c>
      <c r="F1056" s="13"/>
      <c r="G1056" s="17">
        <v>11.5</v>
      </c>
      <c r="H1056" s="16">
        <v>98</v>
      </c>
      <c r="I1056" s="18">
        <v>8.6739999999999995</v>
      </c>
      <c r="J1056" s="13"/>
      <c r="K1056" s="13"/>
      <c r="L1056" s="17">
        <f>G1056-J1056</f>
        <v>11.5</v>
      </c>
      <c r="M1056" s="18">
        <f>L1056*(H1056*H1056)*0.7854/10000</f>
        <v>8.6744288400000009</v>
      </c>
      <c r="N1056" s="5" t="s">
        <v>21</v>
      </c>
      <c r="O1056" s="8" t="s">
        <v>19</v>
      </c>
    </row>
    <row r="1057" spans="1:15" s="14" customFormat="1" x14ac:dyDescent="0.25">
      <c r="A1057" s="13">
        <v>1087</v>
      </c>
      <c r="B1057" s="16">
        <v>1087</v>
      </c>
      <c r="C1057" s="13" t="s">
        <v>3888</v>
      </c>
      <c r="D1057" s="6" t="s">
        <v>2247</v>
      </c>
      <c r="E1057" s="13" t="s">
        <v>2931</v>
      </c>
      <c r="F1057" s="13"/>
      <c r="G1057" s="17">
        <v>7</v>
      </c>
      <c r="H1057" s="16">
        <v>111</v>
      </c>
      <c r="I1057" s="18">
        <v>6.774</v>
      </c>
      <c r="J1057" s="13">
        <v>0.3</v>
      </c>
      <c r="K1057" s="13"/>
      <c r="L1057" s="17">
        <f>G1057-J1057</f>
        <v>6.7</v>
      </c>
      <c r="M1057" s="18">
        <f>L1057*(H1057*H1057)*0.7854/10000</f>
        <v>6.4835319779999994</v>
      </c>
      <c r="N1057" s="5"/>
      <c r="O1057" s="8" t="s">
        <v>19</v>
      </c>
    </row>
    <row r="1058" spans="1:15" s="14" customFormat="1" x14ac:dyDescent="0.25">
      <c r="A1058" s="13">
        <v>1088</v>
      </c>
      <c r="B1058" s="16">
        <v>1088</v>
      </c>
      <c r="C1058" s="13" t="s">
        <v>3889</v>
      </c>
      <c r="D1058" s="6" t="s">
        <v>2250</v>
      </c>
      <c r="E1058" s="13" t="s">
        <v>2931</v>
      </c>
      <c r="F1058" s="13"/>
      <c r="G1058" s="17">
        <v>10.6</v>
      </c>
      <c r="H1058" s="16">
        <v>90</v>
      </c>
      <c r="I1058" s="18">
        <v>6.7430000000000003</v>
      </c>
      <c r="J1058" s="13"/>
      <c r="K1058" s="13"/>
      <c r="L1058" s="17">
        <f>G1058-J1058</f>
        <v>10.6</v>
      </c>
      <c r="M1058" s="18">
        <f>L1058*(H1058*H1058)*0.7854/10000</f>
        <v>6.7434444000000004</v>
      </c>
      <c r="N1058" s="5" t="s">
        <v>53</v>
      </c>
      <c r="O1058" s="8" t="s">
        <v>30</v>
      </c>
    </row>
    <row r="1059" spans="1:15" s="14" customFormat="1" x14ac:dyDescent="0.25">
      <c r="A1059" s="13">
        <v>1089</v>
      </c>
      <c r="B1059" s="16">
        <v>1089</v>
      </c>
      <c r="C1059" s="13" t="s">
        <v>3890</v>
      </c>
      <c r="D1059" s="6">
        <v>4870</v>
      </c>
      <c r="E1059" s="13" t="s">
        <v>2931</v>
      </c>
      <c r="F1059" s="13"/>
      <c r="G1059" s="17">
        <v>12.1</v>
      </c>
      <c r="H1059" s="16">
        <v>79</v>
      </c>
      <c r="I1059" s="18">
        <v>5.931</v>
      </c>
      <c r="J1059" s="13"/>
      <c r="K1059" s="13"/>
      <c r="L1059" s="17">
        <f>G1059-J1059</f>
        <v>12.1</v>
      </c>
      <c r="M1059" s="18">
        <f>L1059*(H1059*H1059)*0.7854/10000</f>
        <v>5.9310344939999995</v>
      </c>
      <c r="N1059" s="5"/>
      <c r="O1059" s="8" t="s">
        <v>19</v>
      </c>
    </row>
    <row r="1060" spans="1:15" s="14" customFormat="1" x14ac:dyDescent="0.25">
      <c r="A1060" s="13">
        <v>1090</v>
      </c>
      <c r="B1060" s="16">
        <v>1090</v>
      </c>
      <c r="C1060" s="13" t="s">
        <v>3891</v>
      </c>
      <c r="D1060" s="6" t="s">
        <v>2255</v>
      </c>
      <c r="E1060" s="13" t="s">
        <v>2931</v>
      </c>
      <c r="F1060" s="13"/>
      <c r="G1060" s="17">
        <v>10.6</v>
      </c>
      <c r="H1060" s="16">
        <v>76</v>
      </c>
      <c r="I1060" s="18">
        <v>4.8090000000000002</v>
      </c>
      <c r="J1060" s="13">
        <v>0.3</v>
      </c>
      <c r="K1060" s="13"/>
      <c r="L1060" s="17">
        <f>G1060-J1060</f>
        <v>10.299999999999999</v>
      </c>
      <c r="M1060" s="18">
        <f>L1060*(H1060*H1060)*0.7854/10000</f>
        <v>4.6725645119999992</v>
      </c>
      <c r="N1060" s="5"/>
      <c r="O1060" s="8" t="s">
        <v>19</v>
      </c>
    </row>
    <row r="1061" spans="1:15" s="14" customFormat="1" x14ac:dyDescent="0.25">
      <c r="A1061" s="13">
        <v>1091</v>
      </c>
      <c r="B1061" s="16">
        <v>1091</v>
      </c>
      <c r="C1061" s="13" t="s">
        <v>3892</v>
      </c>
      <c r="D1061" s="6" t="s">
        <v>2258</v>
      </c>
      <c r="E1061" s="13" t="s">
        <v>2931</v>
      </c>
      <c r="F1061" s="13"/>
      <c r="G1061" s="17">
        <v>7.2</v>
      </c>
      <c r="H1061" s="16">
        <v>98</v>
      </c>
      <c r="I1061" s="18">
        <v>5.431</v>
      </c>
      <c r="J1061" s="13"/>
      <c r="K1061" s="13"/>
      <c r="L1061" s="17">
        <f>G1061-J1061</f>
        <v>7.2</v>
      </c>
      <c r="M1061" s="18">
        <f>L1061*(H1061*H1061)*0.7854/10000</f>
        <v>5.4309467519999997</v>
      </c>
      <c r="N1061" s="5" t="s">
        <v>1007</v>
      </c>
      <c r="O1061" s="8" t="s">
        <v>30</v>
      </c>
    </row>
    <row r="1062" spans="1:15" s="14" customFormat="1" x14ac:dyDescent="0.25">
      <c r="A1062" s="13">
        <v>1092</v>
      </c>
      <c r="B1062" s="16">
        <v>1092</v>
      </c>
      <c r="C1062" s="13" t="s">
        <v>3893</v>
      </c>
      <c r="D1062" s="6" t="s">
        <v>2261</v>
      </c>
      <c r="E1062" s="13" t="s">
        <v>2931</v>
      </c>
      <c r="F1062" s="13"/>
      <c r="G1062" s="17">
        <v>9.5</v>
      </c>
      <c r="H1062" s="16">
        <v>85</v>
      </c>
      <c r="I1062" s="18">
        <v>5.391</v>
      </c>
      <c r="J1062" s="13"/>
      <c r="K1062" s="13"/>
      <c r="L1062" s="17">
        <f>G1062-J1062</f>
        <v>9.5</v>
      </c>
      <c r="M1062" s="18">
        <f>L1062*(H1062*H1062)*0.7854/10000</f>
        <v>5.3907892500000001</v>
      </c>
      <c r="N1062" s="5"/>
      <c r="O1062" s="8" t="s">
        <v>19</v>
      </c>
    </row>
    <row r="1063" spans="1:15" s="14" customFormat="1" x14ac:dyDescent="0.25">
      <c r="A1063" s="13">
        <v>1093</v>
      </c>
      <c r="B1063" s="16">
        <v>1093</v>
      </c>
      <c r="C1063" s="13" t="s">
        <v>3894</v>
      </c>
      <c r="D1063" s="6" t="s">
        <v>2264</v>
      </c>
      <c r="E1063" s="13" t="s">
        <v>2931</v>
      </c>
      <c r="F1063" s="13"/>
      <c r="G1063" s="17">
        <v>7.3</v>
      </c>
      <c r="H1063" s="16">
        <v>97</v>
      </c>
      <c r="I1063" s="18">
        <v>5.3949999999999996</v>
      </c>
      <c r="J1063" s="13"/>
      <c r="K1063" s="13"/>
      <c r="L1063" s="17">
        <f>G1063-J1063</f>
        <v>7.3</v>
      </c>
      <c r="M1063" s="18">
        <f>L1063*(H1063*H1063)*0.7854/10000</f>
        <v>5.3945748779999994</v>
      </c>
      <c r="N1063" s="5"/>
      <c r="O1063" s="8" t="s">
        <v>19</v>
      </c>
    </row>
    <row r="1064" spans="1:15" s="14" customFormat="1" x14ac:dyDescent="0.25">
      <c r="A1064" s="13">
        <v>1094</v>
      </c>
      <c r="B1064" s="16">
        <v>1094</v>
      </c>
      <c r="C1064" s="13" t="s">
        <v>3895</v>
      </c>
      <c r="D1064" s="6">
        <v>5182</v>
      </c>
      <c r="E1064" s="13" t="s">
        <v>2931</v>
      </c>
      <c r="F1064" s="13"/>
      <c r="G1064" s="17">
        <v>11.6</v>
      </c>
      <c r="H1064" s="16">
        <v>110</v>
      </c>
      <c r="I1064" s="18">
        <v>11.023999999999999</v>
      </c>
      <c r="J1064" s="13"/>
      <c r="K1064" s="13"/>
      <c r="L1064" s="17">
        <f>G1064-J1064</f>
        <v>11.6</v>
      </c>
      <c r="M1064" s="18">
        <f>L1064*(H1064*H1064)*0.7854/10000</f>
        <v>11.023874399999999</v>
      </c>
      <c r="N1064" s="5" t="s">
        <v>1007</v>
      </c>
      <c r="O1064" s="8" t="s">
        <v>30</v>
      </c>
    </row>
    <row r="1065" spans="1:15" s="14" customFormat="1" x14ac:dyDescent="0.25">
      <c r="A1065" s="13">
        <v>1095</v>
      </c>
      <c r="B1065" s="16">
        <v>1095</v>
      </c>
      <c r="C1065" s="13" t="s">
        <v>3896</v>
      </c>
      <c r="D1065" s="6" t="s">
        <v>2269</v>
      </c>
      <c r="E1065" s="13" t="s">
        <v>2931</v>
      </c>
      <c r="F1065" s="13"/>
      <c r="G1065" s="17">
        <v>9.1999999999999993</v>
      </c>
      <c r="H1065" s="16">
        <v>97</v>
      </c>
      <c r="I1065" s="18">
        <v>6.7990000000000004</v>
      </c>
      <c r="J1065" s="13"/>
      <c r="K1065" s="13"/>
      <c r="L1065" s="17">
        <f>G1065-J1065</f>
        <v>9.1999999999999993</v>
      </c>
      <c r="M1065" s="18">
        <f>L1065*(H1065*H1065)*0.7854/10000</f>
        <v>6.7986423119999992</v>
      </c>
      <c r="N1065" s="5"/>
      <c r="O1065" s="8" t="s">
        <v>19</v>
      </c>
    </row>
    <row r="1066" spans="1:15" s="14" customFormat="1" x14ac:dyDescent="0.25">
      <c r="A1066" s="13">
        <v>1096</v>
      </c>
      <c r="B1066" s="16">
        <v>1096</v>
      </c>
      <c r="C1066" s="13" t="s">
        <v>3897</v>
      </c>
      <c r="D1066" s="6" t="s">
        <v>2272</v>
      </c>
      <c r="E1066" s="13" t="s">
        <v>2931</v>
      </c>
      <c r="F1066" s="13"/>
      <c r="G1066" s="17">
        <v>4.4000000000000004</v>
      </c>
      <c r="H1066" s="16">
        <v>71</v>
      </c>
      <c r="I1066" s="18">
        <v>1.742</v>
      </c>
      <c r="J1066" s="13"/>
      <c r="K1066" s="13"/>
      <c r="L1066" s="17">
        <f>G1066-J1066</f>
        <v>4.4000000000000004</v>
      </c>
      <c r="M1066" s="18">
        <f>L1066*(H1066*H1066)*0.7854/10000</f>
        <v>1.7420486159999999</v>
      </c>
      <c r="N1066" s="5"/>
      <c r="O1066" s="8" t="s">
        <v>19</v>
      </c>
    </row>
    <row r="1067" spans="1:15" s="14" customFormat="1" x14ac:dyDescent="0.25">
      <c r="A1067" s="13">
        <v>1097</v>
      </c>
      <c r="B1067" s="16">
        <v>1097</v>
      </c>
      <c r="C1067" s="13" t="s">
        <v>3898</v>
      </c>
      <c r="D1067" s="6">
        <v>1555</v>
      </c>
      <c r="E1067" s="13" t="s">
        <v>2931</v>
      </c>
      <c r="F1067" s="13"/>
      <c r="G1067" s="17">
        <v>10.199999999999999</v>
      </c>
      <c r="H1067" s="16">
        <v>56</v>
      </c>
      <c r="I1067" s="18">
        <v>2.512</v>
      </c>
      <c r="J1067" s="13"/>
      <c r="K1067" s="13"/>
      <c r="L1067" s="17">
        <f>G1067-J1067</f>
        <v>10.199999999999999</v>
      </c>
      <c r="M1067" s="18">
        <f>L1067*(H1067*H1067)*0.7854/10000</f>
        <v>2.5122746879999998</v>
      </c>
      <c r="N1067" s="5" t="s">
        <v>53</v>
      </c>
      <c r="O1067" s="8" t="s">
        <v>19</v>
      </c>
    </row>
    <row r="1068" spans="1:15" s="14" customFormat="1" x14ac:dyDescent="0.25">
      <c r="A1068" s="13">
        <v>1098</v>
      </c>
      <c r="B1068" s="16">
        <v>1098</v>
      </c>
      <c r="C1068" s="13" t="s">
        <v>3899</v>
      </c>
      <c r="D1068" s="6" t="s">
        <v>2277</v>
      </c>
      <c r="E1068" s="13" t="s">
        <v>2931</v>
      </c>
      <c r="F1068" s="13"/>
      <c r="G1068" s="17">
        <v>12</v>
      </c>
      <c r="H1068" s="16">
        <v>105</v>
      </c>
      <c r="I1068" s="18">
        <v>10.391</v>
      </c>
      <c r="J1068" s="13"/>
      <c r="K1068" s="13"/>
      <c r="L1068" s="17">
        <f>G1068-J1068</f>
        <v>12</v>
      </c>
      <c r="M1068" s="18">
        <f>L1068*(H1068*H1068)*0.7854/10000</f>
        <v>10.390841999999999</v>
      </c>
      <c r="N1068" s="5"/>
      <c r="O1068" s="8" t="s">
        <v>19</v>
      </c>
    </row>
    <row r="1069" spans="1:15" s="14" customFormat="1" x14ac:dyDescent="0.25">
      <c r="A1069" s="13">
        <v>1099</v>
      </c>
      <c r="B1069" s="16">
        <v>1099</v>
      </c>
      <c r="C1069" s="13" t="s">
        <v>3900</v>
      </c>
      <c r="D1069" s="6" t="s">
        <v>2280</v>
      </c>
      <c r="E1069" s="13" t="s">
        <v>2931</v>
      </c>
      <c r="F1069" s="13"/>
      <c r="G1069" s="17">
        <v>4.8</v>
      </c>
      <c r="H1069" s="16">
        <v>93</v>
      </c>
      <c r="I1069" s="18">
        <v>3.2610000000000001</v>
      </c>
      <c r="J1069" s="13"/>
      <c r="K1069" s="13"/>
      <c r="L1069" s="17">
        <f>G1069-J1069</f>
        <v>4.8</v>
      </c>
      <c r="M1069" s="18">
        <f>L1069*(H1069*H1069)*0.7854/10000</f>
        <v>3.2606038079999999</v>
      </c>
      <c r="N1069" s="5"/>
      <c r="O1069" s="8" t="s">
        <v>19</v>
      </c>
    </row>
    <row r="1070" spans="1:15" s="14" customFormat="1" x14ac:dyDescent="0.25">
      <c r="A1070" s="13">
        <v>1100</v>
      </c>
      <c r="B1070" s="16">
        <v>1100</v>
      </c>
      <c r="C1070" s="13" t="s">
        <v>3901</v>
      </c>
      <c r="D1070" s="6" t="s">
        <v>2283</v>
      </c>
      <c r="E1070" s="13" t="s">
        <v>2931</v>
      </c>
      <c r="F1070" s="13"/>
      <c r="G1070" s="17">
        <v>8.1999999999999993</v>
      </c>
      <c r="H1070" s="16">
        <v>98</v>
      </c>
      <c r="I1070" s="18">
        <v>6.1849999999999996</v>
      </c>
      <c r="J1070" s="13"/>
      <c r="K1070" s="13"/>
      <c r="L1070" s="17">
        <f>G1070-J1070</f>
        <v>8.1999999999999993</v>
      </c>
      <c r="M1070" s="18">
        <f>L1070*(H1070*H1070)*0.7854/10000</f>
        <v>6.185244911999999</v>
      </c>
      <c r="N1070" s="5"/>
      <c r="O1070" s="8" t="s">
        <v>19</v>
      </c>
    </row>
    <row r="1071" spans="1:15" s="14" customFormat="1" x14ac:dyDescent="0.25">
      <c r="A1071" s="13">
        <v>1101</v>
      </c>
      <c r="B1071" s="16">
        <v>1101</v>
      </c>
      <c r="C1071" s="13" t="s">
        <v>3902</v>
      </c>
      <c r="D1071" s="6" t="s">
        <v>2286</v>
      </c>
      <c r="E1071" s="13" t="s">
        <v>2931</v>
      </c>
      <c r="F1071" s="13"/>
      <c r="G1071" s="17">
        <v>12.8</v>
      </c>
      <c r="H1071" s="16">
        <v>95</v>
      </c>
      <c r="I1071" s="18">
        <v>9.0730000000000004</v>
      </c>
      <c r="J1071" s="13"/>
      <c r="K1071" s="13"/>
      <c r="L1071" s="17">
        <f>G1071-J1071</f>
        <v>12.8</v>
      </c>
      <c r="M1071" s="18">
        <f>L1071*(H1071*H1071)*0.7854/10000</f>
        <v>9.0729407999999996</v>
      </c>
      <c r="N1071" s="5" t="s">
        <v>157</v>
      </c>
      <c r="O1071" s="8" t="s">
        <v>19</v>
      </c>
    </row>
    <row r="1072" spans="1:15" s="14" customFormat="1" x14ac:dyDescent="0.25">
      <c r="A1072" s="13">
        <v>1102</v>
      </c>
      <c r="B1072" s="16">
        <v>1102</v>
      </c>
      <c r="C1072" s="13" t="s">
        <v>3903</v>
      </c>
      <c r="D1072" s="6" t="s">
        <v>2289</v>
      </c>
      <c r="E1072" s="13" t="s">
        <v>2931</v>
      </c>
      <c r="F1072" s="13"/>
      <c r="G1072" s="17">
        <v>5.0999999999999996</v>
      </c>
      <c r="H1072" s="16">
        <v>86</v>
      </c>
      <c r="I1072" s="18">
        <v>2.9620000000000002</v>
      </c>
      <c r="J1072" s="13"/>
      <c r="K1072" s="13"/>
      <c r="L1072" s="17">
        <f>G1072-J1072</f>
        <v>5.0999999999999996</v>
      </c>
      <c r="M1072" s="18">
        <f>L1072*(H1072*H1072)*0.7854/10000</f>
        <v>2.9624973839999997</v>
      </c>
      <c r="N1072" s="5" t="s">
        <v>35</v>
      </c>
      <c r="O1072" s="8" t="s">
        <v>19</v>
      </c>
    </row>
    <row r="1073" spans="1:15" s="14" customFormat="1" x14ac:dyDescent="0.25">
      <c r="A1073" s="13">
        <v>1104</v>
      </c>
      <c r="B1073" s="16">
        <v>1104</v>
      </c>
      <c r="C1073" s="13" t="s">
        <v>3904</v>
      </c>
      <c r="D1073" s="6">
        <v>4846</v>
      </c>
      <c r="E1073" s="13" t="s">
        <v>2931</v>
      </c>
      <c r="F1073" s="13"/>
      <c r="G1073" s="17">
        <v>8.6999999999999993</v>
      </c>
      <c r="H1073" s="16">
        <v>144</v>
      </c>
      <c r="I1073" s="18">
        <v>14.169</v>
      </c>
      <c r="J1073" s="13">
        <v>0.5</v>
      </c>
      <c r="K1073" s="13"/>
      <c r="L1073" s="17">
        <f>G1073-J1073</f>
        <v>8.1999999999999993</v>
      </c>
      <c r="M1073" s="18">
        <f>L1073*(H1073*H1073)*0.7854/10000</f>
        <v>13.354564607999997</v>
      </c>
      <c r="N1073" s="5"/>
      <c r="O1073" s="8" t="s">
        <v>30</v>
      </c>
    </row>
    <row r="1074" spans="1:15" s="14" customFormat="1" x14ac:dyDescent="0.25">
      <c r="A1074" s="13">
        <v>1105</v>
      </c>
      <c r="B1074" s="16">
        <v>1105</v>
      </c>
      <c r="C1074" s="13" t="s">
        <v>3905</v>
      </c>
      <c r="D1074" s="6" t="s">
        <v>2294</v>
      </c>
      <c r="E1074" s="13" t="s">
        <v>2931</v>
      </c>
      <c r="F1074" s="13"/>
      <c r="G1074" s="17">
        <v>10.6</v>
      </c>
      <c r="H1074" s="16">
        <v>106</v>
      </c>
      <c r="I1074" s="18">
        <v>9.3539999999999992</v>
      </c>
      <c r="J1074" s="13"/>
      <c r="K1074" s="13"/>
      <c r="L1074" s="17">
        <f>G1074-J1074</f>
        <v>10.6</v>
      </c>
      <c r="M1074" s="18">
        <f>L1074*(H1074*H1074)*0.7854/10000</f>
        <v>9.3542396639999996</v>
      </c>
      <c r="N1074" s="5"/>
      <c r="O1074" s="8" t="s">
        <v>19</v>
      </c>
    </row>
    <row r="1075" spans="1:15" s="14" customFormat="1" x14ac:dyDescent="0.25">
      <c r="A1075" s="13">
        <v>1106</v>
      </c>
      <c r="B1075" s="16">
        <v>1106</v>
      </c>
      <c r="C1075" s="13" t="s">
        <v>3906</v>
      </c>
      <c r="D1075" s="6">
        <v>5185</v>
      </c>
      <c r="E1075" s="13" t="s">
        <v>2931</v>
      </c>
      <c r="F1075" s="13"/>
      <c r="G1075" s="17">
        <v>10.199999999999999</v>
      </c>
      <c r="H1075" s="16">
        <v>107</v>
      </c>
      <c r="I1075" s="18">
        <v>9.1720000000000006</v>
      </c>
      <c r="J1075" s="13">
        <v>0.5</v>
      </c>
      <c r="K1075" s="13"/>
      <c r="L1075" s="17">
        <f>G1075-J1075</f>
        <v>9.6999999999999993</v>
      </c>
      <c r="M1075" s="18">
        <f>L1075*(H1075*H1075)*0.7854/10000</f>
        <v>8.7222832619999995</v>
      </c>
      <c r="N1075" s="5"/>
      <c r="O1075" s="8" t="s">
        <v>19</v>
      </c>
    </row>
    <row r="1076" spans="1:15" s="14" customFormat="1" x14ac:dyDescent="0.25">
      <c r="A1076" s="13">
        <v>1107</v>
      </c>
      <c r="B1076" s="16">
        <v>1107</v>
      </c>
      <c r="C1076" s="13" t="s">
        <v>3907</v>
      </c>
      <c r="D1076" s="6" t="s">
        <v>2299</v>
      </c>
      <c r="E1076" s="13" t="s">
        <v>2931</v>
      </c>
      <c r="F1076" s="13"/>
      <c r="G1076" s="17">
        <v>10.8</v>
      </c>
      <c r="H1076" s="16">
        <v>106</v>
      </c>
      <c r="I1076" s="18">
        <v>9.5310000000000006</v>
      </c>
      <c r="J1076" s="13"/>
      <c r="K1076" s="13"/>
      <c r="L1076" s="17">
        <f>G1076-J1076</f>
        <v>10.8</v>
      </c>
      <c r="M1076" s="18">
        <f>L1076*(H1076*H1076)*0.7854/10000</f>
        <v>9.530734751999999</v>
      </c>
      <c r="N1076" s="5"/>
      <c r="O1076" s="8" t="s">
        <v>30</v>
      </c>
    </row>
    <row r="1077" spans="1:15" s="14" customFormat="1" x14ac:dyDescent="0.25">
      <c r="A1077" s="13">
        <v>1108</v>
      </c>
      <c r="B1077" s="16">
        <v>1108</v>
      </c>
      <c r="C1077" s="13" t="s">
        <v>3908</v>
      </c>
      <c r="D1077" s="6" t="s">
        <v>2302</v>
      </c>
      <c r="E1077" s="13" t="s">
        <v>2931</v>
      </c>
      <c r="F1077" s="13"/>
      <c r="G1077" s="17">
        <v>7.2</v>
      </c>
      <c r="H1077" s="16">
        <v>100</v>
      </c>
      <c r="I1077" s="18">
        <v>5.6550000000000002</v>
      </c>
      <c r="J1077" s="13"/>
      <c r="K1077" s="13"/>
      <c r="L1077" s="17">
        <f>G1077-J1077</f>
        <v>7.2</v>
      </c>
      <c r="M1077" s="18">
        <f>L1077*(H1077*H1077)*0.7854/10000</f>
        <v>5.6548799999999995</v>
      </c>
      <c r="N1077" s="5"/>
      <c r="O1077" s="8" t="s">
        <v>19</v>
      </c>
    </row>
    <row r="1078" spans="1:15" s="14" customFormat="1" x14ac:dyDescent="0.25">
      <c r="A1078" s="13">
        <v>1109</v>
      </c>
      <c r="B1078" s="13">
        <v>1109</v>
      </c>
      <c r="C1078" s="13" t="s">
        <v>3909</v>
      </c>
      <c r="D1078" s="6">
        <v>5186</v>
      </c>
      <c r="E1078" s="13" t="s">
        <v>2931</v>
      </c>
      <c r="F1078" s="13"/>
      <c r="G1078" s="17">
        <v>13.2</v>
      </c>
      <c r="H1078" s="16">
        <v>105</v>
      </c>
      <c r="I1078" s="18">
        <v>11.43</v>
      </c>
      <c r="J1078" s="13">
        <v>0.4</v>
      </c>
      <c r="K1078" s="13"/>
      <c r="L1078" s="17">
        <f>G1078-J1078</f>
        <v>12.799999999999999</v>
      </c>
      <c r="M1078" s="18">
        <f>L1078*(H1078*H1078)*0.7854/10000</f>
        <v>11.0835648</v>
      </c>
      <c r="N1078" s="5"/>
      <c r="O1078" s="8" t="s">
        <v>19</v>
      </c>
    </row>
    <row r="1079" spans="1:15" s="14" customFormat="1" x14ac:dyDescent="0.25">
      <c r="A1079" s="13">
        <v>1110</v>
      </c>
      <c r="B1079" s="16">
        <v>1110</v>
      </c>
      <c r="C1079" s="13" t="s">
        <v>3910</v>
      </c>
      <c r="D1079" s="6" t="s">
        <v>2307</v>
      </c>
      <c r="E1079" s="13" t="s">
        <v>2931</v>
      </c>
      <c r="F1079" s="13"/>
      <c r="G1079" s="17">
        <v>4.3</v>
      </c>
      <c r="H1079" s="16">
        <v>101</v>
      </c>
      <c r="I1079" s="18">
        <v>3.4449999999999998</v>
      </c>
      <c r="J1079" s="13"/>
      <c r="K1079" s="13"/>
      <c r="L1079" s="17">
        <f>G1079-J1079</f>
        <v>4.3</v>
      </c>
      <c r="M1079" s="18">
        <f>L1079*(H1079*H1079)*0.7854/10000</f>
        <v>3.4451021219999993</v>
      </c>
      <c r="N1079" s="5"/>
      <c r="O1079" s="8" t="s">
        <v>30</v>
      </c>
    </row>
    <row r="1080" spans="1:15" s="14" customFormat="1" x14ac:dyDescent="0.25">
      <c r="A1080" s="13">
        <v>1111</v>
      </c>
      <c r="B1080" s="16">
        <v>1111</v>
      </c>
      <c r="C1080" s="13" t="s">
        <v>3911</v>
      </c>
      <c r="D1080" s="6" t="s">
        <v>2310</v>
      </c>
      <c r="E1080" s="13" t="s">
        <v>2931</v>
      </c>
      <c r="F1080" s="13"/>
      <c r="G1080" s="17">
        <v>11.9</v>
      </c>
      <c r="H1080" s="16">
        <v>92</v>
      </c>
      <c r="I1080" s="18">
        <v>7.9109999999999996</v>
      </c>
      <c r="J1080" s="13"/>
      <c r="K1080" s="13"/>
      <c r="L1080" s="17">
        <f>G1080-J1080</f>
        <v>11.9</v>
      </c>
      <c r="M1080" s="18">
        <f>L1080*(H1080*H1080)*0.7854/10000</f>
        <v>7.9106744640000004</v>
      </c>
      <c r="N1080" s="5" t="s">
        <v>1007</v>
      </c>
      <c r="O1080" s="8" t="s">
        <v>19</v>
      </c>
    </row>
    <row r="1081" spans="1:15" s="14" customFormat="1" x14ac:dyDescent="0.25">
      <c r="A1081" s="13">
        <v>1112</v>
      </c>
      <c r="B1081" s="16">
        <v>1112</v>
      </c>
      <c r="C1081" s="13" t="s">
        <v>3912</v>
      </c>
      <c r="D1081" s="6">
        <v>5187</v>
      </c>
      <c r="E1081" s="13" t="s">
        <v>2931</v>
      </c>
      <c r="F1081" s="13"/>
      <c r="G1081" s="17">
        <v>10.8</v>
      </c>
      <c r="H1081" s="16">
        <v>95</v>
      </c>
      <c r="I1081" s="18">
        <v>7.6550000000000002</v>
      </c>
      <c r="J1081" s="13"/>
      <c r="K1081" s="13"/>
      <c r="L1081" s="17">
        <f>G1081-J1081</f>
        <v>10.8</v>
      </c>
      <c r="M1081" s="18">
        <f>L1081*(H1081*H1081)*0.7854/10000</f>
        <v>7.655293799999999</v>
      </c>
      <c r="N1081" s="5"/>
      <c r="O1081" s="8" t="s">
        <v>19</v>
      </c>
    </row>
    <row r="1082" spans="1:15" s="14" customFormat="1" x14ac:dyDescent="0.25">
      <c r="A1082" s="13">
        <v>1113</v>
      </c>
      <c r="B1082" s="16">
        <v>1113</v>
      </c>
      <c r="C1082" s="13" t="s">
        <v>3913</v>
      </c>
      <c r="D1082" s="6">
        <v>4848</v>
      </c>
      <c r="E1082" s="13" t="s">
        <v>2931</v>
      </c>
      <c r="F1082" s="13"/>
      <c r="G1082" s="17">
        <v>8.6</v>
      </c>
      <c r="H1082" s="16">
        <v>98</v>
      </c>
      <c r="I1082" s="18">
        <v>6.4870000000000001</v>
      </c>
      <c r="J1082" s="13"/>
      <c r="K1082" s="13"/>
      <c r="L1082" s="17">
        <f>G1082-J1082</f>
        <v>8.6</v>
      </c>
      <c r="M1082" s="18">
        <f>L1082*(H1082*H1082)*0.7854/10000</f>
        <v>6.486964175999999</v>
      </c>
      <c r="N1082" s="5"/>
      <c r="O1082" s="8" t="s">
        <v>19</v>
      </c>
    </row>
    <row r="1083" spans="1:15" s="14" customFormat="1" x14ac:dyDescent="0.25">
      <c r="A1083" s="13">
        <v>1114</v>
      </c>
      <c r="B1083" s="16">
        <v>1114</v>
      </c>
      <c r="C1083" s="13" t="s">
        <v>3914</v>
      </c>
      <c r="D1083" s="6" t="s">
        <v>2317</v>
      </c>
      <c r="E1083" s="13" t="s">
        <v>2931</v>
      </c>
      <c r="F1083" s="13"/>
      <c r="G1083" s="17">
        <v>7.6</v>
      </c>
      <c r="H1083" s="16">
        <v>90</v>
      </c>
      <c r="I1083" s="18">
        <v>4.835</v>
      </c>
      <c r="J1083" s="13"/>
      <c r="K1083" s="13"/>
      <c r="L1083" s="17">
        <f>G1083-J1083</f>
        <v>7.6</v>
      </c>
      <c r="M1083" s="18">
        <f>L1083*(H1083*H1083)*0.7854/10000</f>
        <v>4.8349224</v>
      </c>
      <c r="N1083" s="5"/>
      <c r="O1083" s="8" t="s">
        <v>19</v>
      </c>
    </row>
    <row r="1084" spans="1:15" s="14" customFormat="1" x14ac:dyDescent="0.25">
      <c r="A1084" s="13">
        <v>1115</v>
      </c>
      <c r="B1084" s="16">
        <v>1115</v>
      </c>
      <c r="C1084" s="13" t="s">
        <v>3915</v>
      </c>
      <c r="D1084" s="6">
        <v>5188</v>
      </c>
      <c r="E1084" s="13" t="s">
        <v>2931</v>
      </c>
      <c r="F1084" s="13"/>
      <c r="G1084" s="17">
        <v>9.3000000000000007</v>
      </c>
      <c r="H1084" s="16">
        <v>109</v>
      </c>
      <c r="I1084" s="18">
        <v>8.6780000000000008</v>
      </c>
      <c r="J1084" s="13">
        <v>0.3</v>
      </c>
      <c r="K1084" s="13"/>
      <c r="L1084" s="17">
        <f>G1084-J1084</f>
        <v>9</v>
      </c>
      <c r="M1084" s="18">
        <f>L1084*(H1084*H1084)*0.7854/10000</f>
        <v>8.3982036600000001</v>
      </c>
      <c r="N1084" s="5"/>
      <c r="O1084" s="8" t="s">
        <v>19</v>
      </c>
    </row>
    <row r="1085" spans="1:15" s="14" customFormat="1" x14ac:dyDescent="0.25">
      <c r="A1085" s="13">
        <v>1116</v>
      </c>
      <c r="B1085" s="16">
        <v>1116</v>
      </c>
      <c r="C1085" s="13" t="s">
        <v>3916</v>
      </c>
      <c r="D1085" s="6" t="s">
        <v>2322</v>
      </c>
      <c r="E1085" s="13" t="s">
        <v>2931</v>
      </c>
      <c r="F1085" s="13"/>
      <c r="G1085" s="17">
        <v>9.8000000000000007</v>
      </c>
      <c r="H1085" s="16">
        <v>85</v>
      </c>
      <c r="I1085" s="18">
        <v>5.5609999999999999</v>
      </c>
      <c r="J1085" s="13"/>
      <c r="K1085" s="13"/>
      <c r="L1085" s="17">
        <f>G1085-J1085</f>
        <v>9.8000000000000007</v>
      </c>
      <c r="M1085" s="18">
        <f>L1085*(H1085*H1085)*0.7854/10000</f>
        <v>5.5610246999999999</v>
      </c>
      <c r="N1085" s="5" t="s">
        <v>35</v>
      </c>
      <c r="O1085" s="8" t="s">
        <v>19</v>
      </c>
    </row>
    <row r="1086" spans="1:15" s="14" customFormat="1" x14ac:dyDescent="0.25">
      <c r="A1086" s="13">
        <v>1117</v>
      </c>
      <c r="B1086" s="16">
        <v>1117</v>
      </c>
      <c r="C1086" s="13" t="s">
        <v>3917</v>
      </c>
      <c r="D1086" s="6" t="s">
        <v>2325</v>
      </c>
      <c r="E1086" s="13" t="s">
        <v>2931</v>
      </c>
      <c r="F1086" s="13"/>
      <c r="G1086" s="17">
        <v>10.9</v>
      </c>
      <c r="H1086" s="16">
        <v>82</v>
      </c>
      <c r="I1086" s="18">
        <v>5.7560000000000002</v>
      </c>
      <c r="J1086" s="13">
        <v>0.5</v>
      </c>
      <c r="K1086" s="13"/>
      <c r="L1086" s="17">
        <f>G1086-J1086</f>
        <v>10.4</v>
      </c>
      <c r="M1086" s="18">
        <f>L1086*(H1086*H1086)*0.7854/10000</f>
        <v>5.4922707840000005</v>
      </c>
      <c r="N1086" s="5"/>
      <c r="O1086" s="8" t="s">
        <v>19</v>
      </c>
    </row>
    <row r="1087" spans="1:15" s="14" customFormat="1" x14ac:dyDescent="0.25">
      <c r="A1087" s="13">
        <v>1118</v>
      </c>
      <c r="B1087" s="16">
        <v>1118</v>
      </c>
      <c r="C1087" s="13" t="s">
        <v>3918</v>
      </c>
      <c r="D1087" s="6" t="s">
        <v>2328</v>
      </c>
      <c r="E1087" s="13" t="s">
        <v>2931</v>
      </c>
      <c r="F1087" s="13"/>
      <c r="G1087" s="17">
        <v>9.5</v>
      </c>
      <c r="H1087" s="16">
        <v>109</v>
      </c>
      <c r="I1087" s="18">
        <v>8.8650000000000002</v>
      </c>
      <c r="J1087" s="13">
        <v>0.5</v>
      </c>
      <c r="K1087" s="13"/>
      <c r="L1087" s="17">
        <f>G1087-J1087</f>
        <v>9</v>
      </c>
      <c r="M1087" s="18">
        <f>L1087*(H1087*H1087)*0.7854/10000</f>
        <v>8.3982036600000001</v>
      </c>
      <c r="N1087" s="5"/>
      <c r="O1087" s="8" t="s">
        <v>19</v>
      </c>
    </row>
    <row r="1088" spans="1:15" s="14" customFormat="1" x14ac:dyDescent="0.25">
      <c r="A1088" s="13">
        <v>1119</v>
      </c>
      <c r="B1088" s="16">
        <v>1119</v>
      </c>
      <c r="C1088" s="13" t="s">
        <v>3919</v>
      </c>
      <c r="D1088" s="6" t="s">
        <v>2331</v>
      </c>
      <c r="E1088" s="13" t="s">
        <v>2931</v>
      </c>
      <c r="F1088" s="13"/>
      <c r="G1088" s="17">
        <v>7.9</v>
      </c>
      <c r="H1088" s="16">
        <v>74</v>
      </c>
      <c r="I1088" s="18">
        <v>3.3980000000000001</v>
      </c>
      <c r="J1088" s="13"/>
      <c r="K1088" s="13"/>
      <c r="L1088" s="17">
        <f>G1088-J1088</f>
        <v>7.9</v>
      </c>
      <c r="M1088" s="18">
        <f>L1088*(H1088*H1088)*0.7854/10000</f>
        <v>3.3976718160000003</v>
      </c>
      <c r="N1088" s="5"/>
      <c r="O1088" s="8" t="s">
        <v>30</v>
      </c>
    </row>
    <row r="1089" spans="1:15" s="14" customFormat="1" x14ac:dyDescent="0.25">
      <c r="A1089" s="13">
        <v>1120</v>
      </c>
      <c r="B1089" s="16">
        <v>1120</v>
      </c>
      <c r="C1089" s="13" t="s">
        <v>3920</v>
      </c>
      <c r="D1089" s="6" t="s">
        <v>2334</v>
      </c>
      <c r="E1089" s="13" t="s">
        <v>2931</v>
      </c>
      <c r="F1089" s="13"/>
      <c r="G1089" s="17">
        <v>4.5999999999999996</v>
      </c>
      <c r="H1089" s="16">
        <v>105</v>
      </c>
      <c r="I1089" s="18">
        <v>3.9830000000000001</v>
      </c>
      <c r="J1089" s="13"/>
      <c r="K1089" s="13"/>
      <c r="L1089" s="17">
        <f>G1089-J1089</f>
        <v>4.5999999999999996</v>
      </c>
      <c r="M1089" s="18">
        <f>L1089*(H1089*H1089)*0.7854/10000</f>
        <v>3.9831560999999995</v>
      </c>
      <c r="N1089" s="5"/>
      <c r="O1089" s="8" t="s">
        <v>19</v>
      </c>
    </row>
    <row r="1090" spans="1:15" s="14" customFormat="1" x14ac:dyDescent="0.25">
      <c r="A1090" s="13">
        <v>1121</v>
      </c>
      <c r="B1090" s="16">
        <v>1121</v>
      </c>
      <c r="C1090" s="13" t="s">
        <v>3921</v>
      </c>
      <c r="D1090" s="6">
        <v>4850</v>
      </c>
      <c r="E1090" s="13" t="s">
        <v>2931</v>
      </c>
      <c r="F1090" s="13"/>
      <c r="G1090" s="17">
        <v>11</v>
      </c>
      <c r="H1090" s="16">
        <v>99</v>
      </c>
      <c r="I1090" s="18">
        <v>8.4670000000000005</v>
      </c>
      <c r="J1090" s="13"/>
      <c r="K1090" s="13"/>
      <c r="L1090" s="17">
        <f>G1090-J1090</f>
        <v>11</v>
      </c>
      <c r="M1090" s="18">
        <f>L1090*(H1090*H1090)*0.7854/10000</f>
        <v>8.4674759399999999</v>
      </c>
      <c r="N1090" s="5"/>
      <c r="O1090" s="8" t="s">
        <v>19</v>
      </c>
    </row>
    <row r="1091" spans="1:15" s="14" customFormat="1" x14ac:dyDescent="0.25">
      <c r="A1091" s="13">
        <v>1122</v>
      </c>
      <c r="B1091" s="16">
        <v>1122</v>
      </c>
      <c r="C1091" s="13" t="s">
        <v>3922</v>
      </c>
      <c r="D1091" s="6">
        <v>5190</v>
      </c>
      <c r="E1091" s="13" t="s">
        <v>2931</v>
      </c>
      <c r="F1091" s="13"/>
      <c r="G1091" s="17">
        <v>9.5</v>
      </c>
      <c r="H1091" s="16">
        <v>97</v>
      </c>
      <c r="I1091" s="18">
        <v>7.02</v>
      </c>
      <c r="J1091" s="13"/>
      <c r="K1091" s="13"/>
      <c r="L1091" s="17">
        <f>G1091-J1091</f>
        <v>9.5</v>
      </c>
      <c r="M1091" s="18">
        <f>L1091*(H1091*H1091)*0.7854/10000</f>
        <v>7.0203371700000003</v>
      </c>
      <c r="N1091" s="5" t="s">
        <v>21</v>
      </c>
      <c r="O1091" s="8" t="s">
        <v>30</v>
      </c>
    </row>
    <row r="1092" spans="1:15" s="14" customFormat="1" x14ac:dyDescent="0.25">
      <c r="A1092" s="13">
        <v>1123</v>
      </c>
      <c r="B1092" s="16">
        <v>1123</v>
      </c>
      <c r="C1092" s="13" t="s">
        <v>3923</v>
      </c>
      <c r="D1092" s="6" t="s">
        <v>2341</v>
      </c>
      <c r="E1092" s="13" t="s">
        <v>2931</v>
      </c>
      <c r="F1092" s="13"/>
      <c r="G1092" s="17">
        <v>9.9</v>
      </c>
      <c r="H1092" s="16">
        <v>102</v>
      </c>
      <c r="I1092" s="18">
        <v>8.09</v>
      </c>
      <c r="J1092" s="13">
        <v>0.3</v>
      </c>
      <c r="K1092" s="13"/>
      <c r="L1092" s="17">
        <f>G1092-J1092</f>
        <v>9.6</v>
      </c>
      <c r="M1092" s="18">
        <f>L1092*(H1092*H1092)*0.7854/10000</f>
        <v>7.8444495359999999</v>
      </c>
      <c r="N1092" s="5"/>
      <c r="O1092" s="8" t="s">
        <v>19</v>
      </c>
    </row>
    <row r="1093" spans="1:15" s="14" customFormat="1" x14ac:dyDescent="0.25">
      <c r="A1093" s="13">
        <v>1124</v>
      </c>
      <c r="B1093" s="16">
        <v>1124</v>
      </c>
      <c r="C1093" s="13" t="s">
        <v>3924</v>
      </c>
      <c r="D1093" s="6" t="s">
        <v>2344</v>
      </c>
      <c r="E1093" s="13" t="s">
        <v>2931</v>
      </c>
      <c r="F1093" s="13"/>
      <c r="G1093" s="17">
        <v>4.3</v>
      </c>
      <c r="H1093" s="16">
        <v>100</v>
      </c>
      <c r="I1093" s="18">
        <v>3.3769999999999998</v>
      </c>
      <c r="J1093" s="13">
        <v>0.3</v>
      </c>
      <c r="K1093" s="13"/>
      <c r="L1093" s="17">
        <f>G1093-J1093</f>
        <v>4</v>
      </c>
      <c r="M1093" s="18">
        <f>L1093*(H1093*H1093)*0.7854/10000</f>
        <v>3.1415999999999999</v>
      </c>
      <c r="N1093" s="5"/>
      <c r="O1093" s="8" t="s">
        <v>19</v>
      </c>
    </row>
    <row r="1094" spans="1:15" s="14" customFormat="1" x14ac:dyDescent="0.25">
      <c r="A1094" s="13">
        <v>1125</v>
      </c>
      <c r="B1094" s="16">
        <v>1125</v>
      </c>
      <c r="C1094" s="13" t="s">
        <v>3925</v>
      </c>
      <c r="D1094" s="6">
        <v>4863</v>
      </c>
      <c r="E1094" s="13" t="s">
        <v>2931</v>
      </c>
      <c r="F1094" s="13"/>
      <c r="G1094" s="17">
        <v>8.5</v>
      </c>
      <c r="H1094" s="16">
        <v>82</v>
      </c>
      <c r="I1094" s="18">
        <v>4.4889999999999999</v>
      </c>
      <c r="J1094" s="13">
        <v>0.5</v>
      </c>
      <c r="K1094" s="13"/>
      <c r="L1094" s="17">
        <f>G1094-J1094</f>
        <v>8</v>
      </c>
      <c r="M1094" s="18">
        <f>L1094*(H1094*H1094)*0.7854/10000</f>
        <v>4.2248236800000001</v>
      </c>
      <c r="N1094" s="5" t="s">
        <v>1007</v>
      </c>
      <c r="O1094" s="8" t="s">
        <v>30</v>
      </c>
    </row>
    <row r="1095" spans="1:15" s="14" customFormat="1" x14ac:dyDescent="0.25">
      <c r="A1095" s="13">
        <v>1126</v>
      </c>
      <c r="B1095" s="16">
        <v>1126</v>
      </c>
      <c r="C1095" s="13" t="s">
        <v>3926</v>
      </c>
      <c r="D1095" s="6" t="s">
        <v>2349</v>
      </c>
      <c r="E1095" s="13" t="s">
        <v>2931</v>
      </c>
      <c r="F1095" s="13"/>
      <c r="G1095" s="17">
        <v>10.4</v>
      </c>
      <c r="H1095" s="16">
        <v>77</v>
      </c>
      <c r="I1095" s="18">
        <v>4.843</v>
      </c>
      <c r="J1095" s="13"/>
      <c r="K1095" s="13"/>
      <c r="L1095" s="17">
        <f>G1095-J1095</f>
        <v>10.4</v>
      </c>
      <c r="M1095" s="18">
        <f>L1095*(H1095*H1095)*0.7854/10000</f>
        <v>4.8429020639999996</v>
      </c>
      <c r="N1095" s="5" t="s">
        <v>21</v>
      </c>
      <c r="O1095" s="8" t="s">
        <v>19</v>
      </c>
    </row>
    <row r="1096" spans="1:15" s="14" customFormat="1" x14ac:dyDescent="0.25">
      <c r="A1096" s="13">
        <v>1127</v>
      </c>
      <c r="B1096" s="16">
        <v>1127</v>
      </c>
      <c r="C1096" s="13" t="s">
        <v>3927</v>
      </c>
      <c r="D1096" s="6">
        <v>4731</v>
      </c>
      <c r="E1096" s="13" t="s">
        <v>2931</v>
      </c>
      <c r="F1096" s="13"/>
      <c r="G1096" s="17">
        <v>13.4</v>
      </c>
      <c r="H1096" s="16">
        <v>80</v>
      </c>
      <c r="I1096" s="18">
        <v>6.7359999999999998</v>
      </c>
      <c r="J1096" s="13">
        <v>0.5</v>
      </c>
      <c r="K1096" s="13"/>
      <c r="L1096" s="17">
        <f>G1096-J1096</f>
        <v>12.9</v>
      </c>
      <c r="M1096" s="18">
        <f>L1096*(H1096*H1096)*0.7854/10000</f>
        <v>6.4842623999999995</v>
      </c>
      <c r="N1096" s="5"/>
      <c r="O1096" s="8" t="s">
        <v>19</v>
      </c>
    </row>
    <row r="1097" spans="1:15" s="14" customFormat="1" x14ac:dyDescent="0.25">
      <c r="A1097" s="13">
        <v>1128</v>
      </c>
      <c r="B1097" s="16">
        <v>1128</v>
      </c>
      <c r="C1097" s="13" t="s">
        <v>3928</v>
      </c>
      <c r="D1097" s="6" t="s">
        <v>2354</v>
      </c>
      <c r="E1097" s="13" t="s">
        <v>2931</v>
      </c>
      <c r="F1097" s="13"/>
      <c r="G1097" s="17">
        <v>6</v>
      </c>
      <c r="H1097" s="16">
        <v>75</v>
      </c>
      <c r="I1097" s="18">
        <v>2.6509999999999998</v>
      </c>
      <c r="J1097" s="13">
        <v>0.3</v>
      </c>
      <c r="K1097" s="13"/>
      <c r="L1097" s="17">
        <f>G1097-J1097</f>
        <v>5.7</v>
      </c>
      <c r="M1097" s="18">
        <f>L1097*(H1097*H1097)*0.7854/10000</f>
        <v>2.5181887500000002</v>
      </c>
      <c r="N1097" s="5"/>
      <c r="O1097" s="8" t="s">
        <v>19</v>
      </c>
    </row>
    <row r="1098" spans="1:15" s="14" customFormat="1" x14ac:dyDescent="0.25">
      <c r="A1098" s="13">
        <v>1129</v>
      </c>
      <c r="B1098" s="16">
        <v>1129</v>
      </c>
      <c r="C1098" s="13" t="s">
        <v>3929</v>
      </c>
      <c r="D1098" s="6">
        <v>4864</v>
      </c>
      <c r="E1098" s="13" t="s">
        <v>2931</v>
      </c>
      <c r="F1098" s="13"/>
      <c r="G1098" s="17">
        <v>11.5</v>
      </c>
      <c r="H1098" s="16">
        <v>107</v>
      </c>
      <c r="I1098" s="18">
        <v>10.340999999999999</v>
      </c>
      <c r="J1098" s="13"/>
      <c r="K1098" s="13"/>
      <c r="L1098" s="17">
        <f>G1098-J1098</f>
        <v>11.5</v>
      </c>
      <c r="M1098" s="18">
        <f>L1098*(H1098*H1098)*0.7854/10000</f>
        <v>10.34085129</v>
      </c>
      <c r="N1098" s="5"/>
      <c r="O1098" s="8" t="s">
        <v>19</v>
      </c>
    </row>
    <row r="1099" spans="1:15" s="14" customFormat="1" x14ac:dyDescent="0.25">
      <c r="A1099" s="13">
        <v>1130</v>
      </c>
      <c r="B1099" s="16">
        <v>1130</v>
      </c>
      <c r="C1099" s="13" t="s">
        <v>3930</v>
      </c>
      <c r="D1099" s="6" t="s">
        <v>2359</v>
      </c>
      <c r="E1099" s="13" t="s">
        <v>2931</v>
      </c>
      <c r="F1099" s="13"/>
      <c r="G1099" s="17">
        <v>7.3</v>
      </c>
      <c r="H1099" s="16">
        <v>96</v>
      </c>
      <c r="I1099" s="18">
        <v>5.2839999999999998</v>
      </c>
      <c r="J1099" s="13"/>
      <c r="K1099" s="13"/>
      <c r="L1099" s="17">
        <f>G1099-J1099</f>
        <v>7.3</v>
      </c>
      <c r="M1099" s="18">
        <f>L1099*(H1099*H1099)*0.7854/10000</f>
        <v>5.2839198720000002</v>
      </c>
      <c r="N1099" s="5" t="s">
        <v>53</v>
      </c>
      <c r="O1099" s="8" t="s">
        <v>19</v>
      </c>
    </row>
    <row r="1100" spans="1:15" s="14" customFormat="1" x14ac:dyDescent="0.25">
      <c r="A1100" s="13">
        <v>1131</v>
      </c>
      <c r="B1100" s="16">
        <v>1131</v>
      </c>
      <c r="C1100" s="13" t="s">
        <v>3931</v>
      </c>
      <c r="D1100" s="6" t="s">
        <v>2362</v>
      </c>
      <c r="E1100" s="13" t="s">
        <v>2931</v>
      </c>
      <c r="F1100" s="13"/>
      <c r="G1100" s="17">
        <v>10.4</v>
      </c>
      <c r="H1100" s="16">
        <v>103</v>
      </c>
      <c r="I1100" s="18">
        <v>8.6660000000000004</v>
      </c>
      <c r="J1100" s="13"/>
      <c r="K1100" s="13"/>
      <c r="L1100" s="17">
        <f>G1100-J1100</f>
        <v>10.4</v>
      </c>
      <c r="M1100" s="18">
        <f>L1100*(H1100*H1100)*0.7854/10000</f>
        <v>8.6656009440000012</v>
      </c>
      <c r="N1100" s="5"/>
      <c r="O1100" s="8" t="s">
        <v>19</v>
      </c>
    </row>
    <row r="1101" spans="1:15" s="14" customFormat="1" x14ac:dyDescent="0.25">
      <c r="A1101" s="13">
        <v>1132</v>
      </c>
      <c r="B1101" s="16">
        <v>1132</v>
      </c>
      <c r="C1101" s="13" t="s">
        <v>3932</v>
      </c>
      <c r="D1101" s="6" t="s">
        <v>2365</v>
      </c>
      <c r="E1101" s="13" t="s">
        <v>2931</v>
      </c>
      <c r="F1101" s="13"/>
      <c r="G1101" s="17">
        <v>5.6</v>
      </c>
      <c r="H1101" s="16">
        <v>95</v>
      </c>
      <c r="I1101" s="18">
        <v>3.9689999999999999</v>
      </c>
      <c r="J1101" s="13"/>
      <c r="K1101" s="13"/>
      <c r="L1101" s="17">
        <f>G1101-J1101</f>
        <v>5.6</v>
      </c>
      <c r="M1101" s="18">
        <f>L1101*(H1101*H1101)*0.7854/10000</f>
        <v>3.9694116000000004</v>
      </c>
      <c r="N1101" s="5" t="s">
        <v>21</v>
      </c>
      <c r="O1101" s="8" t="s">
        <v>19</v>
      </c>
    </row>
    <row r="1102" spans="1:15" s="14" customFormat="1" x14ac:dyDescent="0.25">
      <c r="A1102" s="13">
        <v>1133</v>
      </c>
      <c r="B1102" s="16">
        <v>1133</v>
      </c>
      <c r="C1102" s="13" t="s">
        <v>3933</v>
      </c>
      <c r="D1102" s="6" t="s">
        <v>2368</v>
      </c>
      <c r="E1102" s="13" t="s">
        <v>2931</v>
      </c>
      <c r="F1102" s="13"/>
      <c r="G1102" s="17">
        <v>11.3</v>
      </c>
      <c r="H1102" s="16">
        <v>104</v>
      </c>
      <c r="I1102" s="18">
        <v>9.5990000000000002</v>
      </c>
      <c r="J1102" s="13"/>
      <c r="K1102" s="13"/>
      <c r="L1102" s="17">
        <f>G1102-J1102</f>
        <v>11.3</v>
      </c>
      <c r="M1102" s="18">
        <f>L1102*(H1102*H1102)*0.7854/10000</f>
        <v>9.5992216320000008</v>
      </c>
      <c r="N1102" s="5" t="s">
        <v>1007</v>
      </c>
      <c r="O1102" s="8" t="s">
        <v>19</v>
      </c>
    </row>
    <row r="1103" spans="1:15" s="14" customFormat="1" x14ac:dyDescent="0.25">
      <c r="A1103" s="13">
        <v>1134</v>
      </c>
      <c r="B1103" s="16">
        <v>1134</v>
      </c>
      <c r="C1103" s="13" t="s">
        <v>3934</v>
      </c>
      <c r="D1103" s="6" t="s">
        <v>2371</v>
      </c>
      <c r="E1103" s="13" t="s">
        <v>2931</v>
      </c>
      <c r="F1103" s="13"/>
      <c r="G1103" s="17">
        <v>7.6</v>
      </c>
      <c r="H1103" s="16">
        <v>90</v>
      </c>
      <c r="I1103" s="18">
        <v>4.835</v>
      </c>
      <c r="J1103" s="13">
        <v>0.3</v>
      </c>
      <c r="K1103" s="13"/>
      <c r="L1103" s="17">
        <f>G1103-J1103</f>
        <v>7.3</v>
      </c>
      <c r="M1103" s="18">
        <f>L1103*(H1103*H1103)*0.7854/10000</f>
        <v>4.6440701999999998</v>
      </c>
      <c r="N1103" s="5"/>
      <c r="O1103" s="8" t="s">
        <v>30</v>
      </c>
    </row>
    <row r="1104" spans="1:15" s="14" customFormat="1" x14ac:dyDescent="0.25">
      <c r="A1104" s="13">
        <v>1135</v>
      </c>
      <c r="B1104" s="16">
        <v>1135</v>
      </c>
      <c r="C1104" s="13" t="s">
        <v>3935</v>
      </c>
      <c r="D1104" s="6" t="s">
        <v>2374</v>
      </c>
      <c r="E1104" s="13" t="s">
        <v>2931</v>
      </c>
      <c r="F1104" s="13"/>
      <c r="G1104" s="17">
        <v>5.7</v>
      </c>
      <c r="H1104" s="16">
        <v>96</v>
      </c>
      <c r="I1104" s="18">
        <v>4.1260000000000003</v>
      </c>
      <c r="J1104" s="13"/>
      <c r="K1104" s="13"/>
      <c r="L1104" s="17">
        <f>G1104-J1104</f>
        <v>5.7</v>
      </c>
      <c r="M1104" s="18">
        <f>L1104*(H1104*H1104)*0.7854/10000</f>
        <v>4.1258004480000006</v>
      </c>
      <c r="N1104" s="5"/>
      <c r="O1104" s="8" t="s">
        <v>19</v>
      </c>
    </row>
    <row r="1105" spans="1:15" s="14" customFormat="1" x14ac:dyDescent="0.25">
      <c r="A1105" s="13">
        <v>1136</v>
      </c>
      <c r="B1105" s="16">
        <v>1136</v>
      </c>
      <c r="C1105" s="13" t="s">
        <v>3936</v>
      </c>
      <c r="D1105" s="6">
        <v>4866</v>
      </c>
      <c r="E1105" s="13" t="s">
        <v>2931</v>
      </c>
      <c r="F1105" s="13"/>
      <c r="G1105" s="17">
        <v>8.5</v>
      </c>
      <c r="H1105" s="16">
        <v>80</v>
      </c>
      <c r="I1105" s="18">
        <v>4.2729999999999997</v>
      </c>
      <c r="J1105" s="13"/>
      <c r="K1105" s="13"/>
      <c r="L1105" s="17">
        <f>G1105-J1105</f>
        <v>8.5</v>
      </c>
      <c r="M1105" s="18">
        <f>L1105*(H1105*H1105)*0.7854/10000</f>
        <v>4.2725759999999999</v>
      </c>
      <c r="N1105" s="5"/>
      <c r="O1105" s="8" t="s">
        <v>19</v>
      </c>
    </row>
    <row r="1106" spans="1:15" s="14" customFormat="1" x14ac:dyDescent="0.25">
      <c r="A1106" s="13">
        <v>1137</v>
      </c>
      <c r="B1106" s="16">
        <v>1137</v>
      </c>
      <c r="C1106" s="13" t="s">
        <v>3937</v>
      </c>
      <c r="D1106" s="6" t="s">
        <v>2379</v>
      </c>
      <c r="E1106" s="13" t="s">
        <v>2931</v>
      </c>
      <c r="F1106" s="13"/>
      <c r="G1106" s="17">
        <v>11.3</v>
      </c>
      <c r="H1106" s="16">
        <v>98</v>
      </c>
      <c r="I1106" s="18">
        <v>8.5239999999999991</v>
      </c>
      <c r="J1106" s="13"/>
      <c r="K1106" s="13"/>
      <c r="L1106" s="17">
        <f>G1106-J1106</f>
        <v>11.3</v>
      </c>
      <c r="M1106" s="18">
        <f>L1106*(H1106*H1106)*0.7854/10000</f>
        <v>8.5235692080000014</v>
      </c>
      <c r="N1106" s="5" t="s">
        <v>53</v>
      </c>
      <c r="O1106" s="8" t="s">
        <v>30</v>
      </c>
    </row>
    <row r="1107" spans="1:15" s="14" customFormat="1" x14ac:dyDescent="0.25">
      <c r="A1107" s="13">
        <v>1138</v>
      </c>
      <c r="B1107" s="16">
        <v>1138</v>
      </c>
      <c r="C1107" s="13" t="s">
        <v>3938</v>
      </c>
      <c r="D1107" s="6" t="s">
        <v>2382</v>
      </c>
      <c r="E1107" s="13" t="s">
        <v>2931</v>
      </c>
      <c r="F1107" s="13"/>
      <c r="G1107" s="17">
        <v>10.9</v>
      </c>
      <c r="H1107" s="16">
        <v>72</v>
      </c>
      <c r="I1107" s="18">
        <v>4.4379999999999997</v>
      </c>
      <c r="J1107" s="13"/>
      <c r="K1107" s="13"/>
      <c r="L1107" s="17">
        <f>G1107-J1107</f>
        <v>10.9</v>
      </c>
      <c r="M1107" s="18">
        <f>L1107*(H1107*H1107)*0.7854/10000</f>
        <v>4.4379498240000004</v>
      </c>
      <c r="N1107" s="5"/>
      <c r="O1107" s="8" t="s">
        <v>19</v>
      </c>
    </row>
    <row r="1108" spans="1:15" s="14" customFormat="1" x14ac:dyDescent="0.25">
      <c r="A1108" s="13">
        <v>1139</v>
      </c>
      <c r="B1108" s="16">
        <v>1139</v>
      </c>
      <c r="C1108" s="13" t="s">
        <v>3939</v>
      </c>
      <c r="D1108" s="6" t="s">
        <v>2385</v>
      </c>
      <c r="E1108" s="13" t="s">
        <v>2931</v>
      </c>
      <c r="F1108" s="13"/>
      <c r="G1108" s="17">
        <v>4.7</v>
      </c>
      <c r="H1108" s="16">
        <v>93</v>
      </c>
      <c r="I1108" s="18">
        <v>3.1930000000000001</v>
      </c>
      <c r="J1108" s="13"/>
      <c r="K1108" s="13"/>
      <c r="L1108" s="17">
        <f>G1108-J1108</f>
        <v>4.7</v>
      </c>
      <c r="M1108" s="18">
        <f>L1108*(H1108*H1108)*0.7854/10000</f>
        <v>3.1926745620000001</v>
      </c>
      <c r="N1108" s="5"/>
      <c r="O1108" s="8" t="s">
        <v>19</v>
      </c>
    </row>
    <row r="1109" spans="1:15" s="14" customFormat="1" x14ac:dyDescent="0.25">
      <c r="A1109" s="13">
        <v>1140</v>
      </c>
      <c r="B1109" s="16">
        <v>1140</v>
      </c>
      <c r="C1109" s="13" t="s">
        <v>3940</v>
      </c>
      <c r="D1109" s="6" t="s">
        <v>2388</v>
      </c>
      <c r="E1109" s="13" t="s">
        <v>2931</v>
      </c>
      <c r="F1109" s="13"/>
      <c r="G1109" s="17">
        <v>7.9</v>
      </c>
      <c r="H1109" s="16">
        <v>66</v>
      </c>
      <c r="I1109" s="18">
        <v>2.7029999999999998</v>
      </c>
      <c r="J1109" s="13"/>
      <c r="K1109" s="13"/>
      <c r="L1109" s="17">
        <f>G1109-J1109</f>
        <v>7.9</v>
      </c>
      <c r="M1109" s="18">
        <f>L1109*(H1109*H1109)*0.7854/10000</f>
        <v>2.7027498960000003</v>
      </c>
      <c r="N1109" s="5"/>
      <c r="O1109" s="8" t="s">
        <v>30</v>
      </c>
    </row>
    <row r="1110" spans="1:15" s="14" customFormat="1" x14ac:dyDescent="0.25">
      <c r="A1110" s="13">
        <v>1141</v>
      </c>
      <c r="B1110" s="16">
        <v>1141</v>
      </c>
      <c r="C1110" s="13" t="s">
        <v>3941</v>
      </c>
      <c r="D1110" s="6" t="s">
        <v>2391</v>
      </c>
      <c r="E1110" s="13" t="s">
        <v>2931</v>
      </c>
      <c r="F1110" s="13"/>
      <c r="G1110" s="17">
        <v>12</v>
      </c>
      <c r="H1110" s="16">
        <v>121</v>
      </c>
      <c r="I1110" s="18">
        <v>13.798999999999999</v>
      </c>
      <c r="J1110" s="13"/>
      <c r="K1110" s="13"/>
      <c r="L1110" s="17">
        <f>G1110-J1110</f>
        <v>12</v>
      </c>
      <c r="M1110" s="18">
        <f>L1110*(H1110*H1110)*0.7854/10000</f>
        <v>13.79884968</v>
      </c>
      <c r="N1110" s="5"/>
      <c r="O1110" s="8" t="s">
        <v>19</v>
      </c>
    </row>
    <row r="1111" spans="1:15" s="14" customFormat="1" x14ac:dyDescent="0.25">
      <c r="A1111" s="13">
        <v>1142</v>
      </c>
      <c r="B1111" s="16">
        <v>1142</v>
      </c>
      <c r="C1111" s="13" t="s">
        <v>3942</v>
      </c>
      <c r="D1111" s="6" t="s">
        <v>2394</v>
      </c>
      <c r="E1111" s="13" t="s">
        <v>2931</v>
      </c>
      <c r="F1111" s="13"/>
      <c r="G1111" s="17">
        <v>5.6</v>
      </c>
      <c r="H1111" s="16">
        <v>114</v>
      </c>
      <c r="I1111" s="18">
        <v>5.7160000000000002</v>
      </c>
      <c r="J1111" s="13"/>
      <c r="K1111" s="13"/>
      <c r="L1111" s="17">
        <f>G1111-J1111</f>
        <v>5.6</v>
      </c>
      <c r="M1111" s="18">
        <f>L1111*(H1111*H1111)*0.7854/10000</f>
        <v>5.7159527039999993</v>
      </c>
      <c r="N1111" s="5" t="s">
        <v>1007</v>
      </c>
      <c r="O1111" s="8" t="s">
        <v>19</v>
      </c>
    </row>
    <row r="1112" spans="1:15" s="14" customFormat="1" x14ac:dyDescent="0.25">
      <c r="A1112" s="13">
        <v>1143</v>
      </c>
      <c r="B1112" s="16">
        <v>1143</v>
      </c>
      <c r="C1112" s="13" t="s">
        <v>3943</v>
      </c>
      <c r="D1112" s="6" t="s">
        <v>2397</v>
      </c>
      <c r="E1112" s="13" t="s">
        <v>2931</v>
      </c>
      <c r="F1112" s="13"/>
      <c r="G1112" s="17">
        <v>10.6</v>
      </c>
      <c r="H1112" s="16">
        <v>105</v>
      </c>
      <c r="I1112" s="18">
        <v>9.1790000000000003</v>
      </c>
      <c r="J1112" s="13">
        <v>0.3</v>
      </c>
      <c r="K1112" s="13"/>
      <c r="L1112" s="17">
        <f>G1112-J1112</f>
        <v>10.299999999999999</v>
      </c>
      <c r="M1112" s="18">
        <f>L1112*(H1112*H1112)*0.7854/10000</f>
        <v>8.9188060499999988</v>
      </c>
      <c r="N1112" s="5"/>
      <c r="O1112" s="8" t="s">
        <v>19</v>
      </c>
    </row>
    <row r="1113" spans="1:15" s="14" customFormat="1" x14ac:dyDescent="0.25">
      <c r="A1113" s="13">
        <v>1144</v>
      </c>
      <c r="B1113" s="16">
        <v>1144</v>
      </c>
      <c r="C1113" s="13" t="s">
        <v>3944</v>
      </c>
      <c r="D1113" s="6" t="s">
        <v>2400</v>
      </c>
      <c r="E1113" s="13" t="s">
        <v>2931</v>
      </c>
      <c r="F1113" s="13"/>
      <c r="G1113" s="17">
        <v>4.4000000000000004</v>
      </c>
      <c r="H1113" s="16">
        <v>101</v>
      </c>
      <c r="I1113" s="18">
        <v>3.5249999999999999</v>
      </c>
      <c r="J1113" s="13">
        <v>0.5</v>
      </c>
      <c r="K1113" s="13"/>
      <c r="L1113" s="17">
        <f>G1113-J1113</f>
        <v>3.9000000000000004</v>
      </c>
      <c r="M1113" s="18">
        <f>L1113*(H1113*H1113)*0.7854/10000</f>
        <v>3.1246275059999999</v>
      </c>
      <c r="N1113" s="5"/>
      <c r="O1113" s="8" t="s">
        <v>19</v>
      </c>
    </row>
    <row r="1114" spans="1:15" s="14" customFormat="1" x14ac:dyDescent="0.25">
      <c r="A1114" s="13">
        <v>1145</v>
      </c>
      <c r="B1114" s="16">
        <v>1145</v>
      </c>
      <c r="C1114" s="13" t="s">
        <v>3945</v>
      </c>
      <c r="D1114" s="6" t="s">
        <v>2403</v>
      </c>
      <c r="E1114" s="13" t="s">
        <v>2931</v>
      </c>
      <c r="F1114" s="13"/>
      <c r="G1114" s="17">
        <v>11.8</v>
      </c>
      <c r="H1114" s="16">
        <v>111</v>
      </c>
      <c r="I1114" s="18">
        <v>11.419</v>
      </c>
      <c r="J1114" s="13">
        <v>0.5</v>
      </c>
      <c r="K1114" s="13"/>
      <c r="L1114" s="17">
        <f>G1114-J1114</f>
        <v>11.3</v>
      </c>
      <c r="M1114" s="18">
        <f>L1114*(H1114*H1114)*0.7854/10000</f>
        <v>10.934912142000002</v>
      </c>
      <c r="N1114" s="5" t="s">
        <v>1007</v>
      </c>
      <c r="O1114" s="8" t="s">
        <v>19</v>
      </c>
    </row>
    <row r="1115" spans="1:15" s="14" customFormat="1" x14ac:dyDescent="0.25">
      <c r="A1115" s="13">
        <v>1146</v>
      </c>
      <c r="B1115" s="16">
        <v>1146</v>
      </c>
      <c r="C1115" s="13" t="s">
        <v>3946</v>
      </c>
      <c r="D1115" s="6" t="s">
        <v>2406</v>
      </c>
      <c r="E1115" s="13" t="s">
        <v>2931</v>
      </c>
      <c r="F1115" s="13"/>
      <c r="G1115" s="17">
        <v>7.6</v>
      </c>
      <c r="H1115" s="16">
        <v>111</v>
      </c>
      <c r="I1115" s="18">
        <v>7.3540000000000001</v>
      </c>
      <c r="J1115" s="13">
        <v>0.3</v>
      </c>
      <c r="K1115" s="13"/>
      <c r="L1115" s="17">
        <f>G1115-J1115</f>
        <v>7.3</v>
      </c>
      <c r="M1115" s="18">
        <f>L1115*(H1115*H1115)*0.7854/10000</f>
        <v>7.0641467820000008</v>
      </c>
      <c r="N1115" s="5" t="s">
        <v>1007</v>
      </c>
      <c r="O1115" s="8" t="s">
        <v>19</v>
      </c>
    </row>
    <row r="1116" spans="1:15" s="14" customFormat="1" x14ac:dyDescent="0.25">
      <c r="A1116" s="13">
        <v>1147</v>
      </c>
      <c r="B1116" s="16">
        <v>1147</v>
      </c>
      <c r="C1116" s="13" t="s">
        <v>3947</v>
      </c>
      <c r="D1116" s="6">
        <v>4856</v>
      </c>
      <c r="E1116" s="13" t="s">
        <v>2931</v>
      </c>
      <c r="F1116" s="13"/>
      <c r="G1116" s="17">
        <v>12</v>
      </c>
      <c r="H1116" s="16">
        <v>100</v>
      </c>
      <c r="I1116" s="18">
        <v>9.4250000000000007</v>
      </c>
      <c r="J1116" s="13">
        <v>0.3</v>
      </c>
      <c r="K1116" s="13"/>
      <c r="L1116" s="17">
        <f>G1116-J1116</f>
        <v>11.7</v>
      </c>
      <c r="M1116" s="18">
        <f>L1116*(H1116*H1116)*0.7854/10000</f>
        <v>9.1891800000000003</v>
      </c>
      <c r="N1116" s="5"/>
      <c r="O1116" s="8" t="s">
        <v>19</v>
      </c>
    </row>
    <row r="1117" spans="1:15" s="14" customFormat="1" x14ac:dyDescent="0.25">
      <c r="A1117" s="13">
        <v>1148</v>
      </c>
      <c r="B1117" s="16">
        <v>1148</v>
      </c>
      <c r="C1117" s="13" t="s">
        <v>3948</v>
      </c>
      <c r="D1117" s="6">
        <v>5105</v>
      </c>
      <c r="E1117" s="13" t="s">
        <v>2931</v>
      </c>
      <c r="F1117" s="13"/>
      <c r="G1117" s="17">
        <v>11.7</v>
      </c>
      <c r="H1117" s="16">
        <v>92</v>
      </c>
      <c r="I1117" s="18">
        <v>7.7779999999999996</v>
      </c>
      <c r="J1117" s="13"/>
      <c r="K1117" s="13"/>
      <c r="L1117" s="17">
        <f>G1117-J1117</f>
        <v>11.7</v>
      </c>
      <c r="M1117" s="18">
        <f>L1117*(H1117*H1117)*0.7854/10000</f>
        <v>7.7777219519999985</v>
      </c>
      <c r="N1117" s="5"/>
      <c r="O1117" s="8" t="s">
        <v>19</v>
      </c>
    </row>
    <row r="1118" spans="1:15" s="14" customFormat="1" x14ac:dyDescent="0.25">
      <c r="A1118" s="13">
        <v>1149</v>
      </c>
      <c r="B1118" s="16">
        <v>1149</v>
      </c>
      <c r="C1118" s="13" t="s">
        <v>3949</v>
      </c>
      <c r="D1118" s="6">
        <v>4857</v>
      </c>
      <c r="E1118" s="13" t="s">
        <v>2931</v>
      </c>
      <c r="F1118" s="13"/>
      <c r="G1118" s="17">
        <v>13</v>
      </c>
      <c r="H1118" s="16">
        <v>102</v>
      </c>
      <c r="I1118" s="18">
        <v>10.622999999999999</v>
      </c>
      <c r="J1118" s="13"/>
      <c r="K1118" s="13"/>
      <c r="L1118" s="17">
        <f>G1118-J1118</f>
        <v>13</v>
      </c>
      <c r="M1118" s="18">
        <f>L1118*(H1118*H1118)*0.7854/10000</f>
        <v>10.622692079999998</v>
      </c>
      <c r="N1118" s="5"/>
      <c r="O1118" s="8" t="s">
        <v>30</v>
      </c>
    </row>
    <row r="1119" spans="1:15" s="14" customFormat="1" x14ac:dyDescent="0.25">
      <c r="A1119" s="13">
        <v>1150</v>
      </c>
      <c r="B1119" s="16">
        <v>1150</v>
      </c>
      <c r="C1119" s="13" t="s">
        <v>3950</v>
      </c>
      <c r="D1119" s="6">
        <v>5106</v>
      </c>
      <c r="E1119" s="13" t="s">
        <v>2931</v>
      </c>
      <c r="F1119" s="13"/>
      <c r="G1119" s="17">
        <v>10.199999999999999</v>
      </c>
      <c r="H1119" s="16">
        <v>113</v>
      </c>
      <c r="I1119" s="18">
        <v>10.228999999999999</v>
      </c>
      <c r="J1119" s="13"/>
      <c r="K1119" s="13"/>
      <c r="L1119" s="17">
        <f>G1119-J1119</f>
        <v>10.199999999999999</v>
      </c>
      <c r="M1119" s="18">
        <f>L1119*(H1119*H1119)*0.7854/10000</f>
        <v>10.229348051999999</v>
      </c>
      <c r="N1119" s="5"/>
      <c r="O1119" s="8" t="s">
        <v>19</v>
      </c>
    </row>
    <row r="1120" spans="1:15" s="14" customFormat="1" x14ac:dyDescent="0.25">
      <c r="A1120" s="13">
        <v>1151</v>
      </c>
      <c r="B1120" s="16">
        <v>1151</v>
      </c>
      <c r="C1120" s="13" t="s">
        <v>3951</v>
      </c>
      <c r="D1120" s="6">
        <v>5107</v>
      </c>
      <c r="E1120" s="13" t="s">
        <v>2931</v>
      </c>
      <c r="F1120" s="13"/>
      <c r="G1120" s="17">
        <v>13.4</v>
      </c>
      <c r="H1120" s="16">
        <v>128</v>
      </c>
      <c r="I1120" s="18">
        <v>17.242999999999999</v>
      </c>
      <c r="J1120" s="13">
        <v>0.3</v>
      </c>
      <c r="K1120" s="13"/>
      <c r="L1120" s="17">
        <f>G1120-J1120</f>
        <v>13.1</v>
      </c>
      <c r="M1120" s="18">
        <f>L1120*(H1120*H1120)*0.7854/10000</f>
        <v>16.857071615999999</v>
      </c>
      <c r="N1120" s="5"/>
      <c r="O1120" s="8" t="s">
        <v>19</v>
      </c>
    </row>
    <row r="1121" spans="1:15" s="14" customFormat="1" x14ac:dyDescent="0.25">
      <c r="A1121" s="13">
        <v>1152</v>
      </c>
      <c r="B1121" s="16">
        <v>1152</v>
      </c>
      <c r="C1121" s="13" t="s">
        <v>3952</v>
      </c>
      <c r="D1121" s="6" t="s">
        <v>2419</v>
      </c>
      <c r="E1121" s="13" t="s">
        <v>2931</v>
      </c>
      <c r="F1121" s="13"/>
      <c r="G1121" s="17">
        <v>7</v>
      </c>
      <c r="H1121" s="16">
        <v>92</v>
      </c>
      <c r="I1121" s="18">
        <v>4.6529999999999996</v>
      </c>
      <c r="J1121" s="13"/>
      <c r="K1121" s="13"/>
      <c r="L1121" s="17">
        <f>G1121-J1121</f>
        <v>7</v>
      </c>
      <c r="M1121" s="18">
        <f>L1121*(H1121*H1121)*0.7854/10000</f>
        <v>4.6533379199999994</v>
      </c>
      <c r="N1121" s="5"/>
      <c r="O1121" s="8" t="s">
        <v>30</v>
      </c>
    </row>
    <row r="1122" spans="1:15" s="14" customFormat="1" x14ac:dyDescent="0.25">
      <c r="A1122" s="13">
        <v>1153</v>
      </c>
      <c r="B1122" s="16">
        <v>1153</v>
      </c>
      <c r="C1122" s="13" t="s">
        <v>3953</v>
      </c>
      <c r="D1122" s="6">
        <v>235</v>
      </c>
      <c r="E1122" s="13" t="s">
        <v>2931</v>
      </c>
      <c r="F1122" s="13"/>
      <c r="G1122" s="17">
        <v>14.6</v>
      </c>
      <c r="H1122" s="16">
        <v>99</v>
      </c>
      <c r="I1122" s="18">
        <v>11.239000000000001</v>
      </c>
      <c r="J1122" s="13"/>
      <c r="K1122" s="13"/>
      <c r="L1122" s="17">
        <f>G1122-J1122</f>
        <v>14.6</v>
      </c>
      <c r="M1122" s="18">
        <f>L1122*(H1122*H1122)*0.7854/10000</f>
        <v>11.238649884000001</v>
      </c>
      <c r="N1122" s="9" t="s">
        <v>53</v>
      </c>
      <c r="O1122" s="8" t="s">
        <v>19</v>
      </c>
    </row>
    <row r="1123" spans="1:15" s="14" customFormat="1" x14ac:dyDescent="0.25">
      <c r="A1123" s="13">
        <v>1154</v>
      </c>
      <c r="B1123" s="16">
        <v>1154</v>
      </c>
      <c r="C1123" s="13" t="s">
        <v>3954</v>
      </c>
      <c r="D1123" s="6" t="s">
        <v>2424</v>
      </c>
      <c r="E1123" s="13" t="s">
        <v>2931</v>
      </c>
      <c r="F1123" s="13"/>
      <c r="G1123" s="17">
        <v>10.1</v>
      </c>
      <c r="H1123" s="16">
        <v>89</v>
      </c>
      <c r="I1123" s="18">
        <v>6.2830000000000004</v>
      </c>
      <c r="J1123" s="13">
        <v>0.3</v>
      </c>
      <c r="K1123" s="13"/>
      <c r="L1123" s="17">
        <f>G1123-J1123</f>
        <v>9.7999999999999989</v>
      </c>
      <c r="M1123" s="18">
        <f>L1123*(H1123*H1123)*0.7854/10000</f>
        <v>6.096730331999999</v>
      </c>
      <c r="N1123" s="9"/>
      <c r="O1123" s="8" t="s">
        <v>19</v>
      </c>
    </row>
    <row r="1124" spans="1:15" s="14" customFormat="1" x14ac:dyDescent="0.25">
      <c r="A1124" s="13">
        <v>1155</v>
      </c>
      <c r="B1124" s="16">
        <v>1155</v>
      </c>
      <c r="C1124" s="13" t="s">
        <v>3955</v>
      </c>
      <c r="D1124" s="6" t="s">
        <v>2427</v>
      </c>
      <c r="E1124" s="13" t="s">
        <v>2931</v>
      </c>
      <c r="F1124" s="13"/>
      <c r="G1124" s="17">
        <v>7.3</v>
      </c>
      <c r="H1124" s="16">
        <v>81</v>
      </c>
      <c r="I1124" s="18">
        <v>3.762</v>
      </c>
      <c r="J1124" s="13"/>
      <c r="K1124" s="13"/>
      <c r="L1124" s="17">
        <f>G1124-J1124</f>
        <v>7.3</v>
      </c>
      <c r="M1124" s="18">
        <f>L1124*(H1124*H1124)*0.7854/10000</f>
        <v>3.7616968619999991</v>
      </c>
      <c r="N1124" s="9" t="s">
        <v>21</v>
      </c>
      <c r="O1124" s="8" t="s">
        <v>30</v>
      </c>
    </row>
    <row r="1125" spans="1:15" s="14" customFormat="1" x14ac:dyDescent="0.25">
      <c r="A1125" s="13">
        <v>1156</v>
      </c>
      <c r="B1125" s="16">
        <v>1156</v>
      </c>
      <c r="C1125" s="13" t="s">
        <v>3956</v>
      </c>
      <c r="D1125" s="6" t="s">
        <v>2430</v>
      </c>
      <c r="E1125" s="13" t="s">
        <v>2931</v>
      </c>
      <c r="F1125" s="13"/>
      <c r="G1125" s="17">
        <v>10.7</v>
      </c>
      <c r="H1125" s="16">
        <v>97</v>
      </c>
      <c r="I1125" s="18">
        <v>7.907</v>
      </c>
      <c r="J1125" s="13"/>
      <c r="K1125" s="13"/>
      <c r="L1125" s="17">
        <f>G1125-J1125</f>
        <v>10.7</v>
      </c>
      <c r="M1125" s="18">
        <f>L1125*(H1125*H1125)*0.7854/10000</f>
        <v>7.9071166019999986</v>
      </c>
      <c r="N1125" s="9"/>
      <c r="O1125" s="8" t="s">
        <v>19</v>
      </c>
    </row>
    <row r="1126" spans="1:15" s="14" customFormat="1" x14ac:dyDescent="0.25">
      <c r="A1126" s="13">
        <v>1157</v>
      </c>
      <c r="B1126" s="16">
        <v>1157</v>
      </c>
      <c r="C1126" s="13" t="s">
        <v>3957</v>
      </c>
      <c r="D1126" s="6" t="s">
        <v>2433</v>
      </c>
      <c r="E1126" s="13" t="s">
        <v>2931</v>
      </c>
      <c r="F1126" s="13"/>
      <c r="G1126" s="17">
        <v>6.8</v>
      </c>
      <c r="H1126" s="16">
        <v>98</v>
      </c>
      <c r="I1126" s="18">
        <v>5.1289999999999996</v>
      </c>
      <c r="J1126" s="13"/>
      <c r="K1126" s="13"/>
      <c r="L1126" s="17">
        <f>G1126-J1126</f>
        <v>6.8</v>
      </c>
      <c r="M1126" s="18">
        <f>L1126*(H1126*H1126)*0.7854/10000</f>
        <v>5.1292274879999997</v>
      </c>
      <c r="N1126" s="5" t="s">
        <v>21</v>
      </c>
      <c r="O1126" s="8" t="s">
        <v>19</v>
      </c>
    </row>
    <row r="1127" spans="1:15" s="14" customFormat="1" x14ac:dyDescent="0.25">
      <c r="A1127" s="13">
        <v>1158</v>
      </c>
      <c r="B1127" s="16">
        <v>1158</v>
      </c>
      <c r="C1127" s="13" t="s">
        <v>3958</v>
      </c>
      <c r="D1127" s="6" t="s">
        <v>2436</v>
      </c>
      <c r="E1127" s="13" t="s">
        <v>2931</v>
      </c>
      <c r="F1127" s="13"/>
      <c r="G1127" s="17">
        <v>6.5</v>
      </c>
      <c r="H1127" s="16">
        <v>85</v>
      </c>
      <c r="I1127" s="18">
        <v>3.6880000000000002</v>
      </c>
      <c r="J1127" s="13"/>
      <c r="K1127" s="13"/>
      <c r="L1127" s="17">
        <f>G1127-J1127</f>
        <v>6.5</v>
      </c>
      <c r="M1127" s="18">
        <f>L1127*(H1127*H1127)*0.7854/10000</f>
        <v>3.6884347499999994</v>
      </c>
      <c r="N1127" s="5"/>
      <c r="O1127" s="8" t="s">
        <v>19</v>
      </c>
    </row>
    <row r="1128" spans="1:15" s="14" customFormat="1" x14ac:dyDescent="0.25">
      <c r="A1128" s="13">
        <v>1159</v>
      </c>
      <c r="B1128" s="16">
        <v>1159</v>
      </c>
      <c r="C1128" s="13" t="s">
        <v>3959</v>
      </c>
      <c r="D1128" s="6" t="s">
        <v>2439</v>
      </c>
      <c r="E1128" s="13" t="s">
        <v>2931</v>
      </c>
      <c r="F1128" s="13"/>
      <c r="G1128" s="17">
        <v>7.3</v>
      </c>
      <c r="H1128" s="16">
        <v>87</v>
      </c>
      <c r="I1128" s="18">
        <v>4.34</v>
      </c>
      <c r="J1128" s="13"/>
      <c r="K1128" s="13"/>
      <c r="L1128" s="17">
        <f>G1128-J1128</f>
        <v>7.3</v>
      </c>
      <c r="M1128" s="18">
        <f>L1128*(H1128*H1128)*0.7854/10000</f>
        <v>4.3396255979999996</v>
      </c>
      <c r="N1128" s="5"/>
      <c r="O1128" s="8" t="s">
        <v>19</v>
      </c>
    </row>
    <row r="1129" spans="1:15" s="14" customFormat="1" x14ac:dyDescent="0.25">
      <c r="A1129" s="13">
        <v>1160</v>
      </c>
      <c r="B1129" s="16">
        <v>1160</v>
      </c>
      <c r="C1129" s="13" t="s">
        <v>3960</v>
      </c>
      <c r="D1129" s="6" t="s">
        <v>2442</v>
      </c>
      <c r="E1129" s="13" t="s">
        <v>2931</v>
      </c>
      <c r="F1129" s="13"/>
      <c r="G1129" s="17">
        <v>10.4</v>
      </c>
      <c r="H1129" s="16">
        <v>112</v>
      </c>
      <c r="I1129" s="18">
        <v>10.246</v>
      </c>
      <c r="J1129" s="13"/>
      <c r="K1129" s="13"/>
      <c r="L1129" s="17">
        <f>G1129-J1129</f>
        <v>10.4</v>
      </c>
      <c r="M1129" s="18">
        <f>L1129*(H1129*H1129)*0.7854/10000</f>
        <v>10.246139904</v>
      </c>
      <c r="N1129" s="9"/>
      <c r="O1129" s="8" t="s">
        <v>19</v>
      </c>
    </row>
    <row r="1130" spans="1:15" s="14" customFormat="1" x14ac:dyDescent="0.25">
      <c r="A1130" s="13">
        <v>1161</v>
      </c>
      <c r="B1130" s="16">
        <v>1161</v>
      </c>
      <c r="C1130" s="13" t="s">
        <v>3961</v>
      </c>
      <c r="D1130" s="6" t="s">
        <v>2445</v>
      </c>
      <c r="E1130" s="13" t="s">
        <v>2931</v>
      </c>
      <c r="F1130" s="13"/>
      <c r="G1130" s="17">
        <v>9</v>
      </c>
      <c r="H1130" s="16">
        <v>101</v>
      </c>
      <c r="I1130" s="18">
        <v>7.2110000000000003</v>
      </c>
      <c r="J1130" s="13"/>
      <c r="K1130" s="13"/>
      <c r="L1130" s="17">
        <f>G1130-J1130</f>
        <v>9</v>
      </c>
      <c r="M1130" s="18">
        <f>L1130*(H1130*H1130)*0.7854/10000</f>
        <v>7.2106788599999998</v>
      </c>
      <c r="N1130" s="9"/>
      <c r="O1130" s="8" t="s">
        <v>19</v>
      </c>
    </row>
    <row r="1131" spans="1:15" s="14" customFormat="1" x14ac:dyDescent="0.25">
      <c r="A1131" s="13">
        <v>1163</v>
      </c>
      <c r="B1131" s="16">
        <v>1163</v>
      </c>
      <c r="C1131" s="13" t="s">
        <v>3962</v>
      </c>
      <c r="D1131" s="6" t="s">
        <v>2448</v>
      </c>
      <c r="E1131" s="13" t="s">
        <v>2931</v>
      </c>
      <c r="F1131" s="13"/>
      <c r="G1131" s="17">
        <v>11.3</v>
      </c>
      <c r="H1131" s="16">
        <v>87</v>
      </c>
      <c r="I1131" s="18">
        <v>6.7169999999999996</v>
      </c>
      <c r="J1131" s="13"/>
      <c r="K1131" s="13"/>
      <c r="L1131" s="17">
        <f>G1131-J1131</f>
        <v>11.3</v>
      </c>
      <c r="M1131" s="18">
        <f>L1131*(H1131*H1131)*0.7854/10000</f>
        <v>6.7175026380000009</v>
      </c>
      <c r="N1131" s="9" t="s">
        <v>53</v>
      </c>
      <c r="O1131" s="8" t="s">
        <v>19</v>
      </c>
    </row>
    <row r="1132" spans="1:15" s="14" customFormat="1" x14ac:dyDescent="0.25">
      <c r="A1132" s="13">
        <v>1164</v>
      </c>
      <c r="B1132" s="16">
        <v>1164</v>
      </c>
      <c r="C1132" s="13" t="s">
        <v>3963</v>
      </c>
      <c r="D1132" s="6" t="s">
        <v>2451</v>
      </c>
      <c r="E1132" s="13" t="s">
        <v>2931</v>
      </c>
      <c r="F1132" s="13"/>
      <c r="G1132" s="17">
        <v>5.8</v>
      </c>
      <c r="H1132" s="16">
        <v>83</v>
      </c>
      <c r="I1132" s="18">
        <v>3.1379999999999999</v>
      </c>
      <c r="J1132" s="13"/>
      <c r="K1132" s="13"/>
      <c r="L1132" s="17">
        <f>G1132-J1132</f>
        <v>5.8</v>
      </c>
      <c r="M1132" s="18">
        <f>L1132*(H1132*H1132)*0.7854/10000</f>
        <v>3.1381599479999998</v>
      </c>
      <c r="N1132" s="5"/>
      <c r="O1132" s="8" t="s">
        <v>19</v>
      </c>
    </row>
    <row r="1133" spans="1:15" s="14" customFormat="1" x14ac:dyDescent="0.25">
      <c r="A1133" s="13">
        <v>1165</v>
      </c>
      <c r="B1133" s="16">
        <v>1165</v>
      </c>
      <c r="C1133" s="13" t="s">
        <v>3964</v>
      </c>
      <c r="D1133" s="6" t="s">
        <v>2454</v>
      </c>
      <c r="E1133" s="13" t="s">
        <v>2931</v>
      </c>
      <c r="F1133" s="13"/>
      <c r="G1133" s="17">
        <v>9.4</v>
      </c>
      <c r="H1133" s="16">
        <v>90</v>
      </c>
      <c r="I1133" s="18">
        <v>5.98</v>
      </c>
      <c r="J1133" s="13"/>
      <c r="K1133" s="13"/>
      <c r="L1133" s="17">
        <f>G1133-J1133</f>
        <v>9.4</v>
      </c>
      <c r="M1133" s="18">
        <f>L1133*(H1133*H1133)*0.7854/10000</f>
        <v>5.9800355999999999</v>
      </c>
      <c r="N1133" s="9" t="s">
        <v>53</v>
      </c>
      <c r="O1133" s="8" t="s">
        <v>30</v>
      </c>
    </row>
    <row r="1134" spans="1:15" s="14" customFormat="1" x14ac:dyDescent="0.25">
      <c r="A1134" s="13">
        <v>1166</v>
      </c>
      <c r="B1134" s="16">
        <v>1166</v>
      </c>
      <c r="C1134" s="13" t="s">
        <v>3965</v>
      </c>
      <c r="D1134" s="6" t="s">
        <v>2457</v>
      </c>
      <c r="E1134" s="13" t="s">
        <v>2931</v>
      </c>
      <c r="F1134" s="13"/>
      <c r="G1134" s="17">
        <v>4.3</v>
      </c>
      <c r="H1134" s="16">
        <v>86</v>
      </c>
      <c r="I1134" s="18">
        <v>2.4980000000000002</v>
      </c>
      <c r="J1134" s="13"/>
      <c r="K1134" s="13"/>
      <c r="L1134" s="17">
        <f>G1134-J1134</f>
        <v>4.3</v>
      </c>
      <c r="M1134" s="18">
        <f>L1134*(H1134*H1134)*0.7854/10000</f>
        <v>2.4977919119999998</v>
      </c>
      <c r="N1134" s="5"/>
      <c r="O1134" s="8" t="s">
        <v>19</v>
      </c>
    </row>
    <row r="1135" spans="1:15" s="14" customFormat="1" x14ac:dyDescent="0.25">
      <c r="A1135" s="13">
        <v>1167</v>
      </c>
      <c r="B1135" s="16">
        <v>1167</v>
      </c>
      <c r="C1135" s="13" t="s">
        <v>3966</v>
      </c>
      <c r="D1135" s="6">
        <v>77</v>
      </c>
      <c r="E1135" s="13" t="s">
        <v>2931</v>
      </c>
      <c r="F1135" s="13"/>
      <c r="G1135" s="17">
        <v>10</v>
      </c>
      <c r="H1135" s="16">
        <v>93</v>
      </c>
      <c r="I1135" s="18">
        <v>6.7930000000000001</v>
      </c>
      <c r="J1135" s="13"/>
      <c r="K1135" s="13"/>
      <c r="L1135" s="17">
        <f>G1135-J1135</f>
        <v>10</v>
      </c>
      <c r="M1135" s="18">
        <f>L1135*(H1135*H1135)*0.7854/10000</f>
        <v>6.7929246000000001</v>
      </c>
      <c r="N1135" s="5" t="s">
        <v>1007</v>
      </c>
      <c r="O1135" s="8" t="s">
        <v>19</v>
      </c>
    </row>
    <row r="1136" spans="1:15" s="14" customFormat="1" x14ac:dyDescent="0.25">
      <c r="A1136" s="13">
        <v>1168</v>
      </c>
      <c r="B1136" s="16">
        <v>1168</v>
      </c>
      <c r="C1136" s="13" t="s">
        <v>3967</v>
      </c>
      <c r="D1136" s="6">
        <v>78</v>
      </c>
      <c r="E1136" s="13" t="s">
        <v>2931</v>
      </c>
      <c r="F1136" s="13"/>
      <c r="G1136" s="17">
        <v>10</v>
      </c>
      <c r="H1136" s="16">
        <v>108</v>
      </c>
      <c r="I1136" s="18">
        <v>9.1609999999999996</v>
      </c>
      <c r="J1136" s="13"/>
      <c r="K1136" s="13"/>
      <c r="L1136" s="17">
        <f>G1136-J1136</f>
        <v>10</v>
      </c>
      <c r="M1136" s="18">
        <f>L1136*(H1136*H1136)*0.7854/10000</f>
        <v>9.1609055999999995</v>
      </c>
      <c r="N1136" s="9"/>
      <c r="O1136" s="8" t="s">
        <v>30</v>
      </c>
    </row>
    <row r="1137" spans="1:15" s="14" customFormat="1" x14ac:dyDescent="0.25">
      <c r="A1137" s="13">
        <v>1169</v>
      </c>
      <c r="B1137" s="16">
        <v>1169</v>
      </c>
      <c r="C1137" s="13" t="s">
        <v>3968</v>
      </c>
      <c r="D1137" s="6">
        <v>79</v>
      </c>
      <c r="E1137" s="13" t="s">
        <v>2931</v>
      </c>
      <c r="F1137" s="13"/>
      <c r="G1137" s="17">
        <v>9.9</v>
      </c>
      <c r="H1137" s="16">
        <v>62</v>
      </c>
      <c r="I1137" s="18">
        <v>2.9889999999999999</v>
      </c>
      <c r="J1137" s="13"/>
      <c r="K1137" s="13"/>
      <c r="L1137" s="17">
        <f>G1137-J1137</f>
        <v>9.9</v>
      </c>
      <c r="M1137" s="18">
        <f>L1137*(H1137*H1137)*0.7854/10000</f>
        <v>2.9888868240000002</v>
      </c>
      <c r="N1137" s="9"/>
      <c r="O1137" s="8" t="s">
        <v>19</v>
      </c>
    </row>
    <row r="1138" spans="1:15" s="14" customFormat="1" x14ac:dyDescent="0.25">
      <c r="A1138" s="13">
        <v>1170</v>
      </c>
      <c r="B1138" s="16">
        <v>1170</v>
      </c>
      <c r="C1138" s="13" t="s">
        <v>3969</v>
      </c>
      <c r="D1138" s="6">
        <v>80</v>
      </c>
      <c r="E1138" s="13" t="s">
        <v>2931</v>
      </c>
      <c r="F1138" s="13"/>
      <c r="G1138" s="17">
        <v>11.8</v>
      </c>
      <c r="H1138" s="16">
        <v>77</v>
      </c>
      <c r="I1138" s="18">
        <v>5.4950000000000001</v>
      </c>
      <c r="J1138" s="13"/>
      <c r="K1138" s="13"/>
      <c r="L1138" s="17">
        <f>G1138-J1138</f>
        <v>11.8</v>
      </c>
      <c r="M1138" s="18">
        <f>L1138*(H1138*H1138)*0.7854/10000</f>
        <v>5.4948311879999991</v>
      </c>
      <c r="N1138" s="9"/>
      <c r="O1138" s="8" t="s">
        <v>19</v>
      </c>
    </row>
    <row r="1139" spans="1:15" s="14" customFormat="1" x14ac:dyDescent="0.25">
      <c r="A1139" s="13">
        <v>1171</v>
      </c>
      <c r="B1139" s="16">
        <v>1171</v>
      </c>
      <c r="C1139" s="13" t="s">
        <v>3970</v>
      </c>
      <c r="D1139" s="6" t="s">
        <v>2468</v>
      </c>
      <c r="E1139" s="13" t="s">
        <v>2931</v>
      </c>
      <c r="F1139" s="13"/>
      <c r="G1139" s="17">
        <v>11.9</v>
      </c>
      <c r="H1139" s="16">
        <v>103</v>
      </c>
      <c r="I1139" s="18">
        <v>9.9149999999999991</v>
      </c>
      <c r="J1139" s="13"/>
      <c r="K1139" s="13"/>
      <c r="L1139" s="17">
        <f>G1139-J1139</f>
        <v>11.9</v>
      </c>
      <c r="M1139" s="18">
        <f>L1139*(H1139*H1139)*0.7854/10000</f>
        <v>9.9154472340000002</v>
      </c>
      <c r="N1139" s="5"/>
      <c r="O1139" s="8" t="s">
        <v>30</v>
      </c>
    </row>
    <row r="1140" spans="1:15" s="14" customFormat="1" x14ac:dyDescent="0.25">
      <c r="A1140" s="13">
        <v>1172</v>
      </c>
      <c r="B1140" s="16">
        <v>1172</v>
      </c>
      <c r="C1140" s="13" t="s">
        <v>3971</v>
      </c>
      <c r="D1140" s="6" t="s">
        <v>2471</v>
      </c>
      <c r="E1140" s="13" t="s">
        <v>2931</v>
      </c>
      <c r="F1140" s="13"/>
      <c r="G1140" s="17">
        <v>6.9</v>
      </c>
      <c r="H1140" s="16">
        <v>84</v>
      </c>
      <c r="I1140" s="18">
        <v>3.8239999999999998</v>
      </c>
      <c r="J1140" s="13"/>
      <c r="K1140" s="13"/>
      <c r="L1140" s="17">
        <f>G1140-J1140</f>
        <v>6.9</v>
      </c>
      <c r="M1140" s="18">
        <f>L1140*(H1140*H1140)*0.7854/10000</f>
        <v>3.8238298560000001</v>
      </c>
      <c r="N1140" s="9" t="s">
        <v>53</v>
      </c>
      <c r="O1140" s="8" t="s">
        <v>19</v>
      </c>
    </row>
    <row r="1141" spans="1:15" s="14" customFormat="1" x14ac:dyDescent="0.25">
      <c r="A1141" s="13">
        <v>1173</v>
      </c>
      <c r="B1141" s="16">
        <v>1173</v>
      </c>
      <c r="C1141" s="13" t="s">
        <v>3972</v>
      </c>
      <c r="D1141" s="6" t="s">
        <v>2474</v>
      </c>
      <c r="E1141" s="13" t="s">
        <v>2931</v>
      </c>
      <c r="F1141" s="13"/>
      <c r="G1141" s="17">
        <v>9.1</v>
      </c>
      <c r="H1141" s="16">
        <v>104</v>
      </c>
      <c r="I1141" s="18">
        <v>7.73</v>
      </c>
      <c r="J1141" s="13"/>
      <c r="K1141" s="13"/>
      <c r="L1141" s="17">
        <f>G1141-J1141</f>
        <v>9.1</v>
      </c>
      <c r="M1141" s="18">
        <f>L1141*(H1141*H1141)*0.7854/10000</f>
        <v>7.7303466239999992</v>
      </c>
      <c r="N1141" s="9"/>
      <c r="O1141" s="8" t="s">
        <v>19</v>
      </c>
    </row>
    <row r="1142" spans="1:15" s="14" customFormat="1" x14ac:dyDescent="0.25">
      <c r="A1142" s="13">
        <v>1174</v>
      </c>
      <c r="B1142" s="16">
        <v>1174</v>
      </c>
      <c r="C1142" s="13" t="s">
        <v>3973</v>
      </c>
      <c r="D1142" s="6" t="s">
        <v>2477</v>
      </c>
      <c r="E1142" s="13" t="s">
        <v>2931</v>
      </c>
      <c r="F1142" s="13"/>
      <c r="G1142" s="17">
        <v>8.5</v>
      </c>
      <c r="H1142" s="16">
        <v>73</v>
      </c>
      <c r="I1142" s="18">
        <v>3.5579999999999998</v>
      </c>
      <c r="J1142" s="13"/>
      <c r="K1142" s="13"/>
      <c r="L1142" s="17">
        <f>G1142-J1142</f>
        <v>8.5</v>
      </c>
      <c r="M1142" s="18">
        <f>L1142*(H1142*H1142)*0.7854/10000</f>
        <v>3.5575871099999996</v>
      </c>
      <c r="N1142" s="9"/>
      <c r="O1142" s="8" t="s">
        <v>19</v>
      </c>
    </row>
    <row r="1143" spans="1:15" s="14" customFormat="1" x14ac:dyDescent="0.25">
      <c r="A1143" s="13">
        <v>1175</v>
      </c>
      <c r="B1143" s="16">
        <v>1175</v>
      </c>
      <c r="C1143" s="13" t="s">
        <v>3974</v>
      </c>
      <c r="D1143" s="6">
        <v>84</v>
      </c>
      <c r="E1143" s="13" t="s">
        <v>2931</v>
      </c>
      <c r="F1143" s="13"/>
      <c r="G1143" s="17">
        <v>12.9</v>
      </c>
      <c r="H1143" s="16">
        <v>132</v>
      </c>
      <c r="I1143" s="18">
        <v>17.652999999999999</v>
      </c>
      <c r="J1143" s="13">
        <v>0.4</v>
      </c>
      <c r="K1143" s="13"/>
      <c r="L1143" s="17">
        <f>G1143-J1143</f>
        <v>12.5</v>
      </c>
      <c r="M1143" s="18">
        <f>L1143*(H1143*H1143)*0.7854/10000</f>
        <v>17.106012</v>
      </c>
      <c r="N1143" s="9"/>
      <c r="O1143" s="8" t="s">
        <v>19</v>
      </c>
    </row>
    <row r="1144" spans="1:15" s="14" customFormat="1" x14ac:dyDescent="0.25">
      <c r="A1144" s="13">
        <v>1176</v>
      </c>
      <c r="B1144" s="16">
        <v>1176</v>
      </c>
      <c r="C1144" s="13" t="s">
        <v>3975</v>
      </c>
      <c r="D1144" s="6" t="s">
        <v>2482</v>
      </c>
      <c r="E1144" s="13" t="s">
        <v>2931</v>
      </c>
      <c r="F1144" s="13"/>
      <c r="G1144" s="17">
        <v>11.8</v>
      </c>
      <c r="H1144" s="16">
        <v>76</v>
      </c>
      <c r="I1144" s="18">
        <v>5.3529999999999998</v>
      </c>
      <c r="J1144" s="13"/>
      <c r="K1144" s="13"/>
      <c r="L1144" s="17">
        <f>G1144-J1144</f>
        <v>11.8</v>
      </c>
      <c r="M1144" s="18">
        <f>L1144*(H1144*H1144)*0.7854/10000</f>
        <v>5.3530350719999999</v>
      </c>
      <c r="N1144" s="9"/>
      <c r="O1144" s="8" t="s">
        <v>19</v>
      </c>
    </row>
    <row r="1145" spans="1:15" s="14" customFormat="1" x14ac:dyDescent="0.25">
      <c r="A1145" s="13">
        <v>1177</v>
      </c>
      <c r="B1145" s="16">
        <v>1177</v>
      </c>
      <c r="C1145" s="13" t="s">
        <v>3976</v>
      </c>
      <c r="D1145" s="6" t="s">
        <v>2485</v>
      </c>
      <c r="E1145" s="13" t="s">
        <v>2931</v>
      </c>
      <c r="F1145" s="13"/>
      <c r="G1145" s="17">
        <v>6.1</v>
      </c>
      <c r="H1145" s="16">
        <v>74</v>
      </c>
      <c r="I1145" s="18">
        <v>2.6240000000000001</v>
      </c>
      <c r="J1145" s="13"/>
      <c r="K1145" s="13"/>
      <c r="L1145" s="17">
        <f>G1145-J1145</f>
        <v>6.1</v>
      </c>
      <c r="M1145" s="18">
        <f>L1145*(H1145*H1145)*0.7854/10000</f>
        <v>2.6235187439999996</v>
      </c>
      <c r="N1145" s="9"/>
      <c r="O1145" s="8" t="s">
        <v>19</v>
      </c>
    </row>
    <row r="1146" spans="1:15" s="14" customFormat="1" x14ac:dyDescent="0.25">
      <c r="A1146" s="13">
        <v>1178</v>
      </c>
      <c r="B1146" s="16">
        <v>1178</v>
      </c>
      <c r="C1146" s="13" t="s">
        <v>3977</v>
      </c>
      <c r="D1146" s="6" t="s">
        <v>2488</v>
      </c>
      <c r="E1146" s="13" t="s">
        <v>2931</v>
      </c>
      <c r="F1146" s="13"/>
      <c r="G1146" s="17">
        <v>10.3</v>
      </c>
      <c r="H1146" s="16">
        <v>96</v>
      </c>
      <c r="I1146" s="18">
        <v>7.4550000000000001</v>
      </c>
      <c r="J1146" s="13"/>
      <c r="K1146" s="13"/>
      <c r="L1146" s="17">
        <f>G1146-J1146</f>
        <v>10.3</v>
      </c>
      <c r="M1146" s="18">
        <f>L1146*(H1146*H1146)*0.7854/10000</f>
        <v>7.4553937919999997</v>
      </c>
      <c r="N1146" s="5"/>
      <c r="O1146" s="8" t="s">
        <v>19</v>
      </c>
    </row>
    <row r="1147" spans="1:15" s="14" customFormat="1" x14ac:dyDescent="0.25">
      <c r="A1147" s="13">
        <v>1179</v>
      </c>
      <c r="B1147" s="16">
        <v>1179</v>
      </c>
      <c r="C1147" s="13" t="s">
        <v>3978</v>
      </c>
      <c r="D1147" s="6" t="s">
        <v>2491</v>
      </c>
      <c r="E1147" s="13" t="s">
        <v>2931</v>
      </c>
      <c r="F1147" s="13"/>
      <c r="G1147" s="17">
        <v>6.7</v>
      </c>
      <c r="H1147" s="16">
        <v>90</v>
      </c>
      <c r="I1147" s="18">
        <v>4.2619999999999996</v>
      </c>
      <c r="J1147" s="13"/>
      <c r="K1147" s="13"/>
      <c r="L1147" s="17">
        <f>G1147-J1147</f>
        <v>6.7</v>
      </c>
      <c r="M1147" s="18">
        <f>L1147*(H1147*H1147)*0.7854/10000</f>
        <v>4.2623657999999995</v>
      </c>
      <c r="N1147" s="9"/>
      <c r="O1147" s="8" t="s">
        <v>19</v>
      </c>
    </row>
    <row r="1148" spans="1:15" s="14" customFormat="1" x14ac:dyDescent="0.25">
      <c r="A1148" s="13">
        <v>1180</v>
      </c>
      <c r="B1148" s="16">
        <v>1180</v>
      </c>
      <c r="C1148" s="13" t="s">
        <v>3979</v>
      </c>
      <c r="D1148" s="6" t="s">
        <v>2494</v>
      </c>
      <c r="E1148" s="13" t="s">
        <v>2931</v>
      </c>
      <c r="F1148" s="13"/>
      <c r="G1148" s="17">
        <v>4.4000000000000004</v>
      </c>
      <c r="H1148" s="16">
        <v>92</v>
      </c>
      <c r="I1148" s="18">
        <v>2.9249999999999998</v>
      </c>
      <c r="J1148" s="13"/>
      <c r="K1148" s="13"/>
      <c r="L1148" s="17">
        <f>G1148-J1148</f>
        <v>4.4000000000000004</v>
      </c>
      <c r="M1148" s="18">
        <f>L1148*(H1148*H1148)*0.7854/10000</f>
        <v>2.9249552640000007</v>
      </c>
      <c r="N1148" s="9"/>
      <c r="O1148" s="8" t="s">
        <v>30</v>
      </c>
    </row>
    <row r="1149" spans="1:15" s="14" customFormat="1" x14ac:dyDescent="0.25">
      <c r="A1149" s="13">
        <v>1181</v>
      </c>
      <c r="B1149" s="16">
        <v>1181</v>
      </c>
      <c r="C1149" s="13" t="s">
        <v>3980</v>
      </c>
      <c r="D1149" s="6">
        <v>1271</v>
      </c>
      <c r="E1149" s="13" t="s">
        <v>2931</v>
      </c>
      <c r="F1149" s="13"/>
      <c r="G1149" s="17">
        <v>9.3000000000000007</v>
      </c>
      <c r="H1149" s="16">
        <v>74</v>
      </c>
      <c r="I1149" s="18">
        <v>4</v>
      </c>
      <c r="J1149" s="13"/>
      <c r="K1149" s="13"/>
      <c r="L1149" s="17">
        <f>G1149-J1149</f>
        <v>9.3000000000000007</v>
      </c>
      <c r="M1149" s="18">
        <f>L1149*(H1149*H1149)*0.7854/10000</f>
        <v>3.9997908720000002</v>
      </c>
      <c r="N1149" s="9"/>
      <c r="O1149" s="8" t="s">
        <v>19</v>
      </c>
    </row>
    <row r="1150" spans="1:15" s="14" customFormat="1" x14ac:dyDescent="0.25">
      <c r="A1150" s="13">
        <v>1182</v>
      </c>
      <c r="B1150" s="16">
        <v>1182</v>
      </c>
      <c r="C1150" s="13" t="s">
        <v>3981</v>
      </c>
      <c r="D1150" s="6" t="s">
        <v>2499</v>
      </c>
      <c r="E1150" s="13" t="s">
        <v>2931</v>
      </c>
      <c r="F1150" s="13"/>
      <c r="G1150" s="17">
        <v>11.4</v>
      </c>
      <c r="H1150" s="16">
        <v>82</v>
      </c>
      <c r="I1150" s="18">
        <v>6.02</v>
      </c>
      <c r="J1150" s="13"/>
      <c r="K1150" s="13"/>
      <c r="L1150" s="17">
        <f>G1150-J1150</f>
        <v>11.4</v>
      </c>
      <c r="M1150" s="18">
        <f>L1150*(H1150*H1150)*0.7854/10000</f>
        <v>6.0203737440000005</v>
      </c>
      <c r="N1150" s="9"/>
      <c r="O1150" s="8" t="s">
        <v>19</v>
      </c>
    </row>
    <row r="1151" spans="1:15" s="14" customFormat="1" x14ac:dyDescent="0.25">
      <c r="A1151" s="13">
        <v>1183</v>
      </c>
      <c r="B1151" s="16">
        <v>1183</v>
      </c>
      <c r="C1151" s="13" t="s">
        <v>3982</v>
      </c>
      <c r="D1151" s="6" t="s">
        <v>2502</v>
      </c>
      <c r="E1151" s="13" t="s">
        <v>2931</v>
      </c>
      <c r="F1151" s="13"/>
      <c r="G1151" s="17">
        <v>5.8</v>
      </c>
      <c r="H1151" s="16">
        <v>85</v>
      </c>
      <c r="I1151" s="18">
        <v>3.2909999999999999</v>
      </c>
      <c r="J1151" s="13"/>
      <c r="K1151" s="13"/>
      <c r="L1151" s="17">
        <f>G1151-J1151</f>
        <v>5.8</v>
      </c>
      <c r="M1151" s="18">
        <f>L1151*(H1151*H1151)*0.7854/10000</f>
        <v>3.2912186999999999</v>
      </c>
      <c r="N1151" s="9"/>
      <c r="O1151" s="8" t="s">
        <v>30</v>
      </c>
    </row>
    <row r="1152" spans="1:15" s="14" customFormat="1" x14ac:dyDescent="0.25">
      <c r="A1152" s="13">
        <v>1184</v>
      </c>
      <c r="B1152" s="16">
        <v>1184</v>
      </c>
      <c r="C1152" s="13" t="s">
        <v>3983</v>
      </c>
      <c r="D1152" s="6" t="s">
        <v>2505</v>
      </c>
      <c r="E1152" s="13" t="s">
        <v>2931</v>
      </c>
      <c r="F1152" s="13"/>
      <c r="G1152" s="17">
        <v>10.8</v>
      </c>
      <c r="H1152" s="16">
        <v>103</v>
      </c>
      <c r="I1152" s="18">
        <v>8.9990000000000006</v>
      </c>
      <c r="J1152" s="13"/>
      <c r="K1152" s="13"/>
      <c r="L1152" s="17">
        <f>G1152-J1152</f>
        <v>10.8</v>
      </c>
      <c r="M1152" s="18">
        <f>L1152*(H1152*H1152)*0.7854/10000</f>
        <v>8.9988932880000014</v>
      </c>
      <c r="N1152" s="9"/>
      <c r="O1152" s="8" t="s">
        <v>19</v>
      </c>
    </row>
    <row r="1153" spans="1:15" s="14" customFormat="1" x14ac:dyDescent="0.25">
      <c r="A1153" s="13">
        <v>1185</v>
      </c>
      <c r="B1153" s="16">
        <v>1185</v>
      </c>
      <c r="C1153" s="13" t="s">
        <v>3984</v>
      </c>
      <c r="D1153" s="6" t="s">
        <v>2508</v>
      </c>
      <c r="E1153" s="13" t="s">
        <v>2931</v>
      </c>
      <c r="F1153" s="13"/>
      <c r="G1153" s="17">
        <v>5.4</v>
      </c>
      <c r="H1153" s="16">
        <v>99</v>
      </c>
      <c r="I1153" s="18">
        <v>4.157</v>
      </c>
      <c r="J1153" s="13"/>
      <c r="K1153" s="13"/>
      <c r="L1153" s="17">
        <f>G1153-J1153</f>
        <v>5.4</v>
      </c>
      <c r="M1153" s="18">
        <f>L1153*(H1153*H1153)*0.7854/10000</f>
        <v>4.1567609159999996</v>
      </c>
      <c r="N1153" s="9"/>
      <c r="O1153" s="8" t="s">
        <v>19</v>
      </c>
    </row>
    <row r="1154" spans="1:15" s="14" customFormat="1" x14ac:dyDescent="0.25">
      <c r="A1154" s="13">
        <v>1186</v>
      </c>
      <c r="B1154" s="16">
        <v>1186</v>
      </c>
      <c r="C1154" s="13" t="s">
        <v>3985</v>
      </c>
      <c r="D1154" s="6">
        <v>1273</v>
      </c>
      <c r="E1154" s="13" t="s">
        <v>2931</v>
      </c>
      <c r="F1154" s="13"/>
      <c r="G1154" s="17">
        <v>13.4</v>
      </c>
      <c r="H1154" s="16">
        <v>115</v>
      </c>
      <c r="I1154" s="18">
        <v>13.917999999999999</v>
      </c>
      <c r="J1154" s="13">
        <v>0.3</v>
      </c>
      <c r="K1154" s="13"/>
      <c r="L1154" s="17">
        <f>G1154-J1154</f>
        <v>13.1</v>
      </c>
      <c r="M1154" s="18">
        <f>L1154*(H1154*H1154)*0.7854/10000</f>
        <v>13.606858650000001</v>
      </c>
      <c r="N1154" s="9"/>
      <c r="O1154" s="8" t="s">
        <v>30</v>
      </c>
    </row>
    <row r="1155" spans="1:15" s="14" customFormat="1" x14ac:dyDescent="0.25">
      <c r="A1155" s="13">
        <v>1187</v>
      </c>
      <c r="B1155" s="16">
        <v>1187</v>
      </c>
      <c r="C1155" s="13" t="s">
        <v>3986</v>
      </c>
      <c r="D1155" s="6">
        <v>1274</v>
      </c>
      <c r="E1155" s="13" t="s">
        <v>2931</v>
      </c>
      <c r="F1155" s="13"/>
      <c r="G1155" s="17">
        <v>10.199999999999999</v>
      </c>
      <c r="H1155" s="16">
        <v>113</v>
      </c>
      <c r="I1155" s="18">
        <v>10.228999999999999</v>
      </c>
      <c r="J1155" s="13"/>
      <c r="K1155" s="13"/>
      <c r="L1155" s="17">
        <f>G1155-J1155</f>
        <v>10.199999999999999</v>
      </c>
      <c r="M1155" s="18">
        <f>L1155*(H1155*H1155)*0.7854/10000</f>
        <v>10.229348051999999</v>
      </c>
      <c r="N1155" s="9"/>
      <c r="O1155" s="8" t="s">
        <v>19</v>
      </c>
    </row>
    <row r="1156" spans="1:15" s="14" customFormat="1" x14ac:dyDescent="0.25">
      <c r="A1156" s="13">
        <v>1188</v>
      </c>
      <c r="B1156" s="16">
        <v>1188</v>
      </c>
      <c r="C1156" s="13" t="s">
        <v>3987</v>
      </c>
      <c r="D1156" s="6" t="s">
        <v>2515</v>
      </c>
      <c r="E1156" s="13" t="s">
        <v>2931</v>
      </c>
      <c r="F1156" s="13"/>
      <c r="G1156" s="17">
        <v>12.2</v>
      </c>
      <c r="H1156" s="16">
        <v>67</v>
      </c>
      <c r="I1156" s="18">
        <v>4.3010000000000002</v>
      </c>
      <c r="J1156" s="13"/>
      <c r="K1156" s="13"/>
      <c r="L1156" s="17">
        <f>G1156-J1156</f>
        <v>12.2</v>
      </c>
      <c r="M1156" s="18">
        <f>L1156*(H1156*H1156)*0.7854/10000</f>
        <v>4.3013059319999991</v>
      </c>
      <c r="N1156" s="5" t="s">
        <v>21</v>
      </c>
      <c r="O1156" s="8" t="s">
        <v>19</v>
      </c>
    </row>
    <row r="1157" spans="1:15" s="14" customFormat="1" x14ac:dyDescent="0.25">
      <c r="A1157" s="13">
        <v>1189</v>
      </c>
      <c r="B1157" s="16">
        <v>1189</v>
      </c>
      <c r="C1157" s="13" t="s">
        <v>3988</v>
      </c>
      <c r="D1157" s="6" t="s">
        <v>2518</v>
      </c>
      <c r="E1157" s="13" t="s">
        <v>2931</v>
      </c>
      <c r="F1157" s="13"/>
      <c r="G1157" s="17">
        <v>6.9</v>
      </c>
      <c r="H1157" s="16">
        <v>63</v>
      </c>
      <c r="I1157" s="18">
        <v>2.1509999999999998</v>
      </c>
      <c r="J1157" s="13"/>
      <c r="K1157" s="13"/>
      <c r="L1157" s="17">
        <f>G1157-J1157</f>
        <v>6.9</v>
      </c>
      <c r="M1157" s="18">
        <f>L1157*(H1157*H1157)*0.7854/10000</f>
        <v>2.1509042940000005</v>
      </c>
      <c r="N1157" s="5"/>
      <c r="O1157" s="8" t="s">
        <v>19</v>
      </c>
    </row>
    <row r="1158" spans="1:15" s="14" customFormat="1" x14ac:dyDescent="0.25">
      <c r="A1158" s="13">
        <v>1190</v>
      </c>
      <c r="B1158" s="16">
        <v>1190</v>
      </c>
      <c r="C1158" s="13" t="s">
        <v>3989</v>
      </c>
      <c r="D1158" s="6">
        <v>1278</v>
      </c>
      <c r="E1158" s="13" t="s">
        <v>2931</v>
      </c>
      <c r="F1158" s="13"/>
      <c r="G1158" s="17">
        <v>13.3</v>
      </c>
      <c r="H1158" s="16">
        <v>119</v>
      </c>
      <c r="I1158" s="18">
        <v>14.792</v>
      </c>
      <c r="J1158" s="13"/>
      <c r="K1158" s="13"/>
      <c r="L1158" s="17">
        <f>G1158-J1158</f>
        <v>13.3</v>
      </c>
      <c r="M1158" s="18">
        <f>L1158*(H1158*H1158)*0.7854/10000</f>
        <v>14.792325702000001</v>
      </c>
      <c r="N1158" s="5"/>
      <c r="O1158" s="8" t="s">
        <v>19</v>
      </c>
    </row>
    <row r="1159" spans="1:15" s="14" customFormat="1" x14ac:dyDescent="0.25">
      <c r="A1159" s="13">
        <v>1191</v>
      </c>
      <c r="B1159" s="16">
        <v>1191</v>
      </c>
      <c r="C1159" s="13" t="s">
        <v>3990</v>
      </c>
      <c r="D1159" s="6">
        <v>1279</v>
      </c>
      <c r="E1159" s="13" t="s">
        <v>2931</v>
      </c>
      <c r="F1159" s="13"/>
      <c r="G1159" s="17">
        <v>13.9</v>
      </c>
      <c r="H1159" s="16">
        <v>82</v>
      </c>
      <c r="I1159" s="18">
        <v>7.3410000000000002</v>
      </c>
      <c r="J1159" s="13"/>
      <c r="K1159" s="13"/>
      <c r="L1159" s="17">
        <f>G1159-J1159</f>
        <v>13.9</v>
      </c>
      <c r="M1159" s="18">
        <f>L1159*(H1159*H1159)*0.7854/10000</f>
        <v>7.3406311440000005</v>
      </c>
      <c r="N1159" s="5"/>
      <c r="O1159" s="8" t="s">
        <v>19</v>
      </c>
    </row>
    <row r="1160" spans="1:15" s="14" customFormat="1" x14ac:dyDescent="0.25">
      <c r="A1160" s="13">
        <v>1192</v>
      </c>
      <c r="B1160" s="16">
        <v>1192</v>
      </c>
      <c r="C1160" s="13" t="s">
        <v>3991</v>
      </c>
      <c r="D1160" s="6">
        <v>1280</v>
      </c>
      <c r="E1160" s="13" t="s">
        <v>2931</v>
      </c>
      <c r="F1160" s="13"/>
      <c r="G1160" s="17">
        <v>13.2</v>
      </c>
      <c r="H1160" s="16">
        <v>112</v>
      </c>
      <c r="I1160" s="18">
        <v>13.005000000000001</v>
      </c>
      <c r="J1160" s="13"/>
      <c r="K1160" s="13"/>
      <c r="L1160" s="17">
        <f>G1160-J1160</f>
        <v>13.2</v>
      </c>
      <c r="M1160" s="18">
        <f>L1160*(H1160*H1160)*0.7854/10000</f>
        <v>13.004716031999999</v>
      </c>
      <c r="N1160" s="10" t="s">
        <v>21</v>
      </c>
      <c r="O1160" s="8" t="s">
        <v>19</v>
      </c>
    </row>
    <row r="1161" spans="1:15" s="14" customFormat="1" x14ac:dyDescent="0.25">
      <c r="A1161" s="13">
        <v>1193</v>
      </c>
      <c r="B1161" s="16">
        <v>1193</v>
      </c>
      <c r="C1161" s="13" t="s">
        <v>3992</v>
      </c>
      <c r="D1161" s="6">
        <v>1282</v>
      </c>
      <c r="E1161" s="13" t="s">
        <v>2931</v>
      </c>
      <c r="F1161" s="13"/>
      <c r="G1161" s="17">
        <v>11.7</v>
      </c>
      <c r="H1161" s="16">
        <v>98</v>
      </c>
      <c r="I1161" s="18">
        <v>8.8249999999999993</v>
      </c>
      <c r="J1161" s="13"/>
      <c r="K1161" s="13"/>
      <c r="L1161" s="17">
        <f>G1161-J1161</f>
        <v>11.7</v>
      </c>
      <c r="M1161" s="18">
        <f>L1161*(H1161*H1161)*0.7854/10000</f>
        <v>8.8252884719999987</v>
      </c>
      <c r="N1161" s="10"/>
      <c r="O1161" s="8" t="s">
        <v>19</v>
      </c>
    </row>
    <row r="1162" spans="1:15" s="14" customFormat="1" x14ac:dyDescent="0.25">
      <c r="A1162" s="13">
        <v>1194</v>
      </c>
      <c r="B1162" s="16">
        <v>1194</v>
      </c>
      <c r="C1162" s="13" t="s">
        <v>3993</v>
      </c>
      <c r="D1162" s="6">
        <v>1283</v>
      </c>
      <c r="E1162" s="13" t="s">
        <v>2931</v>
      </c>
      <c r="F1162" s="13"/>
      <c r="G1162" s="17">
        <v>14.2</v>
      </c>
      <c r="H1162" s="16">
        <v>64</v>
      </c>
      <c r="I1162" s="18">
        <v>4.5679999999999996</v>
      </c>
      <c r="J1162" s="13"/>
      <c r="K1162" s="13"/>
      <c r="L1162" s="17">
        <f>G1162-J1162</f>
        <v>14.2</v>
      </c>
      <c r="M1162" s="18">
        <f>L1162*(H1162*H1162)*0.7854/10000</f>
        <v>4.5681377279999991</v>
      </c>
      <c r="N1162" s="10"/>
      <c r="O1162" s="8" t="s">
        <v>19</v>
      </c>
    </row>
    <row r="1163" spans="1:15" s="14" customFormat="1" x14ac:dyDescent="0.25">
      <c r="A1163" s="13">
        <v>1195</v>
      </c>
      <c r="B1163" s="16">
        <v>1195</v>
      </c>
      <c r="C1163" s="13" t="s">
        <v>3994</v>
      </c>
      <c r="D1163" s="6" t="s">
        <v>2531</v>
      </c>
      <c r="E1163" s="13" t="s">
        <v>2931</v>
      </c>
      <c r="F1163" s="13"/>
      <c r="G1163" s="17">
        <v>12.5</v>
      </c>
      <c r="H1163" s="16">
        <v>101</v>
      </c>
      <c r="I1163" s="18">
        <v>10.015000000000001</v>
      </c>
      <c r="J1163" s="13">
        <v>0.3</v>
      </c>
      <c r="K1163" s="13"/>
      <c r="L1163" s="17">
        <f>G1163-J1163</f>
        <v>12.2</v>
      </c>
      <c r="M1163" s="18">
        <f>L1163*(H1163*H1163)*0.7854/10000</f>
        <v>9.7744757879999984</v>
      </c>
      <c r="N1163" s="10"/>
      <c r="O1163" s="8" t="s">
        <v>30</v>
      </c>
    </row>
    <row r="1164" spans="1:15" s="14" customFormat="1" x14ac:dyDescent="0.25">
      <c r="A1164" s="13">
        <v>1196</v>
      </c>
      <c r="B1164" s="16">
        <v>1196</v>
      </c>
      <c r="C1164" s="13" t="s">
        <v>3995</v>
      </c>
      <c r="D1164" s="6" t="s">
        <v>2534</v>
      </c>
      <c r="E1164" s="13" t="s">
        <v>2931</v>
      </c>
      <c r="F1164" s="13"/>
      <c r="G1164" s="17">
        <v>12</v>
      </c>
      <c r="H1164" s="16">
        <v>104</v>
      </c>
      <c r="I1164" s="18">
        <v>10.194000000000001</v>
      </c>
      <c r="J1164" s="13">
        <v>0.3</v>
      </c>
      <c r="K1164" s="13"/>
      <c r="L1164" s="17">
        <f>G1164-J1164</f>
        <v>11.7</v>
      </c>
      <c r="M1164" s="18">
        <f>L1164*(H1164*H1164)*0.7854/10000</f>
        <v>9.9390170879999999</v>
      </c>
      <c r="N1164" s="10" t="s">
        <v>1007</v>
      </c>
      <c r="O1164" s="8" t="s">
        <v>19</v>
      </c>
    </row>
    <row r="1165" spans="1:15" s="14" customFormat="1" x14ac:dyDescent="0.25">
      <c r="A1165" s="13">
        <v>1197</v>
      </c>
      <c r="B1165" s="16">
        <v>1197</v>
      </c>
      <c r="C1165" s="13" t="s">
        <v>3996</v>
      </c>
      <c r="D1165" s="6" t="s">
        <v>2537</v>
      </c>
      <c r="E1165" s="13" t="s">
        <v>2931</v>
      </c>
      <c r="F1165" s="13"/>
      <c r="G1165" s="17">
        <v>5.6</v>
      </c>
      <c r="H1165" s="16">
        <v>96</v>
      </c>
      <c r="I1165" s="18">
        <v>4.0529999999999999</v>
      </c>
      <c r="J1165" s="13"/>
      <c r="K1165" s="13"/>
      <c r="L1165" s="17">
        <f>G1165-J1165</f>
        <v>5.6</v>
      </c>
      <c r="M1165" s="18">
        <f>L1165*(H1165*H1165)*0.7854/10000</f>
        <v>4.0534179839999993</v>
      </c>
      <c r="N1165" s="10"/>
      <c r="O1165" s="8" t="s">
        <v>19</v>
      </c>
    </row>
    <row r="1166" spans="1:15" s="14" customFormat="1" x14ac:dyDescent="0.25">
      <c r="A1166" s="13">
        <v>1198</v>
      </c>
      <c r="B1166" s="16">
        <v>1198</v>
      </c>
      <c r="C1166" s="13" t="s">
        <v>3997</v>
      </c>
      <c r="D1166" s="6" t="s">
        <v>2540</v>
      </c>
      <c r="E1166" s="13" t="s">
        <v>2931</v>
      </c>
      <c r="F1166" s="13"/>
      <c r="G1166" s="17">
        <v>5.2</v>
      </c>
      <c r="H1166" s="16">
        <v>99</v>
      </c>
      <c r="I1166" s="18">
        <v>4.0030000000000001</v>
      </c>
      <c r="J1166" s="13"/>
      <c r="K1166" s="13"/>
      <c r="L1166" s="17">
        <f>G1166-J1166</f>
        <v>5.2</v>
      </c>
      <c r="M1166" s="18">
        <f>L1166*(H1166*H1166)*0.7854/10000</f>
        <v>4.0028068080000008</v>
      </c>
      <c r="N1166" s="10" t="s">
        <v>1007</v>
      </c>
      <c r="O1166" s="8" t="s">
        <v>30</v>
      </c>
    </row>
    <row r="1167" spans="1:15" s="14" customFormat="1" x14ac:dyDescent="0.25">
      <c r="A1167" s="13">
        <v>1199</v>
      </c>
      <c r="B1167" s="16">
        <v>1199</v>
      </c>
      <c r="C1167" s="13" t="s">
        <v>3998</v>
      </c>
      <c r="D1167" s="6">
        <v>1285</v>
      </c>
      <c r="E1167" s="13" t="s">
        <v>2931</v>
      </c>
      <c r="F1167" s="13"/>
      <c r="G1167" s="17">
        <v>12</v>
      </c>
      <c r="H1167" s="16">
        <v>102</v>
      </c>
      <c r="I1167" s="18">
        <v>9.8059999999999992</v>
      </c>
      <c r="J1167" s="13"/>
      <c r="K1167" s="13"/>
      <c r="L1167" s="17">
        <f>G1167-J1167</f>
        <v>12</v>
      </c>
      <c r="M1167" s="18">
        <f>L1167*(H1167*H1167)*0.7854/10000</f>
        <v>9.8055619200000006</v>
      </c>
      <c r="N1167" s="10" t="s">
        <v>21</v>
      </c>
      <c r="O1167" s="8" t="s">
        <v>19</v>
      </c>
    </row>
    <row r="1168" spans="1:15" s="14" customFormat="1" x14ac:dyDescent="0.25">
      <c r="A1168" s="13">
        <v>1200</v>
      </c>
      <c r="B1168" s="16">
        <v>1200</v>
      </c>
      <c r="C1168" s="13" t="s">
        <v>3999</v>
      </c>
      <c r="D1168" s="6" t="s">
        <v>2545</v>
      </c>
      <c r="E1168" s="13" t="s">
        <v>2931</v>
      </c>
      <c r="F1168" s="13"/>
      <c r="G1168" s="17">
        <v>10.199999999999999</v>
      </c>
      <c r="H1168" s="16">
        <v>93</v>
      </c>
      <c r="I1168" s="18">
        <v>6.9290000000000003</v>
      </c>
      <c r="J1168" s="13">
        <v>0.3</v>
      </c>
      <c r="K1168" s="13"/>
      <c r="L1168" s="17">
        <f>G1168-J1168</f>
        <v>9.8999999999999986</v>
      </c>
      <c r="M1168" s="18">
        <f>L1168*(H1168*H1168)*0.7854/10000</f>
        <v>6.7249953539999989</v>
      </c>
      <c r="N1168" s="10"/>
      <c r="O1168" s="8" t="s">
        <v>19</v>
      </c>
    </row>
    <row r="1169" spans="1:15" s="14" customFormat="1" x14ac:dyDescent="0.25">
      <c r="A1169" s="13">
        <v>1201</v>
      </c>
      <c r="B1169" s="16">
        <v>1201</v>
      </c>
      <c r="C1169" s="13" t="s">
        <v>4000</v>
      </c>
      <c r="D1169" s="6" t="s">
        <v>2548</v>
      </c>
      <c r="E1169" s="13" t="s">
        <v>2931</v>
      </c>
      <c r="F1169" s="13"/>
      <c r="G1169" s="17">
        <v>9.5</v>
      </c>
      <c r="H1169" s="16">
        <v>89</v>
      </c>
      <c r="I1169" s="18">
        <v>5.91</v>
      </c>
      <c r="J1169" s="13"/>
      <c r="K1169" s="13"/>
      <c r="L1169" s="17">
        <f>G1169-J1169</f>
        <v>9.5</v>
      </c>
      <c r="M1169" s="18">
        <f>L1169*(H1169*H1169)*0.7854/10000</f>
        <v>5.9100957300000001</v>
      </c>
      <c r="N1169" s="10"/>
      <c r="O1169" s="8" t="s">
        <v>30</v>
      </c>
    </row>
    <row r="1170" spans="1:15" s="14" customFormat="1" x14ac:dyDescent="0.25">
      <c r="A1170" s="13">
        <v>1202</v>
      </c>
      <c r="B1170" s="16">
        <v>1202</v>
      </c>
      <c r="C1170" s="13" t="s">
        <v>4001</v>
      </c>
      <c r="D1170" s="6" t="s">
        <v>2551</v>
      </c>
      <c r="E1170" s="13" t="s">
        <v>2931</v>
      </c>
      <c r="F1170" s="13"/>
      <c r="G1170" s="17">
        <v>4.9000000000000004</v>
      </c>
      <c r="H1170" s="16">
        <v>85</v>
      </c>
      <c r="I1170" s="18">
        <v>2.7810000000000001</v>
      </c>
      <c r="J1170" s="13"/>
      <c r="K1170" s="13"/>
      <c r="L1170" s="17">
        <f>G1170-J1170</f>
        <v>4.9000000000000004</v>
      </c>
      <c r="M1170" s="18">
        <f>L1170*(H1170*H1170)*0.7854/10000</f>
        <v>2.78051235</v>
      </c>
      <c r="N1170" s="10"/>
      <c r="O1170" s="8" t="s">
        <v>19</v>
      </c>
    </row>
    <row r="1171" spans="1:15" s="14" customFormat="1" x14ac:dyDescent="0.25">
      <c r="A1171" s="13">
        <v>1203</v>
      </c>
      <c r="B1171" s="16">
        <v>1203</v>
      </c>
      <c r="C1171" s="13" t="s">
        <v>4002</v>
      </c>
      <c r="D1171" s="6" t="s">
        <v>2554</v>
      </c>
      <c r="E1171" s="13" t="s">
        <v>2931</v>
      </c>
      <c r="F1171" s="13"/>
      <c r="G1171" s="17">
        <v>13</v>
      </c>
      <c r="H1171" s="16">
        <v>94</v>
      </c>
      <c r="I1171" s="18">
        <v>9.0220000000000002</v>
      </c>
      <c r="J1171" s="13"/>
      <c r="K1171" s="13"/>
      <c r="L1171" s="17">
        <f>G1171-J1171</f>
        <v>13</v>
      </c>
      <c r="M1171" s="18">
        <f>L1171*(H1171*H1171)*0.7854/10000</f>
        <v>9.0217327199999993</v>
      </c>
      <c r="N1171" s="10" t="s">
        <v>21</v>
      </c>
      <c r="O1171" s="8" t="s">
        <v>19</v>
      </c>
    </row>
    <row r="1172" spans="1:15" s="14" customFormat="1" x14ac:dyDescent="0.25">
      <c r="A1172" s="13">
        <v>1204</v>
      </c>
      <c r="B1172" s="16">
        <v>1204</v>
      </c>
      <c r="C1172" s="13" t="s">
        <v>4003</v>
      </c>
      <c r="D1172" s="6" t="s">
        <v>2557</v>
      </c>
      <c r="E1172" s="13" t="s">
        <v>2931</v>
      </c>
      <c r="F1172" s="13"/>
      <c r="G1172" s="17">
        <v>6.9</v>
      </c>
      <c r="H1172" s="16">
        <v>86</v>
      </c>
      <c r="I1172" s="18">
        <v>4.008</v>
      </c>
      <c r="J1172" s="13"/>
      <c r="K1172" s="13"/>
      <c r="L1172" s="17">
        <f>G1172-J1172</f>
        <v>6.9</v>
      </c>
      <c r="M1172" s="18">
        <f>L1172*(H1172*H1172)*0.7854/10000</f>
        <v>4.0080846960000001</v>
      </c>
      <c r="N1172" s="11" t="s">
        <v>21</v>
      </c>
      <c r="O1172" s="8" t="s">
        <v>19</v>
      </c>
    </row>
    <row r="1173" spans="1:15" s="14" customFormat="1" x14ac:dyDescent="0.25">
      <c r="A1173" s="13">
        <v>1205</v>
      </c>
      <c r="B1173" s="16">
        <v>1205</v>
      </c>
      <c r="C1173" s="13" t="s">
        <v>4004</v>
      </c>
      <c r="D1173" s="6" t="s">
        <v>2560</v>
      </c>
      <c r="E1173" s="13" t="s">
        <v>2931</v>
      </c>
      <c r="F1173" s="13"/>
      <c r="G1173" s="17">
        <v>12.9</v>
      </c>
      <c r="H1173" s="16">
        <v>61</v>
      </c>
      <c r="I1173" s="18">
        <v>3.77</v>
      </c>
      <c r="J1173" s="13"/>
      <c r="K1173" s="13"/>
      <c r="L1173" s="17">
        <f>G1173-J1173</f>
        <v>12.9</v>
      </c>
      <c r="M1173" s="18">
        <f>L1173*(H1173*H1173)*0.7854/10000</f>
        <v>3.7699906860000003</v>
      </c>
      <c r="N1173" s="10"/>
      <c r="O1173" s="8" t="s">
        <v>19</v>
      </c>
    </row>
    <row r="1174" spans="1:15" s="14" customFormat="1" x14ac:dyDescent="0.25">
      <c r="A1174" s="13">
        <v>1206</v>
      </c>
      <c r="B1174" s="16">
        <v>1206</v>
      </c>
      <c r="C1174" s="13" t="s">
        <v>4005</v>
      </c>
      <c r="D1174" s="6" t="s">
        <v>2563</v>
      </c>
      <c r="E1174" s="13" t="s">
        <v>2931</v>
      </c>
      <c r="F1174" s="13"/>
      <c r="G1174" s="17">
        <v>12.9</v>
      </c>
      <c r="H1174" s="16">
        <v>86</v>
      </c>
      <c r="I1174" s="18">
        <v>7.4930000000000003</v>
      </c>
      <c r="J1174" s="13"/>
      <c r="K1174" s="13"/>
      <c r="L1174" s="17">
        <f>G1174-J1174</f>
        <v>12.9</v>
      </c>
      <c r="M1174" s="18">
        <f>L1174*(H1174*H1174)*0.7854/10000</f>
        <v>7.493375736</v>
      </c>
      <c r="N1174" s="9" t="s">
        <v>53</v>
      </c>
      <c r="O1174" s="8" t="s">
        <v>19</v>
      </c>
    </row>
    <row r="1175" spans="1:15" s="14" customFormat="1" x14ac:dyDescent="0.25">
      <c r="A1175" s="13">
        <v>1207</v>
      </c>
      <c r="B1175" s="16">
        <v>1207</v>
      </c>
      <c r="C1175" s="13" t="s">
        <v>4006</v>
      </c>
      <c r="D1175" s="6" t="s">
        <v>2566</v>
      </c>
      <c r="E1175" s="13" t="s">
        <v>2931</v>
      </c>
      <c r="F1175" s="13"/>
      <c r="G1175" s="17">
        <v>8.1</v>
      </c>
      <c r="H1175" s="16">
        <v>110</v>
      </c>
      <c r="I1175" s="18">
        <v>7.6980000000000004</v>
      </c>
      <c r="J1175" s="13"/>
      <c r="K1175" s="13"/>
      <c r="L1175" s="17">
        <f>G1175-J1175</f>
        <v>8.1</v>
      </c>
      <c r="M1175" s="18">
        <f>L1175*(H1175*H1175)*0.7854/10000</f>
        <v>7.6977054000000003</v>
      </c>
      <c r="N1175" s="9"/>
      <c r="O1175" s="8" t="s">
        <v>19</v>
      </c>
    </row>
    <row r="1176" spans="1:15" s="14" customFormat="1" x14ac:dyDescent="0.25">
      <c r="A1176" s="13">
        <v>1208</v>
      </c>
      <c r="B1176" s="16">
        <v>1208</v>
      </c>
      <c r="C1176" s="13" t="s">
        <v>4007</v>
      </c>
      <c r="D1176" s="6" t="s">
        <v>2569</v>
      </c>
      <c r="E1176" s="13" t="s">
        <v>2931</v>
      </c>
      <c r="F1176" s="13"/>
      <c r="G1176" s="17">
        <v>5.6</v>
      </c>
      <c r="H1176" s="16">
        <v>76</v>
      </c>
      <c r="I1176" s="18">
        <v>2.54</v>
      </c>
      <c r="J1176" s="13"/>
      <c r="K1176" s="13"/>
      <c r="L1176" s="17">
        <f>G1176-J1176</f>
        <v>5.6</v>
      </c>
      <c r="M1176" s="18">
        <f>L1176*(H1176*H1176)*0.7854/10000</f>
        <v>2.5404234239999997</v>
      </c>
      <c r="N1176" s="9"/>
      <c r="O1176" s="8" t="s">
        <v>19</v>
      </c>
    </row>
    <row r="1177" spans="1:15" s="14" customFormat="1" x14ac:dyDescent="0.25">
      <c r="A1177" s="13">
        <v>1209</v>
      </c>
      <c r="B1177" s="16">
        <v>1209</v>
      </c>
      <c r="C1177" s="13" t="s">
        <v>4008</v>
      </c>
      <c r="D1177" s="6" t="s">
        <v>2572</v>
      </c>
      <c r="E1177" s="13" t="s">
        <v>2931</v>
      </c>
      <c r="F1177" s="13"/>
      <c r="G1177" s="17">
        <v>11.4</v>
      </c>
      <c r="H1177" s="16">
        <v>101</v>
      </c>
      <c r="I1177" s="18">
        <v>9.1340000000000003</v>
      </c>
      <c r="J1177" s="13"/>
      <c r="K1177" s="13"/>
      <c r="L1177" s="17">
        <f>G1177-J1177</f>
        <v>11.4</v>
      </c>
      <c r="M1177" s="18">
        <f>L1177*(H1177*H1177)*0.7854/10000</f>
        <v>9.1335265559999996</v>
      </c>
      <c r="N1177" s="9"/>
      <c r="O1177" s="8" t="s">
        <v>19</v>
      </c>
    </row>
    <row r="1178" spans="1:15" s="14" customFormat="1" x14ac:dyDescent="0.25">
      <c r="A1178" s="13">
        <v>1210</v>
      </c>
      <c r="B1178" s="16">
        <v>1210</v>
      </c>
      <c r="C1178" s="13" t="s">
        <v>4009</v>
      </c>
      <c r="D1178" s="6" t="s">
        <v>2575</v>
      </c>
      <c r="E1178" s="13" t="s">
        <v>2931</v>
      </c>
      <c r="F1178" s="13"/>
      <c r="G1178" s="17">
        <v>7.3</v>
      </c>
      <c r="H1178" s="16">
        <v>93</v>
      </c>
      <c r="I1178" s="18">
        <v>4.9589999999999996</v>
      </c>
      <c r="J1178" s="13"/>
      <c r="K1178" s="13"/>
      <c r="L1178" s="17">
        <f>G1178-J1178</f>
        <v>7.3</v>
      </c>
      <c r="M1178" s="18">
        <f>L1178*(H1178*H1178)*0.7854/10000</f>
        <v>4.9588349579999997</v>
      </c>
      <c r="N1178" s="9"/>
      <c r="O1178" s="8" t="s">
        <v>30</v>
      </c>
    </row>
    <row r="1179" spans="1:15" s="14" customFormat="1" x14ac:dyDescent="0.25">
      <c r="A1179" s="13">
        <v>1211</v>
      </c>
      <c r="B1179" s="16">
        <v>1211</v>
      </c>
      <c r="C1179" s="13" t="s">
        <v>4010</v>
      </c>
      <c r="D1179" s="6">
        <v>1446</v>
      </c>
      <c r="E1179" s="13" t="s">
        <v>2931</v>
      </c>
      <c r="F1179" s="13"/>
      <c r="G1179" s="17">
        <v>12.2</v>
      </c>
      <c r="H1179" s="16">
        <v>110</v>
      </c>
      <c r="I1179" s="18">
        <v>11.593999999999999</v>
      </c>
      <c r="J1179" s="13"/>
      <c r="K1179" s="13"/>
      <c r="L1179" s="17">
        <f>G1179-J1179</f>
        <v>12.2</v>
      </c>
      <c r="M1179" s="18">
        <f>L1179*(H1179*H1179)*0.7854/10000</f>
        <v>11.5940748</v>
      </c>
      <c r="N1179" s="9"/>
      <c r="O1179" s="8" t="s">
        <v>19</v>
      </c>
    </row>
    <row r="1180" spans="1:15" s="14" customFormat="1" x14ac:dyDescent="0.25">
      <c r="A1180" s="13">
        <v>1212</v>
      </c>
      <c r="B1180" s="16">
        <v>1212</v>
      </c>
      <c r="C1180" s="13" t="s">
        <v>4011</v>
      </c>
      <c r="D1180" s="6" t="s">
        <v>2580</v>
      </c>
      <c r="E1180" s="13" t="s">
        <v>2931</v>
      </c>
      <c r="F1180" s="13"/>
      <c r="G1180" s="17">
        <v>10.1</v>
      </c>
      <c r="H1180" s="16">
        <v>106</v>
      </c>
      <c r="I1180" s="18">
        <v>8.9130000000000003</v>
      </c>
      <c r="J1180" s="13">
        <v>0.4</v>
      </c>
      <c r="K1180" s="13"/>
      <c r="L1180" s="17">
        <f>G1180-J1180</f>
        <v>9.6999999999999993</v>
      </c>
      <c r="M1180" s="18">
        <f>L1180*(H1180*H1180)*0.7854/10000</f>
        <v>8.560011767999999</v>
      </c>
      <c r="N1180" s="9"/>
      <c r="O1180" s="8" t="s">
        <v>19</v>
      </c>
    </row>
    <row r="1181" spans="1:15" s="14" customFormat="1" x14ac:dyDescent="0.25">
      <c r="A1181" s="13">
        <v>1213</v>
      </c>
      <c r="B1181" s="16">
        <v>1213</v>
      </c>
      <c r="C1181" s="13" t="s">
        <v>4012</v>
      </c>
      <c r="D1181" s="6" t="s">
        <v>2583</v>
      </c>
      <c r="E1181" s="13" t="s">
        <v>2931</v>
      </c>
      <c r="F1181" s="13"/>
      <c r="G1181" s="17">
        <v>5.3</v>
      </c>
      <c r="H1181" s="16">
        <v>104</v>
      </c>
      <c r="I1181" s="18">
        <v>4.5019999999999998</v>
      </c>
      <c r="J1181" s="13"/>
      <c r="K1181" s="13"/>
      <c r="L1181" s="17">
        <f>G1181-J1181</f>
        <v>5.3</v>
      </c>
      <c r="M1181" s="18">
        <f>L1181*(H1181*H1181)*0.7854/10000</f>
        <v>4.502289792</v>
      </c>
      <c r="N1181" s="5"/>
      <c r="O1181" s="8" t="s">
        <v>30</v>
      </c>
    </row>
    <row r="1182" spans="1:15" s="14" customFormat="1" x14ac:dyDescent="0.25">
      <c r="A1182" s="13">
        <v>1215</v>
      </c>
      <c r="B1182" s="16">
        <v>1215</v>
      </c>
      <c r="C1182" s="13" t="s">
        <v>4013</v>
      </c>
      <c r="D1182" s="6" t="s">
        <v>2586</v>
      </c>
      <c r="E1182" s="13" t="s">
        <v>2931</v>
      </c>
      <c r="F1182" s="13"/>
      <c r="G1182" s="17">
        <v>11.8</v>
      </c>
      <c r="H1182" s="16">
        <v>98</v>
      </c>
      <c r="I1182" s="18">
        <v>8.9009999999999998</v>
      </c>
      <c r="J1182" s="13"/>
      <c r="K1182" s="13"/>
      <c r="L1182" s="17">
        <f>G1182-J1182</f>
        <v>11.8</v>
      </c>
      <c r="M1182" s="18">
        <f>L1182*(H1182*H1182)*0.7854/10000</f>
        <v>8.9007182880000002</v>
      </c>
      <c r="N1182" s="9"/>
      <c r="O1182" s="8" t="s">
        <v>19</v>
      </c>
    </row>
    <row r="1183" spans="1:15" s="14" customFormat="1" x14ac:dyDescent="0.25">
      <c r="A1183" s="13">
        <v>1216</v>
      </c>
      <c r="B1183" s="16">
        <v>1216</v>
      </c>
      <c r="C1183" s="13" t="s">
        <v>4014</v>
      </c>
      <c r="D1183" s="6" t="s">
        <v>2589</v>
      </c>
      <c r="E1183" s="13" t="s">
        <v>2931</v>
      </c>
      <c r="F1183" s="13"/>
      <c r="G1183" s="17">
        <v>9.9</v>
      </c>
      <c r="H1183" s="16">
        <v>88</v>
      </c>
      <c r="I1183" s="18">
        <v>6.0209999999999999</v>
      </c>
      <c r="J1183" s="13"/>
      <c r="K1183" s="13"/>
      <c r="L1183" s="17">
        <f>G1183-J1183</f>
        <v>9.9</v>
      </c>
      <c r="M1183" s="18">
        <f>L1183*(H1183*H1183)*0.7854/10000</f>
        <v>6.0213162240000004</v>
      </c>
      <c r="N1183" s="9"/>
      <c r="O1183" s="8" t="s">
        <v>19</v>
      </c>
    </row>
    <row r="1184" spans="1:15" s="14" customFormat="1" x14ac:dyDescent="0.25">
      <c r="A1184" s="13">
        <v>1217</v>
      </c>
      <c r="B1184" s="16">
        <v>1217</v>
      </c>
      <c r="C1184" s="13" t="s">
        <v>4015</v>
      </c>
      <c r="D1184" s="6">
        <v>160</v>
      </c>
      <c r="E1184" s="13" t="s">
        <v>2931</v>
      </c>
      <c r="F1184" s="13"/>
      <c r="G1184" s="17">
        <v>8.6999999999999993</v>
      </c>
      <c r="H1184" s="16">
        <v>65</v>
      </c>
      <c r="I1184" s="18">
        <v>2.887</v>
      </c>
      <c r="J1184" s="13"/>
      <c r="K1184" s="13"/>
      <c r="L1184" s="17">
        <f>G1184-J1184</f>
        <v>8.6999999999999993</v>
      </c>
      <c r="M1184" s="18">
        <f>L1184*(H1184*H1184)*0.7854/10000</f>
        <v>2.8869340499999998</v>
      </c>
      <c r="N1184" s="5" t="s">
        <v>53</v>
      </c>
      <c r="O1184" s="8" t="s">
        <v>30</v>
      </c>
    </row>
    <row r="1185" spans="1:15" s="14" customFormat="1" x14ac:dyDescent="0.25">
      <c r="A1185" s="13">
        <v>1218</v>
      </c>
      <c r="B1185" s="16">
        <v>1218</v>
      </c>
      <c r="C1185" s="13" t="s">
        <v>4016</v>
      </c>
      <c r="D1185" s="6" t="s">
        <v>2594</v>
      </c>
      <c r="E1185" s="13" t="s">
        <v>2931</v>
      </c>
      <c r="F1185" s="13"/>
      <c r="G1185" s="17">
        <v>10.7</v>
      </c>
      <c r="H1185" s="16">
        <v>73</v>
      </c>
      <c r="I1185" s="18">
        <v>4.4779999999999998</v>
      </c>
      <c r="J1185" s="13"/>
      <c r="K1185" s="13"/>
      <c r="L1185" s="17">
        <f>G1185-J1185</f>
        <v>10.7</v>
      </c>
      <c r="M1185" s="18">
        <f>L1185*(H1185*H1185)*0.7854/10000</f>
        <v>4.4783743619999994</v>
      </c>
      <c r="N1185" s="9"/>
      <c r="O1185" s="8" t="s">
        <v>19</v>
      </c>
    </row>
    <row r="1186" spans="1:15" s="14" customFormat="1" x14ac:dyDescent="0.25">
      <c r="A1186" s="13">
        <v>1219</v>
      </c>
      <c r="B1186" s="16">
        <v>1219</v>
      </c>
      <c r="C1186" s="13" t="s">
        <v>4017</v>
      </c>
      <c r="D1186" s="6" t="s">
        <v>2597</v>
      </c>
      <c r="E1186" s="13" t="s">
        <v>2931</v>
      </c>
      <c r="F1186" s="13"/>
      <c r="G1186" s="17">
        <v>5.0999999999999996</v>
      </c>
      <c r="H1186" s="16">
        <v>70</v>
      </c>
      <c r="I1186" s="18">
        <v>1.9630000000000001</v>
      </c>
      <c r="J1186" s="13"/>
      <c r="K1186" s="13"/>
      <c r="L1186" s="17">
        <f>G1186-J1186</f>
        <v>5.0999999999999996</v>
      </c>
      <c r="M1186" s="18">
        <f>L1186*(H1186*H1186)*0.7854/10000</f>
        <v>1.9627146</v>
      </c>
      <c r="N1186" s="9"/>
      <c r="O1186" s="8" t="s">
        <v>19</v>
      </c>
    </row>
    <row r="1187" spans="1:15" s="14" customFormat="1" x14ac:dyDescent="0.25">
      <c r="A1187" s="13">
        <v>1220</v>
      </c>
      <c r="B1187" s="16">
        <v>1220</v>
      </c>
      <c r="C1187" s="13" t="s">
        <v>4018</v>
      </c>
      <c r="D1187" s="6" t="s">
        <v>2600</v>
      </c>
      <c r="E1187" s="13" t="s">
        <v>2931</v>
      </c>
      <c r="F1187" s="13"/>
      <c r="G1187" s="17">
        <v>9.6999999999999993</v>
      </c>
      <c r="H1187" s="16">
        <v>125</v>
      </c>
      <c r="I1187" s="18">
        <v>11.904</v>
      </c>
      <c r="J1187" s="13"/>
      <c r="K1187" s="13"/>
      <c r="L1187" s="17">
        <f>G1187-J1187</f>
        <v>9.6999999999999993</v>
      </c>
      <c r="M1187" s="18">
        <f>L1187*(H1187*H1187)*0.7854/10000</f>
        <v>11.903718749999999</v>
      </c>
      <c r="N1187" s="9"/>
      <c r="O1187" s="8" t="s">
        <v>19</v>
      </c>
    </row>
    <row r="1188" spans="1:15" s="14" customFormat="1" x14ac:dyDescent="0.25">
      <c r="A1188" s="13">
        <v>1221</v>
      </c>
      <c r="B1188" s="16">
        <v>1221</v>
      </c>
      <c r="C1188" s="13" t="s">
        <v>4019</v>
      </c>
      <c r="D1188" s="6" t="s">
        <v>2603</v>
      </c>
      <c r="E1188" s="13" t="s">
        <v>2931</v>
      </c>
      <c r="F1188" s="13"/>
      <c r="G1188" s="17">
        <v>8</v>
      </c>
      <c r="H1188" s="16">
        <v>117</v>
      </c>
      <c r="I1188" s="18">
        <v>8.6010000000000009</v>
      </c>
      <c r="J1188" s="13"/>
      <c r="K1188" s="13"/>
      <c r="L1188" s="17">
        <f>G1188-J1188</f>
        <v>8</v>
      </c>
      <c r="M1188" s="18">
        <f>L1188*(H1188*H1188)*0.7854/10000</f>
        <v>8.6010724799999991</v>
      </c>
      <c r="N1188" s="9" t="s">
        <v>53</v>
      </c>
      <c r="O1188" s="8" t="s">
        <v>19</v>
      </c>
    </row>
    <row r="1189" spans="1:15" s="14" customFormat="1" x14ac:dyDescent="0.25">
      <c r="A1189" s="13">
        <v>1222</v>
      </c>
      <c r="B1189" s="16">
        <v>1222</v>
      </c>
      <c r="C1189" s="13" t="s">
        <v>4020</v>
      </c>
      <c r="D1189" s="6" t="s">
        <v>2606</v>
      </c>
      <c r="E1189" s="13" t="s">
        <v>2931</v>
      </c>
      <c r="F1189" s="13"/>
      <c r="G1189" s="17">
        <v>10.5</v>
      </c>
      <c r="H1189" s="16">
        <v>110</v>
      </c>
      <c r="I1189" s="18">
        <v>9.9779999999999998</v>
      </c>
      <c r="J1189" s="13"/>
      <c r="K1189" s="13"/>
      <c r="L1189" s="17">
        <f>G1189-J1189</f>
        <v>10.5</v>
      </c>
      <c r="M1189" s="18">
        <f>L1189*(H1189*H1189)*0.7854/10000</f>
        <v>9.9785069999999987</v>
      </c>
      <c r="N1189" s="9"/>
      <c r="O1189" s="8" t="s">
        <v>19</v>
      </c>
    </row>
    <row r="1190" spans="1:15" s="14" customFormat="1" x14ac:dyDescent="0.25">
      <c r="A1190" s="13">
        <v>1223</v>
      </c>
      <c r="B1190" s="16">
        <v>1223</v>
      </c>
      <c r="C1190" s="13" t="s">
        <v>4021</v>
      </c>
      <c r="D1190" s="6" t="s">
        <v>2609</v>
      </c>
      <c r="E1190" s="13" t="s">
        <v>2931</v>
      </c>
      <c r="F1190" s="13"/>
      <c r="G1190" s="17">
        <v>10.6</v>
      </c>
      <c r="H1190" s="16">
        <v>84</v>
      </c>
      <c r="I1190" s="18">
        <v>5.8739999999999997</v>
      </c>
      <c r="J1190" s="13"/>
      <c r="K1190" s="13"/>
      <c r="L1190" s="17">
        <f>G1190-J1190</f>
        <v>10.6</v>
      </c>
      <c r="M1190" s="18">
        <f>L1190*(H1190*H1190)*0.7854/10000</f>
        <v>5.8742893439999992</v>
      </c>
      <c r="N1190" s="9"/>
      <c r="O1190" s="8" t="s">
        <v>19</v>
      </c>
    </row>
    <row r="1191" spans="1:15" s="14" customFormat="1" x14ac:dyDescent="0.25">
      <c r="A1191" s="13">
        <v>1224</v>
      </c>
      <c r="B1191" s="16">
        <v>1224</v>
      </c>
      <c r="C1191" s="13" t="s">
        <v>4022</v>
      </c>
      <c r="D1191" s="6" t="s">
        <v>2612</v>
      </c>
      <c r="E1191" s="13" t="s">
        <v>2931</v>
      </c>
      <c r="F1191" s="13"/>
      <c r="G1191" s="17">
        <v>6</v>
      </c>
      <c r="H1191" s="16">
        <v>79</v>
      </c>
      <c r="I1191" s="18">
        <v>2.9409999999999998</v>
      </c>
      <c r="J1191" s="13">
        <v>0.4</v>
      </c>
      <c r="K1191" s="13"/>
      <c r="L1191" s="17">
        <f>G1191-J1191</f>
        <v>5.6</v>
      </c>
      <c r="M1191" s="18">
        <f>L1191*(H1191*H1191)*0.7854/10000</f>
        <v>2.7449415839999998</v>
      </c>
      <c r="N1191" s="9"/>
      <c r="O1191" s="8" t="s">
        <v>19</v>
      </c>
    </row>
    <row r="1192" spans="1:15" s="14" customFormat="1" x14ac:dyDescent="0.25">
      <c r="A1192" s="13">
        <v>1225</v>
      </c>
      <c r="B1192" s="16">
        <v>1225</v>
      </c>
      <c r="C1192" s="13" t="s">
        <v>4023</v>
      </c>
      <c r="D1192" s="6" t="s">
        <v>2615</v>
      </c>
      <c r="E1192" s="13" t="s">
        <v>2931</v>
      </c>
      <c r="F1192" s="13"/>
      <c r="G1192" s="17">
        <v>9.1999999999999993</v>
      </c>
      <c r="H1192" s="16">
        <v>70</v>
      </c>
      <c r="I1192" s="18">
        <v>3.5409999999999999</v>
      </c>
      <c r="J1192" s="13"/>
      <c r="K1192" s="13"/>
      <c r="L1192" s="17">
        <f>G1192-J1192</f>
        <v>9.1999999999999993</v>
      </c>
      <c r="M1192" s="18">
        <f>L1192*(H1192*H1192)*0.7854/10000</f>
        <v>3.5405832000000004</v>
      </c>
      <c r="N1192" s="9" t="s">
        <v>53</v>
      </c>
      <c r="O1192" s="8" t="s">
        <v>19</v>
      </c>
    </row>
    <row r="1193" spans="1:15" s="14" customFormat="1" x14ac:dyDescent="0.25">
      <c r="A1193" s="13">
        <v>1226</v>
      </c>
      <c r="B1193" s="16">
        <v>1226</v>
      </c>
      <c r="C1193" s="13" t="s">
        <v>4024</v>
      </c>
      <c r="D1193" s="6" t="s">
        <v>2618</v>
      </c>
      <c r="E1193" s="13" t="s">
        <v>2931</v>
      </c>
      <c r="F1193" s="13"/>
      <c r="G1193" s="17">
        <v>4.4000000000000004</v>
      </c>
      <c r="H1193" s="16">
        <v>65</v>
      </c>
      <c r="I1193" s="18">
        <v>1.46</v>
      </c>
      <c r="J1193" s="13"/>
      <c r="K1193" s="13"/>
      <c r="L1193" s="17">
        <f>G1193-J1193</f>
        <v>4.4000000000000004</v>
      </c>
      <c r="M1193" s="18">
        <f>L1193*(H1193*H1193)*0.7854/10000</f>
        <v>1.4600586</v>
      </c>
      <c r="N1193" s="9" t="s">
        <v>53</v>
      </c>
      <c r="O1193" s="8" t="s">
        <v>30</v>
      </c>
    </row>
    <row r="1194" spans="1:15" s="14" customFormat="1" x14ac:dyDescent="0.25">
      <c r="A1194" s="13">
        <v>1227</v>
      </c>
      <c r="B1194" s="16">
        <v>1227</v>
      </c>
      <c r="C1194" s="13" t="s">
        <v>4025</v>
      </c>
      <c r="D1194" s="6" t="s">
        <v>2621</v>
      </c>
      <c r="E1194" s="13" t="s">
        <v>2931</v>
      </c>
      <c r="F1194" s="13"/>
      <c r="G1194" s="17">
        <v>5</v>
      </c>
      <c r="H1194" s="16">
        <v>118</v>
      </c>
      <c r="I1194" s="18">
        <v>5.468</v>
      </c>
      <c r="J1194" s="13">
        <v>0.5</v>
      </c>
      <c r="K1194" s="13"/>
      <c r="L1194" s="17">
        <f>G1194-J1194</f>
        <v>4.5</v>
      </c>
      <c r="M1194" s="18">
        <f>L1194*(H1194*H1194)*0.7854/10000</f>
        <v>4.9211593199999992</v>
      </c>
      <c r="N1194" s="9" t="s">
        <v>53</v>
      </c>
      <c r="O1194" s="8" t="s">
        <v>19</v>
      </c>
    </row>
    <row r="1195" spans="1:15" s="14" customFormat="1" x14ac:dyDescent="0.25">
      <c r="A1195" s="13">
        <v>1228</v>
      </c>
      <c r="B1195" s="16">
        <v>1228</v>
      </c>
      <c r="C1195" s="13" t="s">
        <v>4026</v>
      </c>
      <c r="D1195" s="6">
        <v>5100</v>
      </c>
      <c r="E1195" s="13" t="s">
        <v>2931</v>
      </c>
      <c r="F1195" s="13"/>
      <c r="G1195" s="17">
        <v>13.7</v>
      </c>
      <c r="H1195" s="16">
        <v>98</v>
      </c>
      <c r="I1195" s="18">
        <v>10.334</v>
      </c>
      <c r="J1195" s="13"/>
      <c r="K1195" s="13"/>
      <c r="L1195" s="17">
        <f>G1195-J1195</f>
        <v>13.7</v>
      </c>
      <c r="M1195" s="18">
        <f>L1195*(H1195*H1195)*0.7854/10000</f>
        <v>10.333884791999999</v>
      </c>
      <c r="N1195" s="9"/>
      <c r="O1195" s="8" t="s">
        <v>19</v>
      </c>
    </row>
    <row r="1196" spans="1:15" s="14" customFormat="1" x14ac:dyDescent="0.25">
      <c r="A1196" s="13">
        <v>1229</v>
      </c>
      <c r="B1196" s="16">
        <v>1229</v>
      </c>
      <c r="C1196" s="13" t="s">
        <v>4027</v>
      </c>
      <c r="D1196" s="6">
        <v>1130</v>
      </c>
      <c r="E1196" s="13" t="s">
        <v>2931</v>
      </c>
      <c r="F1196" s="13"/>
      <c r="G1196" s="17">
        <v>13.6</v>
      </c>
      <c r="H1196" s="16">
        <v>105</v>
      </c>
      <c r="I1196" s="18">
        <v>11.776</v>
      </c>
      <c r="J1196" s="13"/>
      <c r="K1196" s="13"/>
      <c r="L1196" s="17">
        <f>G1196-J1196</f>
        <v>13.6</v>
      </c>
      <c r="M1196" s="18">
        <f>L1196*(H1196*H1196)*0.7854/10000</f>
        <v>11.7762876</v>
      </c>
      <c r="N1196" s="9"/>
      <c r="O1196" s="8" t="s">
        <v>30</v>
      </c>
    </row>
    <row r="1197" spans="1:15" s="14" customFormat="1" x14ac:dyDescent="0.25">
      <c r="A1197" s="13">
        <v>1230</v>
      </c>
      <c r="B1197" s="16">
        <v>1230</v>
      </c>
      <c r="C1197" s="13" t="s">
        <v>4028</v>
      </c>
      <c r="D1197" s="6">
        <v>5101</v>
      </c>
      <c r="E1197" s="13" t="s">
        <v>2931</v>
      </c>
      <c r="F1197" s="13"/>
      <c r="G1197" s="17">
        <v>14.8</v>
      </c>
      <c r="H1197" s="16">
        <v>89</v>
      </c>
      <c r="I1197" s="18">
        <v>9.2070000000000007</v>
      </c>
      <c r="J1197" s="13"/>
      <c r="K1197" s="13"/>
      <c r="L1197" s="17">
        <f>G1197-J1197</f>
        <v>14.8</v>
      </c>
      <c r="M1197" s="18">
        <f>L1197*(H1197*H1197)*0.7854/10000</f>
        <v>9.2073070319999992</v>
      </c>
      <c r="N1197" s="9"/>
      <c r="O1197" s="8" t="s">
        <v>19</v>
      </c>
    </row>
    <row r="1198" spans="1:15" s="14" customFormat="1" x14ac:dyDescent="0.25">
      <c r="A1198" s="13">
        <v>1231</v>
      </c>
      <c r="B1198" s="16">
        <v>1231</v>
      </c>
      <c r="C1198" s="13" t="s">
        <v>4029</v>
      </c>
      <c r="D1198" s="6" t="s">
        <v>2630</v>
      </c>
      <c r="E1198" s="13" t="s">
        <v>2931</v>
      </c>
      <c r="F1198" s="13"/>
      <c r="G1198" s="17">
        <v>8.8000000000000007</v>
      </c>
      <c r="H1198" s="16">
        <v>66</v>
      </c>
      <c r="I1198" s="18">
        <v>3.0110000000000001</v>
      </c>
      <c r="J1198" s="13">
        <v>0.3</v>
      </c>
      <c r="K1198" s="13"/>
      <c r="L1198" s="17">
        <f>G1198-J1198</f>
        <v>8.5</v>
      </c>
      <c r="M1198" s="18">
        <f>L1198*(H1198*H1198)*0.7854/10000</f>
        <v>2.9080220399999996</v>
      </c>
      <c r="N1198" s="9" t="s">
        <v>53</v>
      </c>
      <c r="O1198" s="8" t="s">
        <v>19</v>
      </c>
    </row>
    <row r="1199" spans="1:15" s="14" customFormat="1" x14ac:dyDescent="0.25">
      <c r="A1199" s="13">
        <v>1232</v>
      </c>
      <c r="B1199" s="16">
        <v>1232</v>
      </c>
      <c r="C1199" s="13" t="s">
        <v>4030</v>
      </c>
      <c r="D1199" s="6">
        <v>4727</v>
      </c>
      <c r="E1199" s="13" t="s">
        <v>2931</v>
      </c>
      <c r="F1199" s="13"/>
      <c r="G1199" s="17">
        <v>10.3</v>
      </c>
      <c r="H1199" s="16">
        <v>62</v>
      </c>
      <c r="I1199" s="18">
        <v>3.11</v>
      </c>
      <c r="J1199" s="13">
        <v>0.3</v>
      </c>
      <c r="K1199" s="13"/>
      <c r="L1199" s="17">
        <f>G1199-J1199</f>
        <v>10</v>
      </c>
      <c r="M1199" s="18">
        <f>L1199*(H1199*H1199)*0.7854/10000</f>
        <v>3.0190775999999997</v>
      </c>
      <c r="N1199" s="9"/>
      <c r="O1199" s="8" t="s">
        <v>30</v>
      </c>
    </row>
    <row r="1200" spans="1:15" s="14" customFormat="1" x14ac:dyDescent="0.25">
      <c r="A1200" s="13">
        <v>1233</v>
      </c>
      <c r="B1200" s="16">
        <v>1233</v>
      </c>
      <c r="C1200" s="13" t="s">
        <v>4031</v>
      </c>
      <c r="D1200" s="6" t="s">
        <v>2635</v>
      </c>
      <c r="E1200" s="13" t="s">
        <v>2931</v>
      </c>
      <c r="F1200" s="13"/>
      <c r="G1200" s="17">
        <v>7.3</v>
      </c>
      <c r="H1200" s="16">
        <v>81</v>
      </c>
      <c r="I1200" s="18">
        <v>3.762</v>
      </c>
      <c r="J1200" s="13"/>
      <c r="K1200" s="13"/>
      <c r="L1200" s="17">
        <f>G1200-J1200</f>
        <v>7.3</v>
      </c>
      <c r="M1200" s="18">
        <f>L1200*(H1200*H1200)*0.7854/10000</f>
        <v>3.7616968619999991</v>
      </c>
      <c r="N1200" s="9"/>
      <c r="O1200" s="8" t="s">
        <v>19</v>
      </c>
    </row>
    <row r="1201" spans="1:15" s="14" customFormat="1" x14ac:dyDescent="0.25">
      <c r="A1201" s="13">
        <v>1234</v>
      </c>
      <c r="B1201" s="16">
        <v>1234</v>
      </c>
      <c r="C1201" s="13" t="s">
        <v>4032</v>
      </c>
      <c r="D1201" s="6" t="s">
        <v>2638</v>
      </c>
      <c r="E1201" s="13" t="s">
        <v>2931</v>
      </c>
      <c r="F1201" s="13"/>
      <c r="G1201" s="17">
        <v>11.2</v>
      </c>
      <c r="H1201" s="16">
        <v>74</v>
      </c>
      <c r="I1201" s="18">
        <v>4.8170000000000002</v>
      </c>
      <c r="J1201" s="13"/>
      <c r="K1201" s="13"/>
      <c r="L1201" s="17">
        <f>G1201-J1201</f>
        <v>11.2</v>
      </c>
      <c r="M1201" s="18">
        <f>L1201*(H1201*H1201)*0.7854/10000</f>
        <v>4.8169524480000003</v>
      </c>
      <c r="N1201" s="9"/>
      <c r="O1201" s="8" t="s">
        <v>19</v>
      </c>
    </row>
    <row r="1202" spans="1:15" s="14" customFormat="1" x14ac:dyDescent="0.25">
      <c r="A1202" s="13">
        <v>1235</v>
      </c>
      <c r="B1202" s="16">
        <v>1235</v>
      </c>
      <c r="C1202" s="13" t="s">
        <v>4033</v>
      </c>
      <c r="D1202" s="6" t="s">
        <v>2641</v>
      </c>
      <c r="E1202" s="13" t="s">
        <v>2931</v>
      </c>
      <c r="F1202" s="13"/>
      <c r="G1202" s="17">
        <v>9.5</v>
      </c>
      <c r="H1202" s="16">
        <v>86</v>
      </c>
      <c r="I1202" s="18">
        <v>5.5179999999999998</v>
      </c>
      <c r="J1202" s="13"/>
      <c r="K1202" s="13"/>
      <c r="L1202" s="17">
        <f>G1202-J1202</f>
        <v>9.5</v>
      </c>
      <c r="M1202" s="18">
        <f>L1202*(H1202*H1202)*0.7854/10000</f>
        <v>5.5183774799999998</v>
      </c>
      <c r="N1202" s="9"/>
      <c r="O1202" s="8" t="s">
        <v>19</v>
      </c>
    </row>
    <row r="1203" spans="1:15" s="14" customFormat="1" x14ac:dyDescent="0.25">
      <c r="A1203" s="13">
        <v>1236</v>
      </c>
      <c r="B1203" s="16">
        <v>1236</v>
      </c>
      <c r="C1203" s="13" t="s">
        <v>4034</v>
      </c>
      <c r="D1203" s="6">
        <v>135</v>
      </c>
      <c r="E1203" s="13" t="s">
        <v>2931</v>
      </c>
      <c r="F1203" s="13"/>
      <c r="G1203" s="17">
        <v>12.9</v>
      </c>
      <c r="H1203" s="16">
        <v>86</v>
      </c>
      <c r="I1203" s="18">
        <v>7.4930000000000003</v>
      </c>
      <c r="J1203" s="13"/>
      <c r="K1203" s="13"/>
      <c r="L1203" s="17">
        <f>G1203-J1203</f>
        <v>12.9</v>
      </c>
      <c r="M1203" s="18">
        <f>L1203*(H1203*H1203)*0.7854/10000</f>
        <v>7.493375736</v>
      </c>
      <c r="N1203" s="9"/>
      <c r="O1203" s="8" t="s">
        <v>19</v>
      </c>
    </row>
    <row r="1204" spans="1:15" s="14" customFormat="1" x14ac:dyDescent="0.25">
      <c r="A1204" s="13">
        <v>1237</v>
      </c>
      <c r="B1204" s="16">
        <v>1237</v>
      </c>
      <c r="C1204" s="13" t="s">
        <v>4035</v>
      </c>
      <c r="D1204" s="6" t="s">
        <v>2646</v>
      </c>
      <c r="E1204" s="13" t="s">
        <v>2931</v>
      </c>
      <c r="F1204" s="13"/>
      <c r="G1204" s="17">
        <v>12.4</v>
      </c>
      <c r="H1204" s="16">
        <v>103</v>
      </c>
      <c r="I1204" s="18">
        <v>10.332000000000001</v>
      </c>
      <c r="J1204" s="13">
        <v>0.4</v>
      </c>
      <c r="K1204" s="13"/>
      <c r="L1204" s="17">
        <f>G1204-J1204</f>
        <v>12</v>
      </c>
      <c r="M1204" s="18">
        <f>L1204*(H1204*H1204)*0.7854/10000</f>
        <v>9.9987703200000002</v>
      </c>
      <c r="N1204" s="9" t="s">
        <v>21</v>
      </c>
      <c r="O1204" s="8" t="s">
        <v>19</v>
      </c>
    </row>
    <row r="1205" spans="1:15" s="14" customFormat="1" x14ac:dyDescent="0.25">
      <c r="A1205" s="13">
        <v>1238</v>
      </c>
      <c r="B1205" s="16">
        <v>1238</v>
      </c>
      <c r="C1205" s="13" t="s">
        <v>4036</v>
      </c>
      <c r="D1205" s="6" t="s">
        <v>2649</v>
      </c>
      <c r="E1205" s="13" t="s">
        <v>2931</v>
      </c>
      <c r="F1205" s="13"/>
      <c r="G1205" s="17">
        <v>5</v>
      </c>
      <c r="H1205" s="16">
        <v>78</v>
      </c>
      <c r="I1205" s="18">
        <v>2.3889999999999998</v>
      </c>
      <c r="J1205" s="13"/>
      <c r="K1205" s="13"/>
      <c r="L1205" s="17">
        <f>G1205-J1205</f>
        <v>5</v>
      </c>
      <c r="M1205" s="18">
        <f>L1205*(H1205*H1205)*0.7854/10000</f>
        <v>2.3891868000000001</v>
      </c>
      <c r="N1205" s="9"/>
      <c r="O1205" s="8" t="s">
        <v>19</v>
      </c>
    </row>
    <row r="1206" spans="1:15" s="14" customFormat="1" x14ac:dyDescent="0.25">
      <c r="A1206" s="13">
        <v>1239</v>
      </c>
      <c r="B1206" s="16">
        <v>1239</v>
      </c>
      <c r="C1206" s="13" t="s">
        <v>4037</v>
      </c>
      <c r="D1206" s="6" t="s">
        <v>2652</v>
      </c>
      <c r="E1206" s="13" t="s">
        <v>2931</v>
      </c>
      <c r="F1206" s="13"/>
      <c r="G1206" s="17">
        <v>10</v>
      </c>
      <c r="H1206" s="16">
        <v>81</v>
      </c>
      <c r="I1206" s="18">
        <v>5.1529999999999996</v>
      </c>
      <c r="J1206" s="13">
        <v>0.5</v>
      </c>
      <c r="K1206" s="13"/>
      <c r="L1206" s="17">
        <f>G1206-J1206</f>
        <v>9.5</v>
      </c>
      <c r="M1206" s="18">
        <f>L1206*(H1206*H1206)*0.7854/10000</f>
        <v>4.8953589299999996</v>
      </c>
      <c r="N1206" s="5"/>
      <c r="O1206" s="8" t="s">
        <v>19</v>
      </c>
    </row>
    <row r="1207" spans="1:15" s="14" customFormat="1" x14ac:dyDescent="0.25">
      <c r="A1207" s="13">
        <v>1240</v>
      </c>
      <c r="B1207" s="16">
        <v>1240</v>
      </c>
      <c r="C1207" s="13" t="s">
        <v>4038</v>
      </c>
      <c r="D1207" s="6" t="s">
        <v>2655</v>
      </c>
      <c r="E1207" s="13" t="s">
        <v>2931</v>
      </c>
      <c r="F1207" s="13"/>
      <c r="G1207" s="17">
        <v>8.9</v>
      </c>
      <c r="H1207" s="16">
        <v>117</v>
      </c>
      <c r="I1207" s="18">
        <v>9.5690000000000008</v>
      </c>
      <c r="J1207" s="13"/>
      <c r="K1207" s="13"/>
      <c r="L1207" s="17">
        <f>G1207-J1207</f>
        <v>8.9</v>
      </c>
      <c r="M1207" s="18">
        <f>L1207*(H1207*H1207)*0.7854/10000</f>
        <v>9.5686931340000019</v>
      </c>
      <c r="N1207" s="5" t="s">
        <v>53</v>
      </c>
      <c r="O1207" s="8" t="s">
        <v>19</v>
      </c>
    </row>
    <row r="1208" spans="1:15" s="14" customFormat="1" x14ac:dyDescent="0.25">
      <c r="A1208" s="13">
        <v>1241</v>
      </c>
      <c r="B1208" s="16">
        <v>1241</v>
      </c>
      <c r="C1208" s="13" t="s">
        <v>4039</v>
      </c>
      <c r="D1208" s="6" t="s">
        <v>2658</v>
      </c>
      <c r="E1208" s="13" t="s">
        <v>2931</v>
      </c>
      <c r="F1208" s="13"/>
      <c r="G1208" s="17">
        <v>5.7</v>
      </c>
      <c r="H1208" s="16">
        <v>79</v>
      </c>
      <c r="I1208" s="18">
        <v>2.794</v>
      </c>
      <c r="J1208" s="13">
        <v>0.5</v>
      </c>
      <c r="K1208" s="13"/>
      <c r="L1208" s="17">
        <f>G1208-J1208</f>
        <v>5.2</v>
      </c>
      <c r="M1208" s="18">
        <f>L1208*(H1208*H1208)*0.7854/10000</f>
        <v>2.5488743279999997</v>
      </c>
      <c r="N1208" s="5" t="s">
        <v>21</v>
      </c>
      <c r="O1208" s="8" t="s">
        <v>30</v>
      </c>
    </row>
    <row r="1209" spans="1:15" s="14" customFormat="1" x14ac:dyDescent="0.25">
      <c r="A1209" s="13">
        <v>1242</v>
      </c>
      <c r="B1209" s="16">
        <v>1242</v>
      </c>
      <c r="C1209" s="13" t="s">
        <v>4040</v>
      </c>
      <c r="D1209" s="6" t="s">
        <v>2661</v>
      </c>
      <c r="E1209" s="13" t="s">
        <v>2931</v>
      </c>
      <c r="F1209" s="13"/>
      <c r="G1209" s="17">
        <v>5</v>
      </c>
      <c r="H1209" s="16">
        <v>108</v>
      </c>
      <c r="I1209" s="18">
        <v>4.58</v>
      </c>
      <c r="J1209" s="13"/>
      <c r="K1209" s="13"/>
      <c r="L1209" s="17">
        <f>G1209-J1209</f>
        <v>5</v>
      </c>
      <c r="M1209" s="18">
        <f>L1209*(H1209*H1209)*0.7854/10000</f>
        <v>4.5804527999999998</v>
      </c>
      <c r="N1209" s="9"/>
      <c r="O1209" s="8" t="s">
        <v>19</v>
      </c>
    </row>
    <row r="1210" spans="1:15" s="14" customFormat="1" x14ac:dyDescent="0.25">
      <c r="A1210" s="13">
        <v>1243</v>
      </c>
      <c r="B1210" s="16">
        <v>1243</v>
      </c>
      <c r="C1210" s="13" t="s">
        <v>4041</v>
      </c>
      <c r="D1210" s="6">
        <v>149</v>
      </c>
      <c r="E1210" s="13" t="s">
        <v>2931</v>
      </c>
      <c r="F1210" s="13"/>
      <c r="G1210" s="17">
        <v>14.2</v>
      </c>
      <c r="H1210" s="16">
        <v>94</v>
      </c>
      <c r="I1210" s="18">
        <v>9.8539999999999992</v>
      </c>
      <c r="J1210" s="13"/>
      <c r="K1210" s="13"/>
      <c r="L1210" s="17">
        <f>G1210-J1210</f>
        <v>14.2</v>
      </c>
      <c r="M1210" s="18">
        <f>L1210*(H1210*H1210)*0.7854/10000</f>
        <v>9.8545080479999996</v>
      </c>
      <c r="N1210" s="9"/>
      <c r="O1210" s="8" t="s">
        <v>19</v>
      </c>
    </row>
    <row r="1211" spans="1:15" s="14" customFormat="1" x14ac:dyDescent="0.25">
      <c r="A1211" s="13">
        <v>1244</v>
      </c>
      <c r="B1211" s="16">
        <v>1244</v>
      </c>
      <c r="C1211" s="13" t="s">
        <v>4042</v>
      </c>
      <c r="D1211" s="6" t="s">
        <v>2666</v>
      </c>
      <c r="E1211" s="13" t="s">
        <v>2931</v>
      </c>
      <c r="F1211" s="13"/>
      <c r="G1211" s="17">
        <v>11.1</v>
      </c>
      <c r="H1211" s="16">
        <v>101</v>
      </c>
      <c r="I1211" s="18">
        <v>8.8930000000000007</v>
      </c>
      <c r="J1211" s="13"/>
      <c r="K1211" s="13"/>
      <c r="L1211" s="17">
        <f>G1211-J1211</f>
        <v>11.1</v>
      </c>
      <c r="M1211" s="18">
        <f>L1211*(H1211*H1211)*0.7854/10000</f>
        <v>8.893170593999999</v>
      </c>
      <c r="N1211" s="9"/>
      <c r="O1211" s="8" t="s">
        <v>30</v>
      </c>
    </row>
    <row r="1212" spans="1:15" s="14" customFormat="1" x14ac:dyDescent="0.25">
      <c r="A1212" s="13">
        <v>1245</v>
      </c>
      <c r="B1212" s="16">
        <v>1245</v>
      </c>
      <c r="C1212" s="13" t="s">
        <v>4043</v>
      </c>
      <c r="D1212" s="6" t="s">
        <v>2669</v>
      </c>
      <c r="E1212" s="13" t="s">
        <v>2931</v>
      </c>
      <c r="F1212" s="13"/>
      <c r="G1212" s="17">
        <v>4.8</v>
      </c>
      <c r="H1212" s="16">
        <v>89</v>
      </c>
      <c r="I1212" s="18">
        <v>2.9860000000000002</v>
      </c>
      <c r="J1212" s="13"/>
      <c r="K1212" s="13"/>
      <c r="L1212" s="17">
        <f>G1212-J1212</f>
        <v>4.8</v>
      </c>
      <c r="M1212" s="18">
        <f>L1212*(H1212*H1212)*0.7854/10000</f>
        <v>2.9861536319999997</v>
      </c>
      <c r="N1212" s="9"/>
      <c r="O1212" s="8" t="s">
        <v>19</v>
      </c>
    </row>
    <row r="1213" spans="1:15" s="14" customFormat="1" x14ac:dyDescent="0.25">
      <c r="A1213" s="13">
        <v>1246</v>
      </c>
      <c r="B1213" s="16">
        <v>1246</v>
      </c>
      <c r="C1213" s="13" t="s">
        <v>4044</v>
      </c>
      <c r="D1213" s="6" t="s">
        <v>2672</v>
      </c>
      <c r="E1213" s="13" t="s">
        <v>2931</v>
      </c>
      <c r="F1213" s="13"/>
      <c r="G1213" s="17">
        <v>11.2</v>
      </c>
      <c r="H1213" s="16">
        <v>101</v>
      </c>
      <c r="I1213" s="18">
        <v>8.9730000000000008</v>
      </c>
      <c r="J1213" s="13"/>
      <c r="K1213" s="13"/>
      <c r="L1213" s="17">
        <f>G1213-J1213</f>
        <v>11.2</v>
      </c>
      <c r="M1213" s="18">
        <f>L1213*(H1213*H1213)*0.7854/10000</f>
        <v>8.9732892480000004</v>
      </c>
      <c r="N1213" s="9"/>
      <c r="O1213" s="8" t="s">
        <v>19</v>
      </c>
    </row>
    <row r="1214" spans="1:15" s="14" customFormat="1" x14ac:dyDescent="0.25">
      <c r="A1214" s="13">
        <v>1247</v>
      </c>
      <c r="B1214" s="16">
        <v>1247</v>
      </c>
      <c r="C1214" s="13" t="s">
        <v>4045</v>
      </c>
      <c r="D1214" s="6" t="s">
        <v>2675</v>
      </c>
      <c r="E1214" s="13" t="s">
        <v>2931</v>
      </c>
      <c r="F1214" s="13"/>
      <c r="G1214" s="17">
        <v>6.9</v>
      </c>
      <c r="H1214" s="16">
        <v>93</v>
      </c>
      <c r="I1214" s="18">
        <v>4.6870000000000003</v>
      </c>
      <c r="J1214" s="13"/>
      <c r="K1214" s="13"/>
      <c r="L1214" s="17">
        <f>G1214-J1214</f>
        <v>6.9</v>
      </c>
      <c r="M1214" s="18">
        <f>L1214*(H1214*H1214)*0.7854/10000</f>
        <v>4.6871179740000004</v>
      </c>
      <c r="N1214" s="9"/>
      <c r="O1214" s="8" t="s">
        <v>30</v>
      </c>
    </row>
    <row r="1215" spans="1:15" s="14" customFormat="1" x14ac:dyDescent="0.25">
      <c r="A1215" s="13">
        <v>1248</v>
      </c>
      <c r="B1215" s="16">
        <v>1248</v>
      </c>
      <c r="C1215" s="13" t="s">
        <v>4046</v>
      </c>
      <c r="D1215" s="6">
        <v>1140</v>
      </c>
      <c r="E1215" s="13" t="s">
        <v>2931</v>
      </c>
      <c r="F1215" s="13"/>
      <c r="G1215" s="17">
        <v>13</v>
      </c>
      <c r="H1215" s="16">
        <v>108</v>
      </c>
      <c r="I1215" s="18">
        <v>11.909000000000001</v>
      </c>
      <c r="J1215" s="13"/>
      <c r="K1215" s="13"/>
      <c r="L1215" s="17">
        <f>G1215-J1215</f>
        <v>13</v>
      </c>
      <c r="M1215" s="18">
        <f>L1215*(H1215*H1215)*0.7854/10000</f>
        <v>11.90917728</v>
      </c>
      <c r="N1215" s="9"/>
      <c r="O1215" s="8" t="s">
        <v>19</v>
      </c>
    </row>
    <row r="1216" spans="1:15" s="14" customFormat="1" x14ac:dyDescent="0.25">
      <c r="A1216" s="13">
        <v>1249</v>
      </c>
      <c r="B1216" s="16">
        <v>1249</v>
      </c>
      <c r="C1216" s="13" t="s">
        <v>4047</v>
      </c>
      <c r="D1216" s="6" t="s">
        <v>2680</v>
      </c>
      <c r="E1216" s="13" t="s">
        <v>2931</v>
      </c>
      <c r="F1216" s="13"/>
      <c r="G1216" s="17">
        <v>9.8000000000000007</v>
      </c>
      <c r="H1216" s="16">
        <v>96</v>
      </c>
      <c r="I1216" s="18">
        <v>7.093</v>
      </c>
      <c r="J1216" s="13"/>
      <c r="K1216" s="13"/>
      <c r="L1216" s="17">
        <f>G1216-J1216</f>
        <v>9.8000000000000007</v>
      </c>
      <c r="M1216" s="18">
        <f>L1216*(H1216*H1216)*0.7854/10000</f>
        <v>7.0934814719999997</v>
      </c>
      <c r="N1216" s="5" t="s">
        <v>53</v>
      </c>
      <c r="O1216" s="8" t="s">
        <v>19</v>
      </c>
    </row>
    <row r="1217" spans="1:15" s="14" customFormat="1" x14ac:dyDescent="0.25">
      <c r="A1217" s="13">
        <v>1250</v>
      </c>
      <c r="B1217" s="16">
        <v>1250</v>
      </c>
      <c r="C1217" s="13" t="s">
        <v>4048</v>
      </c>
      <c r="D1217" s="6" t="s">
        <v>2683</v>
      </c>
      <c r="E1217" s="13" t="s">
        <v>2931</v>
      </c>
      <c r="F1217" s="13"/>
      <c r="G1217" s="17">
        <v>5</v>
      </c>
      <c r="H1217" s="16">
        <v>91</v>
      </c>
      <c r="I1217" s="18">
        <v>3.2519999999999998</v>
      </c>
      <c r="J1217" s="13"/>
      <c r="K1217" s="13"/>
      <c r="L1217" s="17">
        <f>G1217-J1217</f>
        <v>5</v>
      </c>
      <c r="M1217" s="18">
        <f>L1217*(H1217*H1217)*0.7854/10000</f>
        <v>3.2519487000000002</v>
      </c>
      <c r="N1217" s="5"/>
      <c r="O1217" s="8" t="s">
        <v>19</v>
      </c>
    </row>
    <row r="1218" spans="1:15" s="14" customFormat="1" x14ac:dyDescent="0.25">
      <c r="A1218" s="13">
        <v>1251</v>
      </c>
      <c r="B1218" s="16">
        <v>1251</v>
      </c>
      <c r="C1218" s="13" t="s">
        <v>4049</v>
      </c>
      <c r="D1218" s="6" t="s">
        <v>2686</v>
      </c>
      <c r="E1218" s="13" t="s">
        <v>2931</v>
      </c>
      <c r="F1218" s="13"/>
      <c r="G1218" s="17">
        <v>8.6</v>
      </c>
      <c r="H1218" s="16">
        <v>128</v>
      </c>
      <c r="I1218" s="18">
        <v>11.066000000000001</v>
      </c>
      <c r="J1218" s="13">
        <v>0.4</v>
      </c>
      <c r="K1218" s="13"/>
      <c r="L1218" s="17">
        <f>G1218-J1218</f>
        <v>8.1999999999999993</v>
      </c>
      <c r="M1218" s="18">
        <f>L1218*(H1218*H1218)*0.7854/10000</f>
        <v>10.551754751999999</v>
      </c>
      <c r="N1218" s="9"/>
      <c r="O1218" s="8" t="s">
        <v>19</v>
      </c>
    </row>
    <row r="1219" spans="1:15" s="14" customFormat="1" x14ac:dyDescent="0.25">
      <c r="A1219" s="13">
        <v>1252</v>
      </c>
      <c r="B1219" s="16">
        <v>1252</v>
      </c>
      <c r="C1219" s="13" t="s">
        <v>4050</v>
      </c>
      <c r="D1219" s="6" t="s">
        <v>2689</v>
      </c>
      <c r="E1219" s="13" t="s">
        <v>2931</v>
      </c>
      <c r="F1219" s="13"/>
      <c r="G1219" s="17">
        <v>8.4</v>
      </c>
      <c r="H1219" s="16">
        <v>121</v>
      </c>
      <c r="I1219" s="18">
        <v>9.6590000000000007</v>
      </c>
      <c r="J1219" s="13">
        <v>0.5</v>
      </c>
      <c r="K1219" s="13"/>
      <c r="L1219" s="17">
        <f>G1219-J1219</f>
        <v>7.9</v>
      </c>
      <c r="M1219" s="18">
        <f>L1219*(H1219*H1219)*0.7854/10000</f>
        <v>9.0842427059999995</v>
      </c>
      <c r="N1219" s="9"/>
      <c r="O1219" s="8" t="s">
        <v>19</v>
      </c>
    </row>
    <row r="1220" spans="1:15" s="14" customFormat="1" x14ac:dyDescent="0.25">
      <c r="A1220" s="13">
        <v>1253</v>
      </c>
      <c r="B1220" s="16">
        <v>1253</v>
      </c>
      <c r="C1220" s="13" t="s">
        <v>4051</v>
      </c>
      <c r="D1220" s="6">
        <v>4778</v>
      </c>
      <c r="E1220" s="13" t="s">
        <v>2931</v>
      </c>
      <c r="F1220" s="13"/>
      <c r="G1220" s="17">
        <v>9.6999999999999993</v>
      </c>
      <c r="H1220" s="16">
        <v>73</v>
      </c>
      <c r="I1220" s="18">
        <v>4.0599999999999996</v>
      </c>
      <c r="J1220" s="13"/>
      <c r="K1220" s="13"/>
      <c r="L1220" s="17">
        <f>G1220-J1220</f>
        <v>9.6999999999999993</v>
      </c>
      <c r="M1220" s="18">
        <f>L1220*(H1220*H1220)*0.7854/10000</f>
        <v>4.059834701999999</v>
      </c>
      <c r="N1220" s="9"/>
      <c r="O1220" s="8" t="s">
        <v>19</v>
      </c>
    </row>
    <row r="1221" spans="1:15" s="14" customFormat="1" x14ac:dyDescent="0.25">
      <c r="A1221" s="13">
        <v>1254</v>
      </c>
      <c r="B1221" s="16">
        <v>1254</v>
      </c>
      <c r="C1221" s="13" t="s">
        <v>4052</v>
      </c>
      <c r="D1221" s="6" t="s">
        <v>2694</v>
      </c>
      <c r="E1221" s="13" t="s">
        <v>2931</v>
      </c>
      <c r="F1221" s="13"/>
      <c r="G1221" s="17">
        <v>10.1</v>
      </c>
      <c r="H1221" s="16">
        <v>100</v>
      </c>
      <c r="I1221" s="18">
        <v>7.9329999999999998</v>
      </c>
      <c r="J1221" s="13">
        <v>0.3</v>
      </c>
      <c r="K1221" s="13"/>
      <c r="L1221" s="17">
        <f>G1221-J1221</f>
        <v>9.7999999999999989</v>
      </c>
      <c r="M1221" s="18">
        <f>L1221*(H1221*H1221)*0.7854/10000</f>
        <v>7.6969199999999987</v>
      </c>
      <c r="N1221" s="9"/>
      <c r="O1221" s="8" t="s">
        <v>19</v>
      </c>
    </row>
    <row r="1222" spans="1:15" s="14" customFormat="1" x14ac:dyDescent="0.25">
      <c r="A1222" s="13">
        <v>1255</v>
      </c>
      <c r="B1222" s="16">
        <v>1255</v>
      </c>
      <c r="C1222" s="13" t="s">
        <v>4053</v>
      </c>
      <c r="D1222" s="6">
        <v>3</v>
      </c>
      <c r="E1222" s="13" t="s">
        <v>2931</v>
      </c>
      <c r="F1222" s="13"/>
      <c r="G1222" s="17">
        <v>10.7</v>
      </c>
      <c r="H1222" s="16">
        <v>89</v>
      </c>
      <c r="I1222" s="18">
        <v>6.657</v>
      </c>
      <c r="J1222" s="13"/>
      <c r="K1222" s="13"/>
      <c r="L1222" s="17">
        <f>G1222-J1222</f>
        <v>10.7</v>
      </c>
      <c r="M1222" s="18">
        <f>L1222*(H1222*H1222)*0.7854/10000</f>
        <v>6.6566341379999994</v>
      </c>
      <c r="N1222" s="9" t="s">
        <v>53</v>
      </c>
      <c r="O1222" s="8" t="s">
        <v>19</v>
      </c>
    </row>
    <row r="1223" spans="1:15" s="14" customFormat="1" x14ac:dyDescent="0.25">
      <c r="A1223" s="13">
        <v>1256</v>
      </c>
      <c r="B1223" s="16">
        <v>1256</v>
      </c>
      <c r="C1223" s="13" t="s">
        <v>4054</v>
      </c>
      <c r="D1223" s="6" t="s">
        <v>2699</v>
      </c>
      <c r="E1223" s="13" t="s">
        <v>2931</v>
      </c>
      <c r="F1223" s="13"/>
      <c r="G1223" s="17">
        <v>5.4</v>
      </c>
      <c r="H1223" s="16">
        <v>93</v>
      </c>
      <c r="I1223" s="18">
        <v>3.6680000000000001</v>
      </c>
      <c r="J1223" s="13"/>
      <c r="K1223" s="13"/>
      <c r="L1223" s="17">
        <f>G1223-J1223</f>
        <v>5.4</v>
      </c>
      <c r="M1223" s="18">
        <f>L1223*(H1223*H1223)*0.7854/10000</f>
        <v>3.6681792840000003</v>
      </c>
      <c r="N1223" s="9" t="s">
        <v>21</v>
      </c>
      <c r="O1223" s="8" t="s">
        <v>30</v>
      </c>
    </row>
    <row r="1224" spans="1:15" s="14" customFormat="1" x14ac:dyDescent="0.25">
      <c r="A1224" s="13">
        <v>1257</v>
      </c>
      <c r="B1224" s="16">
        <v>1257</v>
      </c>
      <c r="C1224" s="13" t="s">
        <v>4055</v>
      </c>
      <c r="D1224" s="6">
        <v>4842</v>
      </c>
      <c r="E1224" s="13" t="s">
        <v>2931</v>
      </c>
      <c r="F1224" s="13"/>
      <c r="G1224" s="17">
        <v>12.1</v>
      </c>
      <c r="H1224" s="16">
        <v>127</v>
      </c>
      <c r="I1224" s="18">
        <v>15.327999999999999</v>
      </c>
      <c r="J1224" s="13">
        <v>0.5</v>
      </c>
      <c r="K1224" s="13"/>
      <c r="L1224" s="17">
        <f>G1224-J1224</f>
        <v>11.6</v>
      </c>
      <c r="M1224" s="18">
        <f>L1224*(H1224*H1224)*0.7854/10000</f>
        <v>14.694551256</v>
      </c>
      <c r="N1224" s="5"/>
      <c r="O1224" s="8" t="s">
        <v>19</v>
      </c>
    </row>
    <row r="1225" spans="1:15" s="14" customFormat="1" x14ac:dyDescent="0.25">
      <c r="A1225" s="13">
        <v>1258</v>
      </c>
      <c r="B1225" s="16">
        <v>1258</v>
      </c>
      <c r="C1225" s="13" t="s">
        <v>4056</v>
      </c>
      <c r="D1225" s="6" t="s">
        <v>2704</v>
      </c>
      <c r="E1225" s="13" t="s">
        <v>2931</v>
      </c>
      <c r="F1225" s="13"/>
      <c r="G1225" s="17">
        <v>9.9</v>
      </c>
      <c r="H1225" s="16">
        <v>116</v>
      </c>
      <c r="I1225" s="18">
        <v>10.462999999999999</v>
      </c>
      <c r="J1225" s="13">
        <v>0.5</v>
      </c>
      <c r="K1225" s="13"/>
      <c r="L1225" s="17">
        <f>G1225-J1225</f>
        <v>9.4</v>
      </c>
      <c r="M1225" s="18">
        <f>L1225*(H1225*H1225)*0.7854/10000</f>
        <v>9.9342418559999999</v>
      </c>
      <c r="N1225" s="9"/>
      <c r="O1225" s="8" t="s">
        <v>19</v>
      </c>
    </row>
    <row r="1226" spans="1:15" s="14" customFormat="1" x14ac:dyDescent="0.25">
      <c r="A1226" s="13">
        <v>1259</v>
      </c>
      <c r="B1226" s="16">
        <v>1259</v>
      </c>
      <c r="C1226" s="13" t="s">
        <v>4057</v>
      </c>
      <c r="D1226" s="6" t="s">
        <v>2707</v>
      </c>
      <c r="E1226" s="13" t="s">
        <v>2931</v>
      </c>
      <c r="F1226" s="13"/>
      <c r="G1226" s="17">
        <v>5.6</v>
      </c>
      <c r="H1226" s="16">
        <v>109</v>
      </c>
      <c r="I1226" s="18">
        <v>5.226</v>
      </c>
      <c r="J1226" s="13">
        <v>0.5</v>
      </c>
      <c r="K1226" s="13"/>
      <c r="L1226" s="17">
        <f>G1226-J1226</f>
        <v>5.0999999999999996</v>
      </c>
      <c r="M1226" s="18">
        <f>L1226*(H1226*H1226)*0.7854/10000</f>
        <v>4.7589820739999995</v>
      </c>
      <c r="N1226" s="9" t="s">
        <v>21</v>
      </c>
      <c r="O1226" s="8" t="s">
        <v>30</v>
      </c>
    </row>
    <row r="1227" spans="1:15" s="14" customFormat="1" x14ac:dyDescent="0.25">
      <c r="A1227" s="13">
        <v>1260</v>
      </c>
      <c r="B1227" s="16">
        <v>1260</v>
      </c>
      <c r="C1227" s="13" t="s">
        <v>4058</v>
      </c>
      <c r="D1227" s="6">
        <v>4784</v>
      </c>
      <c r="E1227" s="13" t="s">
        <v>2931</v>
      </c>
      <c r="F1227" s="13"/>
      <c r="G1227" s="17">
        <v>9.1</v>
      </c>
      <c r="H1227" s="16">
        <v>95</v>
      </c>
      <c r="I1227" s="18">
        <v>6.45</v>
      </c>
      <c r="J1227" s="13">
        <v>0.5</v>
      </c>
      <c r="K1227" s="13"/>
      <c r="L1227" s="17">
        <f>G1227-J1227</f>
        <v>8.6</v>
      </c>
      <c r="M1227" s="18">
        <f>L1227*(H1227*H1227)*0.7854/10000</f>
        <v>6.0958820999999999</v>
      </c>
      <c r="N1227" s="9"/>
      <c r="O1227" s="8" t="s">
        <v>19</v>
      </c>
    </row>
    <row r="1228" spans="1:15" s="14" customFormat="1" x14ac:dyDescent="0.25">
      <c r="A1228" s="13">
        <v>1261</v>
      </c>
      <c r="B1228" s="16">
        <v>1261</v>
      </c>
      <c r="C1228" s="13" t="s">
        <v>4059</v>
      </c>
      <c r="D1228" s="6" t="s">
        <v>2712</v>
      </c>
      <c r="E1228" s="13" t="s">
        <v>2931</v>
      </c>
      <c r="F1228" s="13"/>
      <c r="G1228" s="17">
        <v>11.4</v>
      </c>
      <c r="H1228" s="16">
        <v>98</v>
      </c>
      <c r="I1228" s="18">
        <v>8.5990000000000002</v>
      </c>
      <c r="J1228" s="13"/>
      <c r="K1228" s="13"/>
      <c r="L1228" s="17">
        <f>G1228-J1228</f>
        <v>11.4</v>
      </c>
      <c r="M1228" s="18">
        <f>L1228*(H1228*H1228)*0.7854/10000</f>
        <v>8.5989990239999994</v>
      </c>
      <c r="N1228" s="9"/>
      <c r="O1228" s="8" t="s">
        <v>19</v>
      </c>
    </row>
    <row r="1229" spans="1:15" s="14" customFormat="1" x14ac:dyDescent="0.25">
      <c r="A1229" s="13">
        <v>1262</v>
      </c>
      <c r="B1229" s="16">
        <v>1262</v>
      </c>
      <c r="C1229" s="13" t="s">
        <v>4060</v>
      </c>
      <c r="D1229" s="6" t="s">
        <v>2715</v>
      </c>
      <c r="E1229" s="13" t="s">
        <v>2931</v>
      </c>
      <c r="F1229" s="13"/>
      <c r="G1229" s="17">
        <v>8.3000000000000007</v>
      </c>
      <c r="H1229" s="16">
        <v>90</v>
      </c>
      <c r="I1229" s="18">
        <v>5.28</v>
      </c>
      <c r="J1229" s="13"/>
      <c r="K1229" s="13"/>
      <c r="L1229" s="17">
        <f>G1229-J1229</f>
        <v>8.3000000000000007</v>
      </c>
      <c r="M1229" s="18">
        <f>L1229*(H1229*H1229)*0.7854/10000</f>
        <v>5.2802442000000003</v>
      </c>
      <c r="N1229" s="9"/>
      <c r="O1229" s="8" t="s">
        <v>30</v>
      </c>
    </row>
    <row r="1230" spans="1:15" s="14" customFormat="1" x14ac:dyDescent="0.25">
      <c r="A1230" s="13">
        <v>1263</v>
      </c>
      <c r="B1230" s="16">
        <v>1263</v>
      </c>
      <c r="C1230" s="13" t="s">
        <v>4061</v>
      </c>
      <c r="D1230" s="6" t="s">
        <v>2718</v>
      </c>
      <c r="E1230" s="13" t="s">
        <v>2931</v>
      </c>
      <c r="F1230" s="13"/>
      <c r="G1230" s="17">
        <v>11.4</v>
      </c>
      <c r="H1230" s="16">
        <v>99</v>
      </c>
      <c r="I1230" s="18">
        <v>8.7750000000000004</v>
      </c>
      <c r="J1230" s="13"/>
      <c r="K1230" s="13"/>
      <c r="L1230" s="17">
        <f>G1230-J1230</f>
        <v>11.4</v>
      </c>
      <c r="M1230" s="18">
        <f>L1230*(H1230*H1230)*0.7854/10000</f>
        <v>8.7753841559999994</v>
      </c>
      <c r="N1230" s="9"/>
      <c r="O1230" s="8" t="s">
        <v>19</v>
      </c>
    </row>
    <row r="1231" spans="1:15" s="14" customFormat="1" x14ac:dyDescent="0.25">
      <c r="A1231" s="13">
        <v>1264</v>
      </c>
      <c r="B1231" s="16">
        <v>1264</v>
      </c>
      <c r="C1231" s="13" t="s">
        <v>4062</v>
      </c>
      <c r="D1231" s="6">
        <v>4786</v>
      </c>
      <c r="E1231" s="13" t="s">
        <v>2931</v>
      </c>
      <c r="F1231" s="13"/>
      <c r="G1231" s="17">
        <v>13.5</v>
      </c>
      <c r="H1231" s="16">
        <v>62</v>
      </c>
      <c r="I1231" s="18">
        <v>4.0759999999999996</v>
      </c>
      <c r="J1231" s="13"/>
      <c r="K1231" s="13"/>
      <c r="L1231" s="17">
        <f>G1231-J1231</f>
        <v>13.5</v>
      </c>
      <c r="M1231" s="18">
        <f>L1231*(H1231*H1231)*0.7854/10000</f>
        <v>4.0757547599999997</v>
      </c>
      <c r="N1231" s="5" t="s">
        <v>53</v>
      </c>
      <c r="O1231" s="8" t="s">
        <v>19</v>
      </c>
    </row>
    <row r="1232" spans="1:15" s="14" customFormat="1" x14ac:dyDescent="0.25">
      <c r="A1232" s="13">
        <v>1265</v>
      </c>
      <c r="B1232" s="16">
        <v>1265</v>
      </c>
      <c r="C1232" s="13" t="s">
        <v>4063</v>
      </c>
      <c r="D1232" s="6" t="s">
        <v>2723</v>
      </c>
      <c r="E1232" s="13" t="s">
        <v>2931</v>
      </c>
      <c r="F1232" s="13"/>
      <c r="G1232" s="17">
        <v>4.9000000000000004</v>
      </c>
      <c r="H1232" s="16">
        <v>89</v>
      </c>
      <c r="I1232" s="18">
        <v>3.048</v>
      </c>
      <c r="J1232" s="13"/>
      <c r="K1232" s="13"/>
      <c r="L1232" s="17">
        <f>G1232-J1232</f>
        <v>4.9000000000000004</v>
      </c>
      <c r="M1232" s="18">
        <f>L1232*(H1232*H1232)*0.7854/10000</f>
        <v>3.048365166</v>
      </c>
      <c r="N1232" s="9"/>
      <c r="O1232" s="8" t="s">
        <v>19</v>
      </c>
    </row>
    <row r="1233" spans="1:15" s="14" customFormat="1" x14ac:dyDescent="0.25">
      <c r="A1233" s="13">
        <v>1266</v>
      </c>
      <c r="B1233" s="16">
        <v>1266</v>
      </c>
      <c r="C1233" s="13" t="s">
        <v>4064</v>
      </c>
      <c r="D1233" s="6">
        <v>4819</v>
      </c>
      <c r="E1233" s="13" t="s">
        <v>2931</v>
      </c>
      <c r="F1233" s="13"/>
      <c r="G1233" s="17">
        <v>9.9</v>
      </c>
      <c r="H1233" s="16">
        <v>74</v>
      </c>
      <c r="I1233" s="18">
        <v>4.258</v>
      </c>
      <c r="J1233" s="13"/>
      <c r="K1233" s="13"/>
      <c r="L1233" s="17">
        <f>G1233-J1233</f>
        <v>9.9</v>
      </c>
      <c r="M1233" s="18">
        <f>L1233*(H1233*H1233)*0.7854/10000</f>
        <v>4.2578418960000004</v>
      </c>
      <c r="N1233" s="9" t="s">
        <v>53</v>
      </c>
      <c r="O1233" s="8" t="s">
        <v>19</v>
      </c>
    </row>
    <row r="1234" spans="1:15" s="14" customFormat="1" x14ac:dyDescent="0.25">
      <c r="A1234" s="13">
        <v>1267</v>
      </c>
      <c r="B1234" s="16">
        <v>1267</v>
      </c>
      <c r="C1234" s="13" t="s">
        <v>4065</v>
      </c>
      <c r="D1234" s="6">
        <v>1152</v>
      </c>
      <c r="E1234" s="13" t="s">
        <v>2931</v>
      </c>
      <c r="F1234" s="13"/>
      <c r="G1234" s="17">
        <v>12.3</v>
      </c>
      <c r="H1234" s="16">
        <v>61</v>
      </c>
      <c r="I1234" s="18">
        <v>3.5950000000000002</v>
      </c>
      <c r="J1234" s="13"/>
      <c r="K1234" s="13"/>
      <c r="L1234" s="17">
        <f>G1234-J1234</f>
        <v>12.3</v>
      </c>
      <c r="M1234" s="18">
        <f>L1234*(H1234*H1234)*0.7854/10000</f>
        <v>3.5946422820000001</v>
      </c>
      <c r="N1234" s="5"/>
      <c r="O1234" s="8" t="s">
        <v>19</v>
      </c>
    </row>
    <row r="1235" spans="1:15" s="14" customFormat="1" x14ac:dyDescent="0.25">
      <c r="A1235" s="13">
        <v>1268</v>
      </c>
      <c r="B1235" s="16">
        <v>1268</v>
      </c>
      <c r="C1235" s="13" t="s">
        <v>4066</v>
      </c>
      <c r="D1235" s="6">
        <v>11</v>
      </c>
      <c r="E1235" s="13" t="s">
        <v>2931</v>
      </c>
      <c r="F1235" s="13"/>
      <c r="G1235" s="17">
        <v>12.9</v>
      </c>
      <c r="H1235" s="16">
        <v>85</v>
      </c>
      <c r="I1235" s="18">
        <v>7.32</v>
      </c>
      <c r="J1235" s="13"/>
      <c r="K1235" s="13"/>
      <c r="L1235" s="17">
        <f>G1235-J1235</f>
        <v>12.9</v>
      </c>
      <c r="M1235" s="18">
        <f>L1235*(H1235*H1235)*0.7854/10000</f>
        <v>7.3201243499999995</v>
      </c>
      <c r="N1235" s="9"/>
      <c r="O1235" s="8" t="s">
        <v>19</v>
      </c>
    </row>
    <row r="1236" spans="1:15" s="14" customFormat="1" x14ac:dyDescent="0.25">
      <c r="A1236" s="13">
        <v>1269</v>
      </c>
      <c r="B1236" s="16">
        <v>1269</v>
      </c>
      <c r="C1236" s="13" t="s">
        <v>4067</v>
      </c>
      <c r="D1236" s="6" t="s">
        <v>2732</v>
      </c>
      <c r="E1236" s="13" t="s">
        <v>2931</v>
      </c>
      <c r="F1236" s="13"/>
      <c r="G1236" s="17">
        <v>11.1</v>
      </c>
      <c r="H1236" s="16">
        <v>116</v>
      </c>
      <c r="I1236" s="18">
        <v>11.731</v>
      </c>
      <c r="J1236" s="13">
        <v>0.3</v>
      </c>
      <c r="K1236" s="13"/>
      <c r="L1236" s="17">
        <f>G1236-J1236</f>
        <v>10.799999999999999</v>
      </c>
      <c r="M1236" s="18">
        <f>L1236*(H1236*H1236)*0.7854/10000</f>
        <v>11.413809791999999</v>
      </c>
      <c r="N1236" s="9"/>
      <c r="O1236" s="8" t="s">
        <v>19</v>
      </c>
    </row>
    <row r="1237" spans="1:15" s="14" customFormat="1" x14ac:dyDescent="0.25">
      <c r="A1237" s="13">
        <v>1270</v>
      </c>
      <c r="B1237" s="16">
        <v>1270</v>
      </c>
      <c r="C1237" s="13" t="s">
        <v>4068</v>
      </c>
      <c r="D1237" s="6" t="s">
        <v>2735</v>
      </c>
      <c r="E1237" s="13" t="s">
        <v>2931</v>
      </c>
      <c r="F1237" s="13"/>
      <c r="G1237" s="17">
        <v>10</v>
      </c>
      <c r="H1237" s="16">
        <v>132</v>
      </c>
      <c r="I1237" s="18">
        <v>13.685</v>
      </c>
      <c r="J1237" s="13"/>
      <c r="K1237" s="13"/>
      <c r="L1237" s="17">
        <f>G1237-J1237</f>
        <v>10</v>
      </c>
      <c r="M1237" s="18">
        <f>L1237*(H1237*H1237)*0.7854/10000</f>
        <v>13.684809599999999</v>
      </c>
      <c r="N1237" s="9"/>
      <c r="O1237" s="8" t="s">
        <v>19</v>
      </c>
    </row>
    <row r="1238" spans="1:15" s="14" customFormat="1" x14ac:dyDescent="0.25">
      <c r="A1238" s="13">
        <v>1271</v>
      </c>
      <c r="B1238" s="16">
        <v>1271</v>
      </c>
      <c r="C1238" s="13" t="s">
        <v>4069</v>
      </c>
      <c r="D1238" s="6" t="s">
        <v>2738</v>
      </c>
      <c r="E1238" s="13" t="s">
        <v>2931</v>
      </c>
      <c r="F1238" s="13"/>
      <c r="G1238" s="17">
        <v>5.0999999999999996</v>
      </c>
      <c r="H1238" s="16">
        <v>114</v>
      </c>
      <c r="I1238" s="18">
        <v>5.2060000000000004</v>
      </c>
      <c r="J1238" s="13"/>
      <c r="K1238" s="13"/>
      <c r="L1238" s="17">
        <f>G1238-J1238</f>
        <v>5.0999999999999996</v>
      </c>
      <c r="M1238" s="18">
        <f>L1238*(H1238*H1238)*0.7854/10000</f>
        <v>5.2055997839999986</v>
      </c>
      <c r="N1238" s="9"/>
      <c r="O1238" s="8" t="s">
        <v>30</v>
      </c>
    </row>
    <row r="1239" spans="1:15" s="14" customFormat="1" x14ac:dyDescent="0.25">
      <c r="A1239" s="13">
        <v>1272</v>
      </c>
      <c r="B1239" s="16">
        <v>1272</v>
      </c>
      <c r="C1239" s="13" t="s">
        <v>4070</v>
      </c>
      <c r="D1239" s="6" t="s">
        <v>2741</v>
      </c>
      <c r="E1239" s="13" t="s">
        <v>2931</v>
      </c>
      <c r="F1239" s="13"/>
      <c r="G1239" s="17">
        <v>3.9</v>
      </c>
      <c r="H1239" s="16">
        <v>120</v>
      </c>
      <c r="I1239" s="18">
        <v>4.4109999999999996</v>
      </c>
      <c r="J1239" s="13"/>
      <c r="K1239" s="13"/>
      <c r="L1239" s="17">
        <f>G1239-J1239</f>
        <v>3.9</v>
      </c>
      <c r="M1239" s="18">
        <f>L1239*(H1239*H1239)*0.7854/10000</f>
        <v>4.4108064000000002</v>
      </c>
      <c r="N1239" s="9"/>
      <c r="O1239" s="8" t="s">
        <v>19</v>
      </c>
    </row>
    <row r="1240" spans="1:15" s="14" customFormat="1" x14ac:dyDescent="0.25">
      <c r="A1240" s="13">
        <v>1273</v>
      </c>
      <c r="B1240" s="16">
        <v>1273</v>
      </c>
      <c r="C1240" s="13" t="s">
        <v>4071</v>
      </c>
      <c r="D1240" s="6" t="s">
        <v>2744</v>
      </c>
      <c r="E1240" s="13" t="s">
        <v>2931</v>
      </c>
      <c r="F1240" s="13"/>
      <c r="G1240" s="17">
        <v>10.1</v>
      </c>
      <c r="H1240" s="16">
        <v>88</v>
      </c>
      <c r="I1240" s="18">
        <v>6.1429999999999998</v>
      </c>
      <c r="J1240" s="13"/>
      <c r="K1240" s="13"/>
      <c r="L1240" s="17">
        <f>G1240-J1240</f>
        <v>10.1</v>
      </c>
      <c r="M1240" s="18">
        <f>L1240*(H1240*H1240)*0.7854/10000</f>
        <v>6.1429589759999992</v>
      </c>
      <c r="N1240" s="9"/>
      <c r="O1240" s="8" t="s">
        <v>19</v>
      </c>
    </row>
    <row r="1241" spans="1:15" s="14" customFormat="1" x14ac:dyDescent="0.25">
      <c r="A1241" s="13">
        <v>1274</v>
      </c>
      <c r="B1241" s="16">
        <v>1274</v>
      </c>
      <c r="C1241" s="13" t="s">
        <v>4072</v>
      </c>
      <c r="D1241" s="6" t="s">
        <v>2747</v>
      </c>
      <c r="E1241" s="13" t="s">
        <v>2931</v>
      </c>
      <c r="F1241" s="13"/>
      <c r="G1241" s="17">
        <v>11</v>
      </c>
      <c r="H1241" s="16">
        <v>109</v>
      </c>
      <c r="I1241" s="18">
        <v>10.263999999999999</v>
      </c>
      <c r="J1241" s="13">
        <v>0.3</v>
      </c>
      <c r="K1241" s="13"/>
      <c r="L1241" s="17">
        <f>G1241-J1241</f>
        <v>10.7</v>
      </c>
      <c r="M1241" s="18">
        <f>L1241*(H1241*H1241)*0.7854/10000</f>
        <v>9.9845310180000002</v>
      </c>
      <c r="N1241" s="5" t="s">
        <v>53</v>
      </c>
      <c r="O1241" s="8" t="s">
        <v>30</v>
      </c>
    </row>
    <row r="1242" spans="1:15" s="14" customFormat="1" x14ac:dyDescent="0.25">
      <c r="A1242" s="13">
        <v>1275</v>
      </c>
      <c r="B1242" s="16">
        <v>1275</v>
      </c>
      <c r="C1242" s="13" t="s">
        <v>4073</v>
      </c>
      <c r="D1242" s="6" t="s">
        <v>2750</v>
      </c>
      <c r="E1242" s="13" t="s">
        <v>2931</v>
      </c>
      <c r="F1242" s="13"/>
      <c r="G1242" s="17">
        <v>5.4</v>
      </c>
      <c r="H1242" s="16">
        <v>84</v>
      </c>
      <c r="I1242" s="18">
        <v>2.9929999999999999</v>
      </c>
      <c r="J1242" s="13">
        <v>0.5</v>
      </c>
      <c r="K1242" s="13"/>
      <c r="L1242" s="17">
        <f>G1242-J1242</f>
        <v>4.9000000000000004</v>
      </c>
      <c r="M1242" s="18">
        <f>L1242*(H1242*H1242)*0.7854/10000</f>
        <v>2.7154733759999998</v>
      </c>
      <c r="N1242" s="5"/>
      <c r="O1242" s="8" t="s">
        <v>19</v>
      </c>
    </row>
    <row r="1243" spans="1:15" s="14" customFormat="1" x14ac:dyDescent="0.25">
      <c r="A1243" s="13">
        <v>1276</v>
      </c>
      <c r="B1243" s="16">
        <v>1276</v>
      </c>
      <c r="C1243" s="13" t="s">
        <v>4074</v>
      </c>
      <c r="D1243" s="6" t="s">
        <v>2753</v>
      </c>
      <c r="E1243" s="13" t="s">
        <v>2931</v>
      </c>
      <c r="F1243" s="13"/>
      <c r="G1243" s="17">
        <v>6.3</v>
      </c>
      <c r="H1243" s="16">
        <v>98</v>
      </c>
      <c r="I1243" s="18">
        <v>4.7519999999999998</v>
      </c>
      <c r="J1243" s="13"/>
      <c r="K1243" s="13"/>
      <c r="L1243" s="17">
        <f>G1243-J1243</f>
        <v>6.3</v>
      </c>
      <c r="M1243" s="18">
        <f>L1243*(H1243*H1243)*0.7854/10000</f>
        <v>4.752078408</v>
      </c>
      <c r="N1243" s="5"/>
      <c r="O1243" s="8" t="s">
        <v>19</v>
      </c>
    </row>
    <row r="1244" spans="1:15" s="14" customFormat="1" x14ac:dyDescent="0.25">
      <c r="A1244" s="13">
        <v>1277</v>
      </c>
      <c r="B1244" s="16">
        <v>1277</v>
      </c>
      <c r="C1244" s="13" t="s">
        <v>4075</v>
      </c>
      <c r="D1244" s="6" t="s">
        <v>2756</v>
      </c>
      <c r="E1244" s="13" t="s">
        <v>2931</v>
      </c>
      <c r="F1244" s="13"/>
      <c r="G1244" s="17">
        <v>11.9</v>
      </c>
      <c r="H1244" s="16">
        <v>89</v>
      </c>
      <c r="I1244" s="18">
        <v>7.4029999999999996</v>
      </c>
      <c r="J1244" s="13"/>
      <c r="K1244" s="13"/>
      <c r="L1244" s="17">
        <f>G1244-J1244</f>
        <v>11.9</v>
      </c>
      <c r="M1244" s="18">
        <f>L1244*(H1244*H1244)*0.7854/10000</f>
        <v>7.4031725460000004</v>
      </c>
      <c r="N1244" s="5" t="s">
        <v>53</v>
      </c>
      <c r="O1244" s="8" t="s">
        <v>30</v>
      </c>
    </row>
    <row r="1245" spans="1:15" s="14" customFormat="1" x14ac:dyDescent="0.25">
      <c r="A1245" s="13">
        <v>1278</v>
      </c>
      <c r="B1245" s="16">
        <v>1278</v>
      </c>
      <c r="C1245" s="13" t="s">
        <v>4076</v>
      </c>
      <c r="D1245" s="6" t="s">
        <v>2759</v>
      </c>
      <c r="E1245" s="13" t="s">
        <v>2931</v>
      </c>
      <c r="F1245" s="13"/>
      <c r="G1245" s="17">
        <v>10.7</v>
      </c>
      <c r="H1245" s="16">
        <v>99</v>
      </c>
      <c r="I1245" s="18">
        <v>8.2370000000000001</v>
      </c>
      <c r="J1245" s="13"/>
      <c r="K1245" s="13"/>
      <c r="L1245" s="17">
        <f>G1245-J1245</f>
        <v>10.7</v>
      </c>
      <c r="M1245" s="18">
        <f>L1245*(H1245*H1245)*0.7854/10000</f>
        <v>8.2365447780000007</v>
      </c>
      <c r="N1245" s="5"/>
      <c r="O1245" s="8" t="s">
        <v>19</v>
      </c>
    </row>
    <row r="1246" spans="1:15" s="14" customFormat="1" x14ac:dyDescent="0.25">
      <c r="A1246" s="13">
        <v>1279</v>
      </c>
      <c r="B1246" s="16">
        <v>1279</v>
      </c>
      <c r="C1246" s="13" t="s">
        <v>4077</v>
      </c>
      <c r="D1246" s="6" t="s">
        <v>2762</v>
      </c>
      <c r="E1246" s="13" t="s">
        <v>2931</v>
      </c>
      <c r="F1246" s="13"/>
      <c r="G1246" s="17">
        <v>7.4</v>
      </c>
      <c r="H1246" s="16">
        <v>82</v>
      </c>
      <c r="I1246" s="18">
        <v>3.9079999999999999</v>
      </c>
      <c r="J1246" s="13"/>
      <c r="K1246" s="13"/>
      <c r="L1246" s="17">
        <f>G1246-J1246</f>
        <v>7.4</v>
      </c>
      <c r="M1246" s="18">
        <f>L1246*(H1246*H1246)*0.7854/10000</f>
        <v>3.9079619040000004</v>
      </c>
      <c r="N1246" s="5"/>
      <c r="O1246" s="8" t="s">
        <v>19</v>
      </c>
    </row>
    <row r="1247" spans="1:15" s="14" customFormat="1" x14ac:dyDescent="0.25">
      <c r="A1247" s="13">
        <v>1280</v>
      </c>
      <c r="B1247" s="16">
        <v>1280</v>
      </c>
      <c r="C1247" s="13" t="s">
        <v>4078</v>
      </c>
      <c r="D1247" s="6" t="s">
        <v>2765</v>
      </c>
      <c r="E1247" s="13" t="s">
        <v>2931</v>
      </c>
      <c r="F1247" s="13"/>
      <c r="G1247" s="17">
        <v>5.3</v>
      </c>
      <c r="H1247" s="16">
        <v>94</v>
      </c>
      <c r="I1247" s="18">
        <v>3.6779999999999999</v>
      </c>
      <c r="J1247" s="13"/>
      <c r="K1247" s="13"/>
      <c r="L1247" s="17">
        <f>G1247-J1247</f>
        <v>5.3</v>
      </c>
      <c r="M1247" s="18">
        <f>L1247*(H1247*H1247)*0.7854/10000</f>
        <v>3.6780910319999998</v>
      </c>
      <c r="N1247" s="9"/>
      <c r="O1247" s="8" t="s">
        <v>19</v>
      </c>
    </row>
    <row r="1248" spans="1:15" s="14" customFormat="1" x14ac:dyDescent="0.25">
      <c r="A1248" s="13">
        <v>1281</v>
      </c>
      <c r="B1248" s="16">
        <v>1281</v>
      </c>
      <c r="C1248" s="13" t="s">
        <v>4079</v>
      </c>
      <c r="D1248" s="6">
        <v>4791</v>
      </c>
      <c r="E1248" s="13" t="s">
        <v>2931</v>
      </c>
      <c r="F1248" s="13"/>
      <c r="G1248" s="17">
        <v>13.1</v>
      </c>
      <c r="H1248" s="16">
        <v>127</v>
      </c>
      <c r="I1248" s="18">
        <v>16.594999999999999</v>
      </c>
      <c r="J1248" s="13"/>
      <c r="K1248" s="13"/>
      <c r="L1248" s="17">
        <f>G1248-J1248</f>
        <v>13.1</v>
      </c>
      <c r="M1248" s="18">
        <f>L1248*(H1248*H1248)*0.7854/10000</f>
        <v>16.594708745999998</v>
      </c>
      <c r="N1248" s="5"/>
      <c r="O1248" s="8" t="s">
        <v>19</v>
      </c>
    </row>
    <row r="1249" spans="1:15" s="14" customFormat="1" x14ac:dyDescent="0.25">
      <c r="A1249" s="13">
        <v>1282</v>
      </c>
      <c r="B1249" s="16">
        <v>1282</v>
      </c>
      <c r="C1249" s="13" t="s">
        <v>4080</v>
      </c>
      <c r="D1249" s="6">
        <v>27</v>
      </c>
      <c r="E1249" s="13" t="s">
        <v>2931</v>
      </c>
      <c r="F1249" s="13"/>
      <c r="G1249" s="17">
        <v>11.2</v>
      </c>
      <c r="H1249" s="16">
        <v>100</v>
      </c>
      <c r="I1249" s="18">
        <v>8.7959999999999994</v>
      </c>
      <c r="J1249" s="13"/>
      <c r="K1249" s="13"/>
      <c r="L1249" s="17">
        <f>G1249-J1249</f>
        <v>11.2</v>
      </c>
      <c r="M1249" s="18">
        <f>L1249*(H1249*H1249)*0.7854/10000</f>
        <v>8.7964800000000007</v>
      </c>
      <c r="N1249" s="9"/>
      <c r="O1249" s="8" t="s">
        <v>19</v>
      </c>
    </row>
    <row r="1250" spans="1:15" s="14" customFormat="1" x14ac:dyDescent="0.25">
      <c r="A1250" s="13">
        <v>1283</v>
      </c>
      <c r="B1250" s="16">
        <v>1283</v>
      </c>
      <c r="C1250" s="13" t="s">
        <v>4081</v>
      </c>
      <c r="D1250" s="6" t="s">
        <v>2772</v>
      </c>
      <c r="E1250" s="13" t="s">
        <v>2931</v>
      </c>
      <c r="F1250" s="13"/>
      <c r="G1250" s="17">
        <v>10.4</v>
      </c>
      <c r="H1250" s="16">
        <v>67</v>
      </c>
      <c r="I1250" s="18">
        <v>3.6669999999999998</v>
      </c>
      <c r="J1250" s="13">
        <v>0.3</v>
      </c>
      <c r="K1250" s="13"/>
      <c r="L1250" s="17">
        <f>G1250-J1250</f>
        <v>10.1</v>
      </c>
      <c r="M1250" s="18">
        <f>L1250*(H1250*H1250)*0.7854/10000</f>
        <v>3.5609172059999996</v>
      </c>
      <c r="N1250" s="9"/>
      <c r="O1250" s="8" t="s">
        <v>19</v>
      </c>
    </row>
    <row r="1251" spans="1:15" s="14" customFormat="1" x14ac:dyDescent="0.25">
      <c r="A1251" s="13">
        <v>1284</v>
      </c>
      <c r="B1251" s="16">
        <v>1284</v>
      </c>
      <c r="C1251" s="13" t="s">
        <v>4082</v>
      </c>
      <c r="D1251" s="6" t="s">
        <v>2775</v>
      </c>
      <c r="E1251" s="13" t="s">
        <v>2931</v>
      </c>
      <c r="F1251" s="13"/>
      <c r="G1251" s="17">
        <v>4.3</v>
      </c>
      <c r="H1251" s="16">
        <v>64</v>
      </c>
      <c r="I1251" s="18">
        <v>1.383</v>
      </c>
      <c r="J1251" s="13"/>
      <c r="K1251" s="13"/>
      <c r="L1251" s="17">
        <f>G1251-J1251</f>
        <v>4.3</v>
      </c>
      <c r="M1251" s="18">
        <f>L1251*(H1251*H1251)*0.7854/10000</f>
        <v>1.383309312</v>
      </c>
      <c r="N1251" s="5" t="s">
        <v>21</v>
      </c>
      <c r="O1251" s="8" t="s">
        <v>19</v>
      </c>
    </row>
    <row r="1252" spans="1:15" s="14" customFormat="1" x14ac:dyDescent="0.25">
      <c r="A1252" s="13">
        <v>1286</v>
      </c>
      <c r="B1252" s="16">
        <v>1286</v>
      </c>
      <c r="C1252" s="13" t="s">
        <v>4083</v>
      </c>
      <c r="D1252" s="6" t="s">
        <v>2778</v>
      </c>
      <c r="E1252" s="13" t="s">
        <v>2931</v>
      </c>
      <c r="F1252" s="13"/>
      <c r="G1252" s="17">
        <v>10.5</v>
      </c>
      <c r="H1252" s="16">
        <v>102</v>
      </c>
      <c r="I1252" s="18">
        <v>8.58</v>
      </c>
      <c r="J1252" s="13"/>
      <c r="K1252" s="13"/>
      <c r="L1252" s="17">
        <f>G1252-J1252</f>
        <v>10.5</v>
      </c>
      <c r="M1252" s="18">
        <f>L1252*(H1252*H1252)*0.7854/10000</f>
        <v>8.5798666799999985</v>
      </c>
      <c r="N1252" s="9"/>
      <c r="O1252" s="8" t="s">
        <v>19</v>
      </c>
    </row>
    <row r="1253" spans="1:15" s="14" customFormat="1" x14ac:dyDescent="0.25">
      <c r="A1253" s="13">
        <v>1288</v>
      </c>
      <c r="B1253" s="16">
        <v>1288</v>
      </c>
      <c r="C1253" s="13" t="s">
        <v>4084</v>
      </c>
      <c r="D1253" s="6" t="s">
        <v>2781</v>
      </c>
      <c r="E1253" s="13" t="s">
        <v>2931</v>
      </c>
      <c r="F1253" s="13"/>
      <c r="G1253" s="17">
        <v>6.5</v>
      </c>
      <c r="H1253" s="16">
        <v>102</v>
      </c>
      <c r="I1253" s="18">
        <v>5.3109999999999999</v>
      </c>
      <c r="J1253" s="13"/>
      <c r="K1253" s="13"/>
      <c r="L1253" s="17">
        <f>G1253-J1253</f>
        <v>6.5</v>
      </c>
      <c r="M1253" s="18">
        <f>L1253*(H1253*H1253)*0.7854/10000</f>
        <v>5.3113460399999992</v>
      </c>
      <c r="N1253" s="9"/>
      <c r="O1253" s="8" t="s">
        <v>30</v>
      </c>
    </row>
    <row r="1254" spans="1:15" s="14" customFormat="1" x14ac:dyDescent="0.25">
      <c r="A1254" s="13">
        <v>1289</v>
      </c>
      <c r="B1254" s="16">
        <v>1289</v>
      </c>
      <c r="C1254" s="13" t="s">
        <v>4085</v>
      </c>
      <c r="D1254" s="6" t="s">
        <v>2784</v>
      </c>
      <c r="E1254" s="13" t="s">
        <v>2931</v>
      </c>
      <c r="F1254" s="13"/>
      <c r="G1254" s="17">
        <v>9.5</v>
      </c>
      <c r="H1254" s="16">
        <v>89</v>
      </c>
      <c r="I1254" s="18">
        <v>5.91</v>
      </c>
      <c r="J1254" s="13"/>
      <c r="K1254" s="13"/>
      <c r="L1254" s="17">
        <f>G1254-J1254</f>
        <v>9.5</v>
      </c>
      <c r="M1254" s="18">
        <f>L1254*(H1254*H1254)*0.7854/10000</f>
        <v>5.9100957300000001</v>
      </c>
      <c r="N1254" s="9"/>
      <c r="O1254" s="8" t="s">
        <v>19</v>
      </c>
    </row>
    <row r="1255" spans="1:15" s="14" customFormat="1" x14ac:dyDescent="0.25">
      <c r="A1255" s="13">
        <v>1290</v>
      </c>
      <c r="B1255" s="16">
        <v>1290</v>
      </c>
      <c r="C1255" s="13" t="s">
        <v>4086</v>
      </c>
      <c r="D1255" s="6" t="s">
        <v>2787</v>
      </c>
      <c r="E1255" s="13" t="s">
        <v>2931</v>
      </c>
      <c r="F1255" s="13"/>
      <c r="G1255" s="17">
        <v>11.3</v>
      </c>
      <c r="H1255" s="16">
        <v>76</v>
      </c>
      <c r="I1255" s="18">
        <v>5.1260000000000003</v>
      </c>
      <c r="J1255" s="13"/>
      <c r="K1255" s="13"/>
      <c r="L1255" s="17">
        <f>G1255-J1255</f>
        <v>11.3</v>
      </c>
      <c r="M1255" s="18">
        <f>L1255*(H1255*H1255)*0.7854/10000</f>
        <v>5.126211552</v>
      </c>
      <c r="N1255" s="9"/>
      <c r="O1255" s="8" t="s">
        <v>19</v>
      </c>
    </row>
    <row r="1256" spans="1:15" s="14" customFormat="1" x14ac:dyDescent="0.25">
      <c r="A1256" s="13">
        <v>1291</v>
      </c>
      <c r="B1256" s="16">
        <v>1291</v>
      </c>
      <c r="C1256" s="13" t="s">
        <v>4087</v>
      </c>
      <c r="D1256" s="6" t="s">
        <v>2790</v>
      </c>
      <c r="E1256" s="13" t="s">
        <v>2931</v>
      </c>
      <c r="F1256" s="13"/>
      <c r="G1256" s="17">
        <v>4.5</v>
      </c>
      <c r="H1256" s="16">
        <v>80</v>
      </c>
      <c r="I1256" s="18">
        <v>2.262</v>
      </c>
      <c r="J1256" s="13"/>
      <c r="K1256" s="13"/>
      <c r="L1256" s="17">
        <f>G1256-J1256</f>
        <v>4.5</v>
      </c>
      <c r="M1256" s="18">
        <f>L1256*(H1256*H1256)*0.7854/10000</f>
        <v>2.261952</v>
      </c>
      <c r="N1256" s="9"/>
      <c r="O1256" s="8" t="s">
        <v>30</v>
      </c>
    </row>
    <row r="1257" spans="1:15" s="14" customFormat="1" x14ac:dyDescent="0.25">
      <c r="A1257" s="13">
        <v>1292</v>
      </c>
      <c r="B1257" s="16">
        <v>1292</v>
      </c>
      <c r="C1257" s="13" t="s">
        <v>4088</v>
      </c>
      <c r="D1257" s="6" t="s">
        <v>2793</v>
      </c>
      <c r="E1257" s="13" t="s">
        <v>2931</v>
      </c>
      <c r="F1257" s="13"/>
      <c r="G1257" s="17">
        <v>7.7</v>
      </c>
      <c r="H1257" s="16">
        <v>66</v>
      </c>
      <c r="I1257" s="18">
        <v>2.6339999999999999</v>
      </c>
      <c r="J1257" s="13"/>
      <c r="K1257" s="13"/>
      <c r="L1257" s="17">
        <f>G1257-J1257</f>
        <v>7.7</v>
      </c>
      <c r="M1257" s="18">
        <f>L1257*(H1257*H1257)*0.7854/10000</f>
        <v>2.6343258480000005</v>
      </c>
      <c r="N1257" s="9"/>
      <c r="O1257" s="8" t="s">
        <v>19</v>
      </c>
    </row>
    <row r="1258" spans="1:15" s="14" customFormat="1" x14ac:dyDescent="0.25">
      <c r="A1258" s="13">
        <v>1294</v>
      </c>
      <c r="B1258" s="16">
        <v>1294</v>
      </c>
      <c r="C1258" s="13" t="s">
        <v>4089</v>
      </c>
      <c r="D1258" s="6" t="s">
        <v>2796</v>
      </c>
      <c r="E1258" s="13" t="s">
        <v>2931</v>
      </c>
      <c r="F1258" s="13"/>
      <c r="G1258" s="17">
        <v>11.4</v>
      </c>
      <c r="H1258" s="16">
        <v>93</v>
      </c>
      <c r="I1258" s="18">
        <v>7.7439999999999998</v>
      </c>
      <c r="J1258" s="13"/>
      <c r="K1258" s="13"/>
      <c r="L1258" s="17">
        <f>G1258-J1258</f>
        <v>11.4</v>
      </c>
      <c r="M1258" s="18">
        <f>L1258*(H1258*H1258)*0.7854/10000</f>
        <v>7.7439340440000004</v>
      </c>
      <c r="N1258" s="9"/>
      <c r="O1258" s="8" t="s">
        <v>19</v>
      </c>
    </row>
    <row r="1259" spans="1:15" s="14" customFormat="1" x14ac:dyDescent="0.25">
      <c r="A1259" s="13">
        <v>1295</v>
      </c>
      <c r="B1259" s="16">
        <v>1295</v>
      </c>
      <c r="C1259" s="13" t="s">
        <v>4090</v>
      </c>
      <c r="D1259" s="6" t="s">
        <v>2799</v>
      </c>
      <c r="E1259" s="13" t="s">
        <v>2931</v>
      </c>
      <c r="F1259" s="13"/>
      <c r="G1259" s="17">
        <v>11.9</v>
      </c>
      <c r="H1259" s="16">
        <v>111</v>
      </c>
      <c r="I1259" s="18">
        <v>11.516</v>
      </c>
      <c r="J1259" s="13"/>
      <c r="K1259" s="13"/>
      <c r="L1259" s="17">
        <f>G1259-J1259</f>
        <v>11.9</v>
      </c>
      <c r="M1259" s="18">
        <f>L1259*(H1259*H1259)*0.7854/10000</f>
        <v>11.515526946</v>
      </c>
      <c r="N1259" s="5" t="s">
        <v>1007</v>
      </c>
      <c r="O1259" s="8" t="s">
        <v>30</v>
      </c>
    </row>
    <row r="1260" spans="1:15" s="14" customFormat="1" x14ac:dyDescent="0.25">
      <c r="A1260" s="13">
        <v>1296</v>
      </c>
      <c r="B1260" s="16">
        <v>1296</v>
      </c>
      <c r="C1260" s="13" t="s">
        <v>4091</v>
      </c>
      <c r="D1260" s="6">
        <v>4792</v>
      </c>
      <c r="E1260" s="13" t="s">
        <v>2931</v>
      </c>
      <c r="F1260" s="13"/>
      <c r="G1260" s="17">
        <v>13</v>
      </c>
      <c r="H1260" s="16">
        <v>146</v>
      </c>
      <c r="I1260" s="18">
        <v>21.763999999999999</v>
      </c>
      <c r="J1260" s="13"/>
      <c r="K1260" s="13"/>
      <c r="L1260" s="17">
        <f>G1260-J1260</f>
        <v>13</v>
      </c>
      <c r="M1260" s="18">
        <f>L1260*(H1260*H1260)*0.7854/10000</f>
        <v>21.764062320000001</v>
      </c>
      <c r="N1260" s="5"/>
      <c r="O1260" s="8" t="s">
        <v>19</v>
      </c>
    </row>
    <row r="1261" spans="1:15" s="14" customFormat="1" x14ac:dyDescent="0.25">
      <c r="A1261" s="13">
        <v>1297</v>
      </c>
      <c r="B1261" s="16">
        <v>1297</v>
      </c>
      <c r="C1261" s="13" t="s">
        <v>4092</v>
      </c>
      <c r="D1261" s="6" t="s">
        <v>2804</v>
      </c>
      <c r="E1261" s="13" t="s">
        <v>2931</v>
      </c>
      <c r="F1261" s="13"/>
      <c r="G1261" s="17">
        <v>6.4</v>
      </c>
      <c r="H1261" s="16">
        <v>86</v>
      </c>
      <c r="I1261" s="18">
        <v>3.718</v>
      </c>
      <c r="J1261" s="13"/>
      <c r="K1261" s="13"/>
      <c r="L1261" s="17">
        <f>G1261-J1261</f>
        <v>6.4</v>
      </c>
      <c r="M1261" s="18">
        <f>L1261*(H1261*H1261)*0.7854/10000</f>
        <v>3.7176437760000001</v>
      </c>
      <c r="N1261" s="5" t="s">
        <v>53</v>
      </c>
      <c r="O1261" s="8" t="s">
        <v>19</v>
      </c>
    </row>
    <row r="1262" spans="1:15" s="14" customFormat="1" x14ac:dyDescent="0.25">
      <c r="A1262" s="13">
        <v>1298</v>
      </c>
      <c r="B1262" s="16">
        <v>1298</v>
      </c>
      <c r="C1262" s="13" t="s">
        <v>4093</v>
      </c>
      <c r="D1262" s="6" t="s">
        <v>2807</v>
      </c>
      <c r="E1262" s="13" t="s">
        <v>2931</v>
      </c>
      <c r="F1262" s="13"/>
      <c r="G1262" s="17">
        <v>7.5</v>
      </c>
      <c r="H1262" s="16">
        <v>104</v>
      </c>
      <c r="I1262" s="18">
        <v>6.3710000000000004</v>
      </c>
      <c r="J1262" s="13">
        <v>0.3</v>
      </c>
      <c r="K1262" s="13"/>
      <c r="L1262" s="17">
        <f>G1262-J1262</f>
        <v>7.2</v>
      </c>
      <c r="M1262" s="18">
        <f>L1262*(H1262*H1262)*0.7854/10000</f>
        <v>6.116318208</v>
      </c>
      <c r="N1262" s="5"/>
      <c r="O1262" s="8" t="s">
        <v>19</v>
      </c>
    </row>
    <row r="1263" spans="1:15" s="14" customFormat="1" x14ac:dyDescent="0.25">
      <c r="A1263" s="13">
        <v>1299</v>
      </c>
      <c r="B1263" s="16">
        <v>1299</v>
      </c>
      <c r="C1263" s="13" t="s">
        <v>4094</v>
      </c>
      <c r="D1263" s="6">
        <v>4793</v>
      </c>
      <c r="E1263" s="13" t="s">
        <v>2931</v>
      </c>
      <c r="F1263" s="13"/>
      <c r="G1263" s="17">
        <v>12.5</v>
      </c>
      <c r="H1263" s="16">
        <v>153</v>
      </c>
      <c r="I1263" s="18">
        <v>22.981999999999999</v>
      </c>
      <c r="J1263" s="13"/>
      <c r="K1263" s="13"/>
      <c r="L1263" s="17">
        <f>G1263-J1263</f>
        <v>12.5</v>
      </c>
      <c r="M1263" s="18">
        <f>L1263*(H1263*H1263)*0.7854/10000</f>
        <v>22.981785749999997</v>
      </c>
      <c r="N1263" s="5"/>
      <c r="O1263" s="8" t="s">
        <v>19</v>
      </c>
    </row>
    <row r="1264" spans="1:15" s="14" customFormat="1" x14ac:dyDescent="0.25">
      <c r="A1264" s="13">
        <v>1300</v>
      </c>
      <c r="B1264" s="16">
        <v>1300</v>
      </c>
      <c r="C1264" s="13" t="s">
        <v>4095</v>
      </c>
      <c r="D1264" s="6" t="s">
        <v>2812</v>
      </c>
      <c r="E1264" s="13" t="s">
        <v>2931</v>
      </c>
      <c r="F1264" s="13"/>
      <c r="G1264" s="17">
        <v>10.8</v>
      </c>
      <c r="H1264" s="16">
        <v>69</v>
      </c>
      <c r="I1264" s="18">
        <v>4.0380000000000003</v>
      </c>
      <c r="J1264" s="13"/>
      <c r="K1264" s="13"/>
      <c r="L1264" s="17">
        <f>G1264-J1264</f>
        <v>10.8</v>
      </c>
      <c r="M1264" s="18">
        <f>L1264*(H1264*H1264)*0.7854/10000</f>
        <v>4.0384325519999997</v>
      </c>
      <c r="N1264" s="5"/>
      <c r="O1264" s="8" t="s">
        <v>19</v>
      </c>
    </row>
    <row r="1265" spans="1:15" s="14" customFormat="1" x14ac:dyDescent="0.25">
      <c r="A1265" s="13">
        <v>1301</v>
      </c>
      <c r="B1265" s="16">
        <v>1301</v>
      </c>
      <c r="C1265" s="13" t="s">
        <v>4096</v>
      </c>
      <c r="D1265" s="6" t="s">
        <v>2815</v>
      </c>
      <c r="E1265" s="13" t="s">
        <v>2931</v>
      </c>
      <c r="F1265" s="13"/>
      <c r="G1265" s="17">
        <v>11.2</v>
      </c>
      <c r="H1265" s="16">
        <v>113</v>
      </c>
      <c r="I1265" s="18">
        <v>11.231999999999999</v>
      </c>
      <c r="J1265" s="13"/>
      <c r="K1265" s="13"/>
      <c r="L1265" s="17">
        <f>G1265-J1265</f>
        <v>11.2</v>
      </c>
      <c r="M1265" s="18">
        <f>L1265*(H1265*H1265)*0.7854/10000</f>
        <v>11.232225311999999</v>
      </c>
      <c r="N1265" s="5" t="s">
        <v>35</v>
      </c>
      <c r="O1265" s="8" t="s">
        <v>19</v>
      </c>
    </row>
    <row r="1266" spans="1:15" s="14" customFormat="1" x14ac:dyDescent="0.25">
      <c r="A1266" s="13">
        <v>1302</v>
      </c>
      <c r="B1266" s="16">
        <v>1302</v>
      </c>
      <c r="C1266" s="13" t="s">
        <v>4097</v>
      </c>
      <c r="D1266" s="6" t="s">
        <v>2818</v>
      </c>
      <c r="E1266" s="13" t="s">
        <v>2931</v>
      </c>
      <c r="F1266" s="13"/>
      <c r="G1266" s="17">
        <v>7.6</v>
      </c>
      <c r="H1266" s="16">
        <v>67</v>
      </c>
      <c r="I1266" s="18">
        <v>2.6789999999999998</v>
      </c>
      <c r="J1266" s="13"/>
      <c r="K1266" s="13"/>
      <c r="L1266" s="17">
        <f>G1266-J1266</f>
        <v>7.6</v>
      </c>
      <c r="M1266" s="18">
        <f>L1266*(H1266*H1266)*0.7854/10000</f>
        <v>2.679502056</v>
      </c>
      <c r="N1266" s="5"/>
      <c r="O1266" s="8" t="s">
        <v>19</v>
      </c>
    </row>
    <row r="1267" spans="1:15" s="14" customFormat="1" x14ac:dyDescent="0.25">
      <c r="A1267" s="13">
        <v>1303</v>
      </c>
      <c r="B1267" s="16">
        <v>1303</v>
      </c>
      <c r="C1267" s="13" t="s">
        <v>4098</v>
      </c>
      <c r="D1267" s="6" t="s">
        <v>2821</v>
      </c>
      <c r="E1267" s="13" t="s">
        <v>2931</v>
      </c>
      <c r="F1267" s="13"/>
      <c r="G1267" s="17">
        <v>7.2</v>
      </c>
      <c r="H1267" s="16">
        <v>104</v>
      </c>
      <c r="I1267" s="18">
        <v>6.1159999999999997</v>
      </c>
      <c r="J1267" s="13"/>
      <c r="K1267" s="13"/>
      <c r="L1267" s="17">
        <f>G1267-J1267</f>
        <v>7.2</v>
      </c>
      <c r="M1267" s="18">
        <f>L1267*(H1267*H1267)*0.7854/10000</f>
        <v>6.116318208</v>
      </c>
      <c r="N1267" s="5"/>
      <c r="O1267" s="8" t="s">
        <v>19</v>
      </c>
    </row>
    <row r="1268" spans="1:15" s="14" customFormat="1" x14ac:dyDescent="0.25">
      <c r="A1268" s="13">
        <v>1304</v>
      </c>
      <c r="B1268" s="16">
        <v>1304</v>
      </c>
      <c r="C1268" s="13" t="s">
        <v>4099</v>
      </c>
      <c r="D1268" s="6" t="s">
        <v>2822</v>
      </c>
      <c r="E1268" s="13" t="s">
        <v>2931</v>
      </c>
      <c r="F1268" s="13"/>
      <c r="G1268" s="17">
        <v>5.9</v>
      </c>
      <c r="H1268" s="16">
        <v>100</v>
      </c>
      <c r="I1268" s="18">
        <v>4.6340000000000003</v>
      </c>
      <c r="J1268" s="13"/>
      <c r="K1268" s="13"/>
      <c r="L1268" s="17">
        <f>G1268-J1268</f>
        <v>5.9</v>
      </c>
      <c r="M1268" s="18">
        <f>L1268*(H1268*H1268)*0.7854/10000</f>
        <v>4.6338599999999994</v>
      </c>
      <c r="N1268" s="5" t="s">
        <v>1007</v>
      </c>
      <c r="O1268" s="8" t="s">
        <v>30</v>
      </c>
    </row>
    <row r="1269" spans="1:15" s="14" customFormat="1" x14ac:dyDescent="0.25">
      <c r="A1269" s="13">
        <v>1305</v>
      </c>
      <c r="B1269" s="16">
        <v>1305</v>
      </c>
      <c r="C1269" s="13" t="s">
        <v>4100</v>
      </c>
      <c r="D1269" s="6">
        <v>4795</v>
      </c>
      <c r="E1269" s="13" t="s">
        <v>2931</v>
      </c>
      <c r="F1269" s="13"/>
      <c r="G1269" s="17">
        <v>11</v>
      </c>
      <c r="H1269" s="16">
        <v>132</v>
      </c>
      <c r="I1269" s="18">
        <v>15.053000000000001</v>
      </c>
      <c r="J1269" s="13"/>
      <c r="K1269" s="13"/>
      <c r="L1269" s="17">
        <f>G1269-J1269</f>
        <v>11</v>
      </c>
      <c r="M1269" s="18">
        <f>L1269*(H1269*H1269)*0.7854/10000</f>
        <v>15.053290560000001</v>
      </c>
      <c r="N1269" s="5" t="s">
        <v>157</v>
      </c>
      <c r="O1269" s="8" t="s">
        <v>19</v>
      </c>
    </row>
    <row r="1270" spans="1:15" s="14" customFormat="1" x14ac:dyDescent="0.25">
      <c r="A1270" s="13">
        <v>1306</v>
      </c>
      <c r="B1270" s="16">
        <v>1306</v>
      </c>
      <c r="C1270" s="13" t="s">
        <v>4101</v>
      </c>
      <c r="D1270" s="6" t="s">
        <v>2823</v>
      </c>
      <c r="E1270" s="13" t="s">
        <v>2931</v>
      </c>
      <c r="F1270" s="13"/>
      <c r="G1270" s="17">
        <v>9.9</v>
      </c>
      <c r="H1270" s="16">
        <v>88</v>
      </c>
      <c r="I1270" s="18">
        <v>6.0209999999999999</v>
      </c>
      <c r="J1270" s="13"/>
      <c r="K1270" s="13"/>
      <c r="L1270" s="17">
        <f>G1270-J1270</f>
        <v>9.9</v>
      </c>
      <c r="M1270" s="18">
        <f>L1270*(H1270*H1270)*0.7854/10000</f>
        <v>6.0213162240000004</v>
      </c>
      <c r="N1270" s="5"/>
      <c r="O1270" s="8" t="s">
        <v>19</v>
      </c>
    </row>
    <row r="1271" spans="1:15" s="14" customFormat="1" x14ac:dyDescent="0.25">
      <c r="A1271" s="13">
        <v>1307</v>
      </c>
      <c r="B1271" s="16">
        <v>1307</v>
      </c>
      <c r="C1271" s="13" t="s">
        <v>4102</v>
      </c>
      <c r="D1271" s="6" t="s">
        <v>242</v>
      </c>
      <c r="E1271" s="13" t="s">
        <v>2931</v>
      </c>
      <c r="F1271" s="13"/>
      <c r="G1271" s="17">
        <v>8.1999999999999993</v>
      </c>
      <c r="H1271" s="16">
        <v>85</v>
      </c>
      <c r="I1271" s="18">
        <v>4.6529999999999996</v>
      </c>
      <c r="J1271" s="13"/>
      <c r="K1271" s="13"/>
      <c r="L1271" s="17">
        <f>G1271-J1271</f>
        <v>8.1999999999999993</v>
      </c>
      <c r="M1271" s="18">
        <f>L1271*(H1271*H1271)*0.7854/10000</f>
        <v>4.6531022999999996</v>
      </c>
      <c r="N1271" s="5"/>
      <c r="O1271" s="8" t="s">
        <v>30</v>
      </c>
    </row>
    <row r="1272" spans="1:15" s="14" customFormat="1" x14ac:dyDescent="0.25">
      <c r="A1272" s="13">
        <v>1308</v>
      </c>
      <c r="B1272" s="16">
        <v>1308</v>
      </c>
      <c r="C1272" s="13" t="s">
        <v>4103</v>
      </c>
      <c r="D1272" s="6">
        <v>1450</v>
      </c>
      <c r="E1272" s="13" t="s">
        <v>2931</v>
      </c>
      <c r="F1272" s="13"/>
      <c r="G1272" s="17">
        <v>10.4</v>
      </c>
      <c r="H1272" s="16">
        <v>85</v>
      </c>
      <c r="I1272" s="18">
        <v>5.9009999999999998</v>
      </c>
      <c r="J1272" s="13"/>
      <c r="K1272" s="13"/>
      <c r="L1272" s="17">
        <f>G1272-J1272</f>
        <v>10.4</v>
      </c>
      <c r="M1272" s="18">
        <f>L1272*(H1272*H1272)*0.7854/10000</f>
        <v>5.9014955999999996</v>
      </c>
      <c r="N1272" s="5"/>
      <c r="O1272" s="8" t="s">
        <v>19</v>
      </c>
    </row>
    <row r="1273" spans="1:15" s="14" customFormat="1" x14ac:dyDescent="0.25">
      <c r="A1273" s="15"/>
      <c r="B1273" s="15"/>
      <c r="I1273" s="19">
        <f>SUM(I2:I1272)</f>
        <v>8232.3789999999917</v>
      </c>
      <c r="M1273" s="19">
        <f>SUM(M2:M1272)</f>
        <v>8152.582761245998</v>
      </c>
      <c r="N1273" s="12"/>
      <c r="O1273" s="4"/>
    </row>
    <row r="1274" spans="1:15" s="14" customFormat="1" x14ac:dyDescent="0.25">
      <c r="A1274" s="15"/>
      <c r="B1274" s="15"/>
      <c r="L1274" s="19"/>
      <c r="N1274" s="12"/>
      <c r="O1274" s="4"/>
    </row>
    <row r="1275" spans="1:15" s="14" customFormat="1" x14ac:dyDescent="0.25">
      <c r="A1275" s="15"/>
      <c r="B1275" s="15"/>
      <c r="L1275" s="20"/>
      <c r="N1275" s="12"/>
      <c r="O1275" s="4"/>
    </row>
    <row r="1276" spans="1:15" s="14" customFormat="1" x14ac:dyDescent="0.25">
      <c r="A1276" s="15"/>
      <c r="B1276" s="15"/>
      <c r="L1276" s="19"/>
      <c r="N1276" s="12"/>
      <c r="O1276" s="4"/>
    </row>
    <row r="1277" spans="1:15" s="14" customFormat="1" x14ac:dyDescent="0.25">
      <c r="A1277" s="15"/>
      <c r="B1277" s="15"/>
      <c r="N1277" s="12"/>
      <c r="O1277" s="4"/>
    </row>
    <row r="1278" spans="1:15" s="14" customFormat="1" x14ac:dyDescent="0.25">
      <c r="A1278" s="15"/>
      <c r="B1278" s="15"/>
      <c r="N1278" s="12"/>
      <c r="O1278" s="4"/>
    </row>
    <row r="1279" spans="1:15" s="14" customFormat="1" x14ac:dyDescent="0.25">
      <c r="A1279" s="15"/>
      <c r="B1279" s="15"/>
      <c r="N1279" s="12"/>
      <c r="O1279" s="4"/>
    </row>
    <row r="1280" spans="1:15" s="14" customFormat="1" x14ac:dyDescent="0.25">
      <c r="A1280" s="15"/>
      <c r="B1280" s="15"/>
      <c r="N1280" s="12"/>
      <c r="O1280" s="4"/>
    </row>
    <row r="1281" spans="1:15" s="14" customFormat="1" x14ac:dyDescent="0.25">
      <c r="A1281" s="15"/>
      <c r="B1281" s="15"/>
      <c r="N1281" s="12"/>
      <c r="O1281" s="4"/>
    </row>
    <row r="1282" spans="1:15" s="14" customFormat="1" x14ac:dyDescent="0.25">
      <c r="A1282" s="15"/>
      <c r="B1282" s="15"/>
      <c r="N1282" s="12"/>
      <c r="O1282" s="4"/>
    </row>
    <row r="1283" spans="1:15" s="14" customFormat="1" x14ac:dyDescent="0.25">
      <c r="A1283" s="15"/>
      <c r="B1283" s="15"/>
      <c r="N1283" s="12"/>
      <c r="O1283" s="4"/>
    </row>
    <row r="1284" spans="1:15" s="14" customFormat="1" x14ac:dyDescent="0.25">
      <c r="A1284" s="15"/>
      <c r="B1284" s="15"/>
      <c r="N1284" s="12"/>
      <c r="O1284" s="4"/>
    </row>
    <row r="1285" spans="1:15" s="14" customFormat="1" x14ac:dyDescent="0.25">
      <c r="A1285" s="15"/>
      <c r="B1285" s="15"/>
      <c r="N1285" s="12"/>
      <c r="O1285" s="4"/>
    </row>
    <row r="1286" spans="1:15" s="14" customFormat="1" x14ac:dyDescent="0.25">
      <c r="A1286" s="15"/>
      <c r="B1286" s="15"/>
      <c r="N1286" s="12"/>
      <c r="O1286" s="4"/>
    </row>
    <row r="1287" spans="1:15" s="14" customFormat="1" x14ac:dyDescent="0.25">
      <c r="A1287" s="15"/>
      <c r="B1287" s="15"/>
      <c r="N1287" s="12"/>
      <c r="O1287" s="4"/>
    </row>
    <row r="1288" spans="1:15" s="14" customFormat="1" x14ac:dyDescent="0.25">
      <c r="A1288" s="15"/>
      <c r="B1288" s="15"/>
      <c r="N1288" s="12"/>
      <c r="O1288" s="4"/>
    </row>
    <row r="1289" spans="1:15" s="14" customFormat="1" x14ac:dyDescent="0.25">
      <c r="A1289" s="15"/>
      <c r="B1289" s="15"/>
      <c r="N1289" s="12"/>
      <c r="O1289" s="4"/>
    </row>
    <row r="1290" spans="1:15" s="14" customFormat="1" x14ac:dyDescent="0.25">
      <c r="A1290" s="15"/>
      <c r="B1290" s="15"/>
      <c r="N1290" s="12"/>
      <c r="O1290" s="4"/>
    </row>
    <row r="1291" spans="1:15" s="14" customFormat="1" x14ac:dyDescent="0.25">
      <c r="A1291" s="15"/>
      <c r="B1291" s="15"/>
      <c r="N1291" s="12"/>
      <c r="O1291" s="4"/>
    </row>
    <row r="1292" spans="1:15" s="14" customFormat="1" x14ac:dyDescent="0.25">
      <c r="A1292" s="15"/>
      <c r="B1292" s="15"/>
      <c r="N1292" s="12"/>
      <c r="O1292" s="4"/>
    </row>
    <row r="1293" spans="1:15" s="14" customFormat="1" x14ac:dyDescent="0.25">
      <c r="A1293" s="15"/>
      <c r="B1293" s="15"/>
      <c r="N1293" s="12"/>
      <c r="O1293" s="4"/>
    </row>
    <row r="1294" spans="1:15" s="14" customFormat="1" x14ac:dyDescent="0.25">
      <c r="A1294" s="15"/>
      <c r="B1294" s="15"/>
      <c r="N1294" s="12"/>
      <c r="O1294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Cameroon</vt:lpstr>
      <vt:lpstr>Liberia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mrashid</dc:creator>
  <cp:lastModifiedBy>mrashid</cp:lastModifiedBy>
  <dcterms:created xsi:type="dcterms:W3CDTF">2026-04-13T13:56:26Z</dcterms:created>
  <dcterms:modified xsi:type="dcterms:W3CDTF">2026-04-13T13:58:10Z</dcterms:modified>
</cp:coreProperties>
</file>